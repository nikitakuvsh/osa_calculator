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Expo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\-0.0%;0.0%"/>
    <numFmt numFmtId="165" formatCode="# ##0"/>
    <numFmt numFmtId="166" formatCode="# ##0.00"/>
  </numFmts>
  <fonts count="6">
    <font>
      <name val="Calibri"/>
      <family val="2"/>
      <color theme="1"/>
      <sz val="11"/>
      <scheme val="minor"/>
    </font>
    <font>
      <name val="Aptos Narrow"/>
      <sz val="11"/>
    </font>
    <font>
      <name val="Aptos Narrow"/>
      <b val="1"/>
      <sz val="11"/>
    </font>
    <font>
      <b val="1"/>
      <color rgb="001F1F1F"/>
    </font>
    <font>
      <b val="1"/>
      <color rgb="00FFFFFF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B4C7E7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7F7F7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10" fontId="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166" fontId="3" fillId="3" borderId="3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10" fontId="3" fillId="0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418"/>
  <sheetViews>
    <sheetView workbookViewId="0">
      <selection activeCell="A1" sqref="A1"/>
    </sheetView>
  </sheetViews>
  <sheetFormatPr baseColWidth="8" defaultRowHeight="15"/>
  <cols>
    <col width="28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</cols>
  <sheetData>
    <row r="3">
      <c r="C3" s="1" t="n"/>
      <c r="D3" s="1" t="n"/>
      <c r="E3" s="2" t="inlineStr">
        <is>
          <t>P1</t>
        </is>
      </c>
      <c r="F3" s="2" t="inlineStr">
        <is>
          <t>P2</t>
        </is>
      </c>
      <c r="G3" s="2" t="inlineStr">
        <is>
          <t>P3</t>
        </is>
      </c>
      <c r="H3" s="2" t="inlineStr">
        <is>
          <t>P4</t>
        </is>
      </c>
      <c r="I3" s="2" t="inlineStr">
        <is>
          <t>P5</t>
        </is>
      </c>
      <c r="J3" s="2" t="inlineStr">
        <is>
          <t>P6</t>
        </is>
      </c>
      <c r="K3" s="2" t="inlineStr">
        <is>
          <t>P7</t>
        </is>
      </c>
      <c r="L3" s="2" t="inlineStr">
        <is>
          <t>P8</t>
        </is>
      </c>
      <c r="M3" s="2" t="inlineStr">
        <is>
          <t>P9</t>
        </is>
      </c>
      <c r="N3" s="2" t="inlineStr">
        <is>
          <t>P10</t>
        </is>
      </c>
      <c r="O3" s="2" t="inlineStr">
        <is>
          <t>P11</t>
        </is>
      </c>
      <c r="P3" s="2" t="inlineStr">
        <is>
          <t>P12</t>
        </is>
      </c>
      <c r="Q3" s="2" t="inlineStr">
        <is>
          <t>P13</t>
        </is>
      </c>
      <c r="R3" s="2" t="inlineStr">
        <is>
          <t>total</t>
        </is>
      </c>
    </row>
    <row r="4">
      <c r="C4" s="3" t="inlineStr">
        <is>
          <t>Раз Два</t>
        </is>
      </c>
      <c r="D4" s="4" t="inlineStr">
        <is>
          <t>DMR</t>
        </is>
      </c>
      <c r="E4" s="5" t="n">
        <v>1254532.740000006</v>
      </c>
      <c r="F4" s="5" t="n">
        <v>1955178.430000014</v>
      </c>
      <c r="G4" s="5" t="n">
        <v>2362885.289999927</v>
      </c>
      <c r="H4" s="5" t="n">
        <v>1975322.770000008</v>
      </c>
      <c r="I4" s="5" t="n">
        <v>1921331.470000013</v>
      </c>
      <c r="J4" s="5" t="n">
        <v>1886941.74000002</v>
      </c>
      <c r="K4" s="5" t="n">
        <v>2414926.070000034</v>
      </c>
      <c r="L4" s="5" t="n">
        <v>2695639.769999866</v>
      </c>
      <c r="M4" s="5" t="n">
        <v>1931133.780695567</v>
      </c>
      <c r="N4" s="5" t="n">
        <v>1993036.834775202</v>
      </c>
      <c r="O4" s="5" t="n">
        <v>2110638.471856216</v>
      </c>
      <c r="P4" s="5" t="n">
        <v>2049939.54440535</v>
      </c>
      <c r="Q4" s="5" t="n">
        <v>2379437.989449111</v>
      </c>
      <c r="R4" s="5">
        <f>SUM(E4:Q4)</f>
        <v/>
      </c>
    </row>
    <row r="5">
      <c r="C5" s="6" t="n"/>
      <c r="D5" s="7" t="inlineStr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>
      <c r="C6" s="1" t="n"/>
      <c r="D6" s="7" t="inlineStr">
        <is>
          <t>Merch Impact 2026</t>
        </is>
      </c>
      <c r="E6" s="8" t="n">
        <v>0.0667</v>
      </c>
      <c r="F6" s="8" t="n">
        <v>0.0608</v>
      </c>
      <c r="G6" s="8" t="n">
        <v>0.0665</v>
      </c>
      <c r="H6" s="8" t="n">
        <v>0.059</v>
      </c>
      <c r="I6" s="8" t="n">
        <v>0.0392</v>
      </c>
      <c r="J6" s="8" t="n">
        <v>0.0475</v>
      </c>
      <c r="K6" s="8" t="n">
        <v>0.0415</v>
      </c>
      <c r="L6" s="8" t="n">
        <v>0.0447</v>
      </c>
      <c r="M6" s="9" t="n">
        <v>0.0483</v>
      </c>
      <c r="N6" s="9" t="n">
        <v>0.0508</v>
      </c>
      <c r="O6" s="9" t="n">
        <v>0.0561</v>
      </c>
      <c r="P6" s="9" t="n">
        <v>0.0608</v>
      </c>
      <c r="Q6" s="9" t="n">
        <v>0.0635</v>
      </c>
      <c r="R6" s="8">
        <f>AVERAGE(E6:Q6)</f>
        <v/>
      </c>
    </row>
    <row r="7">
      <c r="C7" s="1" t="n"/>
      <c r="D7" s="7" t="inlineStr">
        <is>
          <t>Merch Impact 2027</t>
        </is>
      </c>
      <c r="E7" s="9" t="n">
        <v>0.0735</v>
      </c>
      <c r="F7" s="9" t="n">
        <v>0.0608</v>
      </c>
      <c r="G7" s="9" t="n">
        <v>0.0701</v>
      </c>
      <c r="H7" s="9" t="n">
        <v>0.059</v>
      </c>
      <c r="I7" s="9" t="n">
        <v>0.0431</v>
      </c>
      <c r="J7" s="9" t="n">
        <v>0.0532</v>
      </c>
      <c r="K7" s="9" t="n">
        <v>0.0488</v>
      </c>
      <c r="L7" s="9" t="n">
        <v>0.0477</v>
      </c>
      <c r="M7" s="9" t="n">
        <v>0.053</v>
      </c>
      <c r="N7" s="9" t="n">
        <v>0.0554</v>
      </c>
      <c r="O7" s="9" t="n">
        <v>0.0561</v>
      </c>
      <c r="P7" s="9" t="n">
        <v>0.0617</v>
      </c>
      <c r="Q7" s="9" t="n">
        <v>0.0636</v>
      </c>
      <c r="R7" s="9">
        <f>AVERAGE(E7:Q7)</f>
        <v/>
      </c>
    </row>
    <row r="8">
      <c r="C8" s="1" t="n"/>
      <c r="D8" s="7" t="inlineStr">
        <is>
          <t>dif</t>
        </is>
      </c>
      <c r="E8" s="8">
        <f>E7-E6</f>
        <v/>
      </c>
      <c r="F8" s="8">
        <f>F7-F6</f>
        <v/>
      </c>
      <c r="G8" s="8">
        <f>G7-G6</f>
        <v/>
      </c>
      <c r="H8" s="8">
        <f>H7-H6</f>
        <v/>
      </c>
      <c r="I8" s="8">
        <f>I7-I6</f>
        <v/>
      </c>
      <c r="J8" s="8">
        <f>J7-J6</f>
        <v/>
      </c>
      <c r="K8" s="8">
        <f>K7-K6</f>
        <v/>
      </c>
      <c r="L8" s="8">
        <f>L7-L6</f>
        <v/>
      </c>
      <c r="M8" s="8">
        <f>M7-M6</f>
        <v/>
      </c>
      <c r="N8" s="8">
        <f>N7-N6</f>
        <v/>
      </c>
      <c r="O8" s="8">
        <f>O7-O6</f>
        <v/>
      </c>
      <c r="P8" s="8">
        <f>P7-P6</f>
        <v/>
      </c>
      <c r="Q8" s="8">
        <f>Q7-Q6</f>
        <v/>
      </c>
      <c r="R8" s="8">
        <f>R7-R6</f>
        <v/>
      </c>
    </row>
    <row r="9">
      <c r="C9" s="1" t="n"/>
      <c r="D9" s="7" t="inlineStr">
        <is>
          <t>ЭФ-т LSV, %</t>
        </is>
      </c>
      <c r="E9" s="8">
        <f>E8/0.03*0.01</f>
        <v/>
      </c>
      <c r="F9" s="8">
        <f>F8/0.03*0.01</f>
        <v/>
      </c>
      <c r="G9" s="8">
        <f>G8/0.03*0.01</f>
        <v/>
      </c>
      <c r="H9" s="8">
        <f>H8/0.03*0.01</f>
        <v/>
      </c>
      <c r="I9" s="8">
        <f>I8/0.03*0.01</f>
        <v/>
      </c>
      <c r="J9" s="8">
        <f>J8/0.03*0.01</f>
        <v/>
      </c>
      <c r="K9" s="8">
        <f>K8/0.03*0.01</f>
        <v/>
      </c>
      <c r="L9" s="8">
        <f>L8/0.03*0.01</f>
        <v/>
      </c>
      <c r="M9" s="8">
        <f>M8/0.03*0.01</f>
        <v/>
      </c>
      <c r="N9" s="8">
        <f>N8/0.03*0.01</f>
        <v/>
      </c>
      <c r="O9" s="8">
        <f>O8/0.03*0.01</f>
        <v/>
      </c>
      <c r="P9" s="8">
        <f>P8/0.03*0.01</f>
        <v/>
      </c>
      <c r="Q9" s="8">
        <f>Q8/0.03*0.01</f>
        <v/>
      </c>
      <c r="R9" s="8">
        <f>R8/0.03*0.01</f>
        <v/>
      </c>
    </row>
    <row r="10">
      <c r="C10" s="10" t="n"/>
      <c r="D10" s="10" t="inlineStr">
        <is>
          <t>ЭФ-т, млн руб Merch in</t>
        </is>
      </c>
      <c r="E10" s="11">
        <f>E4*E9</f>
        <v/>
      </c>
      <c r="F10" s="11">
        <f>F4*F9</f>
        <v/>
      </c>
      <c r="G10" s="11">
        <f>G4*G9</f>
        <v/>
      </c>
      <c r="H10" s="11">
        <f>H4*H9</f>
        <v/>
      </c>
      <c r="I10" s="11">
        <f>I4*I9</f>
        <v/>
      </c>
      <c r="J10" s="11">
        <f>J4*J9</f>
        <v/>
      </c>
      <c r="K10" s="11">
        <f>K4*K9</f>
        <v/>
      </c>
      <c r="L10" s="11">
        <f>L4*L9</f>
        <v/>
      </c>
      <c r="M10" s="11">
        <f>M4*M9</f>
        <v/>
      </c>
      <c r="N10" s="11">
        <f>N4*N9</f>
        <v/>
      </c>
      <c r="O10" s="11">
        <f>O4*O9</f>
        <v/>
      </c>
      <c r="P10" s="11">
        <f>P4*P9</f>
        <v/>
      </c>
      <c r="Q10" s="11">
        <f>Q4*Q9</f>
        <v/>
      </c>
      <c r="R10" s="11">
        <f>SUM(E10:Q10)</f>
        <v/>
      </c>
    </row>
    <row r="11">
      <c r="C11" s="12" t="inlineStr">
        <is>
          <t>OSA before</t>
        </is>
      </c>
      <c r="D11" s="7" t="inlineStr">
        <is>
          <t>osa before 2026</t>
        </is>
      </c>
      <c r="E11" s="8" t="n">
        <v>0.8941</v>
      </c>
      <c r="F11" s="8" t="n">
        <v>0.9195</v>
      </c>
      <c r="G11" s="8" t="n">
        <v>0.9101</v>
      </c>
      <c r="H11" s="8" t="n">
        <v>0.9221</v>
      </c>
      <c r="I11" s="8" t="n">
        <v>0.9296</v>
      </c>
      <c r="J11" s="8" t="n">
        <v>0.9327</v>
      </c>
      <c r="K11" s="8" t="n">
        <v>0.9205</v>
      </c>
      <c r="L11" s="8" t="n">
        <v>0.8686</v>
      </c>
      <c r="M11" s="9" t="n">
        <v>0.8686</v>
      </c>
      <c r="N11" s="9" t="n">
        <v>0.8686</v>
      </c>
      <c r="O11" s="9" t="n">
        <v>0.8699</v>
      </c>
      <c r="P11" s="9" t="n">
        <v>0.8699</v>
      </c>
      <c r="Q11" s="9" t="n">
        <v>0.871</v>
      </c>
      <c r="R11" s="8">
        <f>AVERAGE(E11:Q11)</f>
        <v/>
      </c>
    </row>
    <row r="12">
      <c r="C12" s="1" t="n"/>
      <c r="D12" s="7" t="inlineStr">
        <is>
          <t>osa before 2027</t>
        </is>
      </c>
      <c r="E12" s="9" t="n">
        <v>0.8941</v>
      </c>
      <c r="F12" s="9" t="n">
        <v>0.9195</v>
      </c>
      <c r="G12" s="9" t="n">
        <v>0.9121</v>
      </c>
      <c r="H12" s="9" t="n">
        <v>0.9241</v>
      </c>
      <c r="I12" s="9" t="n">
        <v>0.9303</v>
      </c>
      <c r="J12" s="9" t="n">
        <v>0.9347</v>
      </c>
      <c r="K12" s="9" t="n">
        <v>0.9225</v>
      </c>
      <c r="L12" s="9" t="n">
        <v>0.8686</v>
      </c>
      <c r="M12" s="9" t="n">
        <v>0.8689</v>
      </c>
      <c r="N12" s="9" t="n">
        <v>0.8703</v>
      </c>
      <c r="O12" s="9" t="n">
        <v>0.8735000000000001</v>
      </c>
      <c r="P12" s="9" t="n">
        <v>0.8739</v>
      </c>
      <c r="Q12" s="9" t="n">
        <v>0.876</v>
      </c>
      <c r="R12" s="9">
        <f>AVERAGE(E12:Q12)</f>
        <v/>
      </c>
    </row>
    <row r="13">
      <c r="C13" s="1" t="n"/>
      <c r="D13" s="7" t="inlineStr">
        <is>
          <t>dif</t>
        </is>
      </c>
      <c r="E13" s="8">
        <f>E12-E11</f>
        <v/>
      </c>
      <c r="F13" s="8">
        <f>F12-F11</f>
        <v/>
      </c>
      <c r="G13" s="8">
        <f>G12-G11</f>
        <v/>
      </c>
      <c r="H13" s="8">
        <f>H12-H11</f>
        <v/>
      </c>
      <c r="I13" s="8">
        <f>I12-I11</f>
        <v/>
      </c>
      <c r="J13" s="8">
        <f>J12-J11</f>
        <v/>
      </c>
      <c r="K13" s="8">
        <f>K12-K11</f>
        <v/>
      </c>
      <c r="L13" s="8">
        <f>L12-L11</f>
        <v/>
      </c>
      <c r="M13" s="8">
        <f>M12-M11</f>
        <v/>
      </c>
      <c r="N13" s="8">
        <f>N12-N11</f>
        <v/>
      </c>
      <c r="O13" s="8">
        <f>O12-O11</f>
        <v/>
      </c>
      <c r="P13" s="8">
        <f>P12-P11</f>
        <v/>
      </c>
      <c r="Q13" s="8">
        <f>Q12-Q11</f>
        <v/>
      </c>
      <c r="R13" s="8">
        <f>R12-R11</f>
        <v/>
      </c>
    </row>
    <row r="14">
      <c r="C14" s="1" t="n"/>
      <c r="D14" s="7" t="inlineStr">
        <is>
          <t>ЭФ-т LSV, %</t>
        </is>
      </c>
      <c r="E14" s="8">
        <f>E13/0.03*0.01</f>
        <v/>
      </c>
      <c r="F14" s="8">
        <f>F13/0.03*0.01</f>
        <v/>
      </c>
      <c r="G14" s="8">
        <f>G13/0.03*0.01</f>
        <v/>
      </c>
      <c r="H14" s="8">
        <f>H13/0.03*0.01</f>
        <v/>
      </c>
      <c r="I14" s="8">
        <f>I13/0.03*0.01</f>
        <v/>
      </c>
      <c r="J14" s="8">
        <f>J13/0.03*0.01</f>
        <v/>
      </c>
      <c r="K14" s="8">
        <f>K13/0.03*0.01</f>
        <v/>
      </c>
      <c r="L14" s="8">
        <f>L13/0.03*0.01</f>
        <v/>
      </c>
      <c r="M14" s="8">
        <f>M13/0.03*0.01</f>
        <v/>
      </c>
      <c r="N14" s="8">
        <f>N13/0.03*0.01</f>
        <v/>
      </c>
      <c r="O14" s="8">
        <f>O13/0.03*0.01</f>
        <v/>
      </c>
      <c r="P14" s="8">
        <f>P13/0.03*0.01</f>
        <v/>
      </c>
      <c r="Q14" s="8">
        <f>Q13/0.03*0.01</f>
        <v/>
      </c>
      <c r="R14" s="8">
        <f>R13/0.03*0.01</f>
        <v/>
      </c>
    </row>
    <row r="15">
      <c r="C15" s="10" t="n"/>
      <c r="D15" s="10" t="inlineStr">
        <is>
          <t>ЭФ-т, млн руб Osa Base</t>
        </is>
      </c>
      <c r="E15" s="11">
        <f>E4*E14</f>
        <v/>
      </c>
      <c r="F15" s="11">
        <f>F4*F14</f>
        <v/>
      </c>
      <c r="G15" s="11">
        <f>G4*G14</f>
        <v/>
      </c>
      <c r="H15" s="11">
        <f>H4*H14</f>
        <v/>
      </c>
      <c r="I15" s="11">
        <f>I4*I14</f>
        <v/>
      </c>
      <c r="J15" s="11">
        <f>J4*J14</f>
        <v/>
      </c>
      <c r="K15" s="11">
        <f>K4*K14</f>
        <v/>
      </c>
      <c r="L15" s="11">
        <f>L4*L14</f>
        <v/>
      </c>
      <c r="M15" s="11">
        <f>M4*M14</f>
        <v/>
      </c>
      <c r="N15" s="11">
        <f>N4*N14</f>
        <v/>
      </c>
      <c r="O15" s="11">
        <f>O4*O14</f>
        <v/>
      </c>
      <c r="P15" s="11">
        <f>P4*P14</f>
        <v/>
      </c>
      <c r="Q15" s="11">
        <f>Q4*Q14</f>
        <v/>
      </c>
      <c r="R15" s="11">
        <f>SUM(E15:Q15)</f>
        <v/>
      </c>
    </row>
    <row r="16">
      <c r="C16" s="12" t="inlineStr">
        <is>
          <t>OSA</t>
        </is>
      </c>
      <c r="D16" s="4" t="inlineStr">
        <is>
          <t>total OSA 2026</t>
        </is>
      </c>
      <c r="E16" s="13">
        <f>MIN(E6+E11,1)</f>
        <v/>
      </c>
      <c r="F16" s="13">
        <f>MIN(F6+F11,1)</f>
        <v/>
      </c>
      <c r="G16" s="13">
        <f>MIN(G6+G11,1)</f>
        <v/>
      </c>
      <c r="H16" s="13">
        <f>MIN(H6+H11,1)</f>
        <v/>
      </c>
      <c r="I16" s="13">
        <f>MIN(I6+I11,1)</f>
        <v/>
      </c>
      <c r="J16" s="13">
        <f>MIN(J6+J11,1)</f>
        <v/>
      </c>
      <c r="K16" s="13">
        <f>MIN(K6+K11,1)</f>
        <v/>
      </c>
      <c r="L16" s="13">
        <f>MIN(L6+L11,1)</f>
        <v/>
      </c>
      <c r="M16" s="13">
        <f>MIN(M6+M11,1)</f>
        <v/>
      </c>
      <c r="N16" s="13">
        <f>MIN(N6+N11,1)</f>
        <v/>
      </c>
      <c r="O16" s="13">
        <f>MIN(O6+O11,1)</f>
        <v/>
      </c>
      <c r="P16" s="13">
        <f>MIN(P6+P11,1)</f>
        <v/>
      </c>
      <c r="Q16" s="13">
        <f>MIN(Q6+Q11,1)</f>
        <v/>
      </c>
      <c r="R16" s="13">
        <f>AVERAGE(E16:Q16)</f>
        <v/>
      </c>
    </row>
    <row r="17">
      <c r="C17" s="2" t="n"/>
      <c r="D17" s="4" t="inlineStr">
        <is>
          <t>total OSA 2027</t>
        </is>
      </c>
      <c r="E17" s="13">
        <f>MIN(E7+E12,1)</f>
        <v/>
      </c>
      <c r="F17" s="13">
        <f>MIN(F7+F12,1)</f>
        <v/>
      </c>
      <c r="G17" s="13">
        <f>MIN(G7+G12,1)</f>
        <v/>
      </c>
      <c r="H17" s="13">
        <f>MIN(H7+H12,1)</f>
        <v/>
      </c>
      <c r="I17" s="13">
        <f>MIN(I7+I12,1)</f>
        <v/>
      </c>
      <c r="J17" s="13">
        <f>MIN(J7+J12,1)</f>
        <v/>
      </c>
      <c r="K17" s="13">
        <f>MIN(K7+K12,1)</f>
        <v/>
      </c>
      <c r="L17" s="13">
        <f>MIN(L7+L12,1)</f>
        <v/>
      </c>
      <c r="M17" s="13">
        <f>MIN(M7+M12,1)</f>
        <v/>
      </c>
      <c r="N17" s="13">
        <f>MIN(N7+N12,1)</f>
        <v/>
      </c>
      <c r="O17" s="13">
        <f>MIN(O7+O12,1)</f>
        <v/>
      </c>
      <c r="P17" s="13">
        <f>MIN(P7+P12,1)</f>
        <v/>
      </c>
      <c r="Q17" s="13">
        <f>MIN(Q7+Q12,1)</f>
        <v/>
      </c>
      <c r="R17" s="13">
        <f>AVERAGE(E17:Q17)</f>
        <v/>
      </c>
    </row>
    <row r="18">
      <c r="C18" s="1" t="n"/>
      <c r="D18" s="7" t="inlineStr">
        <is>
          <t>dif</t>
        </is>
      </c>
      <c r="E18" s="8">
        <f>E17-E16</f>
        <v/>
      </c>
      <c r="F18" s="8">
        <f>F17-F16</f>
        <v/>
      </c>
      <c r="G18" s="8">
        <f>G17-G16</f>
        <v/>
      </c>
      <c r="H18" s="8">
        <f>H17-H16</f>
        <v/>
      </c>
      <c r="I18" s="8">
        <f>I17-I16</f>
        <v/>
      </c>
      <c r="J18" s="8">
        <f>J17-J16</f>
        <v/>
      </c>
      <c r="K18" s="8">
        <f>K17-K16</f>
        <v/>
      </c>
      <c r="L18" s="8">
        <f>L17-L16</f>
        <v/>
      </c>
      <c r="M18" s="8">
        <f>M17-M16</f>
        <v/>
      </c>
      <c r="N18" s="8">
        <f>N17-N16</f>
        <v/>
      </c>
      <c r="O18" s="8">
        <f>O17-O16</f>
        <v/>
      </c>
      <c r="P18" s="8">
        <f>P17-P16</f>
        <v/>
      </c>
      <c r="Q18" s="8">
        <f>Q17-Q16</f>
        <v/>
      </c>
      <c r="R18" s="8">
        <f>R17-R16</f>
        <v/>
      </c>
    </row>
    <row r="19">
      <c r="C19" s="10" t="n"/>
      <c r="D19" s="10" t="inlineStr">
        <is>
          <t>total 2027 млн руб</t>
        </is>
      </c>
      <c r="E19" s="11">
        <f>E10+E15</f>
        <v/>
      </c>
      <c r="F19" s="11">
        <f>F10+F15</f>
        <v/>
      </c>
      <c r="G19" s="11">
        <f>G10+G15</f>
        <v/>
      </c>
      <c r="H19" s="11">
        <f>H10+H15</f>
        <v/>
      </c>
      <c r="I19" s="11">
        <f>I10+I15</f>
        <v/>
      </c>
      <c r="J19" s="11">
        <f>J10+J15</f>
        <v/>
      </c>
      <c r="K19" s="11">
        <f>K10+K15</f>
        <v/>
      </c>
      <c r="L19" s="11">
        <f>L10+L15</f>
        <v/>
      </c>
      <c r="M19" s="11">
        <f>M10+M15</f>
        <v/>
      </c>
      <c r="N19" s="11">
        <f>N10+N15</f>
        <v/>
      </c>
      <c r="O19" s="11">
        <f>O10+O15</f>
        <v/>
      </c>
      <c r="P19" s="11">
        <f>P10+P15</f>
        <v/>
      </c>
      <c r="Q19" s="11">
        <f>Q10+Q15</f>
        <v/>
      </c>
      <c r="R19" s="11">
        <f>R10+R15</f>
        <v/>
      </c>
    </row>
    <row r="22">
      <c r="C22" s="1" t="n"/>
      <c r="D22" s="1" t="n"/>
      <c r="E22" s="2" t="inlineStr">
        <is>
          <t>P1</t>
        </is>
      </c>
      <c r="F22" s="2" t="inlineStr">
        <is>
          <t>P2</t>
        </is>
      </c>
      <c r="G22" s="2" t="inlineStr">
        <is>
          <t>P3</t>
        </is>
      </c>
      <c r="H22" s="2" t="inlineStr">
        <is>
          <t>P4</t>
        </is>
      </c>
      <c r="I22" s="2" t="inlineStr">
        <is>
          <t>P5</t>
        </is>
      </c>
      <c r="J22" s="2" t="inlineStr">
        <is>
          <t>P6</t>
        </is>
      </c>
      <c r="K22" s="2" t="inlineStr">
        <is>
          <t>P7</t>
        </is>
      </c>
      <c r="L22" s="2" t="inlineStr">
        <is>
          <t>P8</t>
        </is>
      </c>
      <c r="M22" s="2" t="inlineStr">
        <is>
          <t>P9</t>
        </is>
      </c>
      <c r="N22" s="2" t="inlineStr">
        <is>
          <t>P10</t>
        </is>
      </c>
      <c r="O22" s="2" t="inlineStr">
        <is>
          <t>P11</t>
        </is>
      </c>
      <c r="P22" s="2" t="inlineStr">
        <is>
          <t>P12</t>
        </is>
      </c>
      <c r="Q22" s="2" t="inlineStr">
        <is>
          <t>P13</t>
        </is>
      </c>
      <c r="R22" s="2" t="inlineStr">
        <is>
          <t>total</t>
        </is>
      </c>
    </row>
    <row r="23">
      <c r="C23" s="3" t="inlineStr">
        <is>
          <t>Самбери</t>
        </is>
      </c>
      <c r="D23" s="4" t="inlineStr">
        <is>
          <t>DMR</t>
        </is>
      </c>
      <c r="E23" s="5" t="n">
        <v>18138832.54999993</v>
      </c>
      <c r="F23" s="5" t="n">
        <v>22874277.28000018</v>
      </c>
      <c r="G23" s="5" t="n">
        <v>20861621.9800005</v>
      </c>
      <c r="H23" s="5" t="n">
        <v>18858655.84999991</v>
      </c>
      <c r="I23" s="5" t="n">
        <v>20035393.83000049</v>
      </c>
      <c r="J23" s="5" t="n">
        <v>22238039.10999999</v>
      </c>
      <c r="K23" s="5" t="n">
        <v>20152442.54999998</v>
      </c>
      <c r="L23" s="5" t="n">
        <v>28571901.54999923</v>
      </c>
      <c r="M23" s="5" t="n">
        <v>22020816.45904527</v>
      </c>
      <c r="N23" s="5" t="n">
        <v>23728548.25951865</v>
      </c>
      <c r="O23" s="5" t="n">
        <v>23571426.5455211</v>
      </c>
      <c r="P23" s="5" t="n">
        <v>23475779.87236098</v>
      </c>
      <c r="Q23" s="5" t="n">
        <v>26290501.59327581</v>
      </c>
      <c r="R23" s="5">
        <f>SUM(E23:Q23)</f>
        <v/>
      </c>
    </row>
    <row r="24">
      <c r="C24" s="6" t="n"/>
      <c r="D24" s="7" t="inlineStr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C25" s="1" t="n"/>
      <c r="D25" s="7" t="inlineStr">
        <is>
          <t>Merch Impact 2026</t>
        </is>
      </c>
      <c r="E25" s="8" t="n">
        <v>0.1605</v>
      </c>
      <c r="F25" s="8" t="n">
        <v>0.1292</v>
      </c>
      <c r="G25" s="8" t="n">
        <v>0.1106</v>
      </c>
      <c r="H25" s="8" t="n">
        <v>0.09569999999999999</v>
      </c>
      <c r="I25" s="8" t="n">
        <v>0.1032</v>
      </c>
      <c r="J25" s="8" t="n">
        <v>0.1265</v>
      </c>
      <c r="K25" s="8" t="n">
        <v>0.1358</v>
      </c>
      <c r="L25" s="8" t="n">
        <v>0.1199</v>
      </c>
      <c r="M25" s="9" t="n">
        <v>0.1253</v>
      </c>
      <c r="N25" s="9" t="n">
        <v>0.1292</v>
      </c>
      <c r="O25" s="9" t="n">
        <v>0.1324</v>
      </c>
      <c r="P25" s="9" t="n">
        <v>0.1338</v>
      </c>
      <c r="Q25" s="9" t="n">
        <v>0.1389</v>
      </c>
      <c r="R25" s="8">
        <f>AVERAGE(E25:Q25)</f>
        <v/>
      </c>
    </row>
    <row r="26">
      <c r="C26" s="1" t="n"/>
      <c r="D26" s="7" t="inlineStr">
        <is>
          <t>Merch Impact 2027</t>
        </is>
      </c>
      <c r="E26" s="9" t="n">
        <v>0.168</v>
      </c>
      <c r="F26" s="9" t="n">
        <v>0.1338</v>
      </c>
      <c r="G26" s="9" t="n">
        <v>0.1165</v>
      </c>
      <c r="H26" s="9" t="n">
        <v>0.1069</v>
      </c>
      <c r="I26" s="9" t="n">
        <v>0.1084</v>
      </c>
      <c r="J26" s="9" t="n">
        <v>0.1366</v>
      </c>
      <c r="K26" s="9" t="n">
        <v>0.1439</v>
      </c>
      <c r="L26" s="9" t="n">
        <v>0.1289</v>
      </c>
      <c r="M26" s="9" t="n">
        <v>0.1337</v>
      </c>
      <c r="N26" s="9" t="n">
        <v>0.1399</v>
      </c>
      <c r="O26" s="9" t="n">
        <v>0.1355</v>
      </c>
      <c r="P26" s="9" t="n">
        <v>0.1361</v>
      </c>
      <c r="Q26" s="9" t="n">
        <v>0.1534</v>
      </c>
      <c r="R26" s="9">
        <f>AVERAGE(E26:Q26)</f>
        <v/>
      </c>
    </row>
    <row r="27">
      <c r="C27" s="1" t="n"/>
      <c r="D27" s="7" t="inlineStr">
        <is>
          <t>dif</t>
        </is>
      </c>
      <c r="E27" s="8">
        <f>E26-E25</f>
        <v/>
      </c>
      <c r="F27" s="8">
        <f>F26-F25</f>
        <v/>
      </c>
      <c r="G27" s="8">
        <f>G26-G25</f>
        <v/>
      </c>
      <c r="H27" s="8">
        <f>H26-H25</f>
        <v/>
      </c>
      <c r="I27" s="8">
        <f>I26-I25</f>
        <v/>
      </c>
      <c r="J27" s="8">
        <f>J26-J25</f>
        <v/>
      </c>
      <c r="K27" s="8">
        <f>K26-K25</f>
        <v/>
      </c>
      <c r="L27" s="8">
        <f>L26-L25</f>
        <v/>
      </c>
      <c r="M27" s="8">
        <f>M26-M25</f>
        <v/>
      </c>
      <c r="N27" s="8">
        <f>N26-N25</f>
        <v/>
      </c>
      <c r="O27" s="8">
        <f>O26-O25</f>
        <v/>
      </c>
      <c r="P27" s="8">
        <f>P26-P25</f>
        <v/>
      </c>
      <c r="Q27" s="8">
        <f>Q26-Q25</f>
        <v/>
      </c>
      <c r="R27" s="8">
        <f>R26-R25</f>
        <v/>
      </c>
    </row>
    <row r="28">
      <c r="C28" s="1" t="n"/>
      <c r="D28" s="7" t="inlineStr">
        <is>
          <t>ЭФ-т LSV, %</t>
        </is>
      </c>
      <c r="E28" s="8">
        <f>E27/0.03*0.01</f>
        <v/>
      </c>
      <c r="F28" s="8">
        <f>F27/0.03*0.01</f>
        <v/>
      </c>
      <c r="G28" s="8">
        <f>G27/0.03*0.01</f>
        <v/>
      </c>
      <c r="H28" s="8">
        <f>H27/0.03*0.01</f>
        <v/>
      </c>
      <c r="I28" s="8">
        <f>I27/0.03*0.01</f>
        <v/>
      </c>
      <c r="J28" s="8">
        <f>J27/0.03*0.01</f>
        <v/>
      </c>
      <c r="K28" s="8">
        <f>K27/0.03*0.01</f>
        <v/>
      </c>
      <c r="L28" s="8">
        <f>L27/0.03*0.01</f>
        <v/>
      </c>
      <c r="M28" s="8">
        <f>M27/0.03*0.01</f>
        <v/>
      </c>
      <c r="N28" s="8">
        <f>N27/0.03*0.01</f>
        <v/>
      </c>
      <c r="O28" s="8">
        <f>O27/0.03*0.01</f>
        <v/>
      </c>
      <c r="P28" s="8">
        <f>P27/0.03*0.01</f>
        <v/>
      </c>
      <c r="Q28" s="8">
        <f>Q27/0.03*0.01</f>
        <v/>
      </c>
      <c r="R28" s="8">
        <f>R27/0.03*0.01</f>
        <v/>
      </c>
    </row>
    <row r="29">
      <c r="C29" s="10" t="n"/>
      <c r="D29" s="10" t="inlineStr">
        <is>
          <t>ЭФ-т, млн руб Merch in</t>
        </is>
      </c>
      <c r="E29" s="11">
        <f>E23*E28</f>
        <v/>
      </c>
      <c r="F29" s="11">
        <f>F23*F28</f>
        <v/>
      </c>
      <c r="G29" s="11">
        <f>G23*G28</f>
        <v/>
      </c>
      <c r="H29" s="11">
        <f>H23*H28</f>
        <v/>
      </c>
      <c r="I29" s="11">
        <f>I23*I28</f>
        <v/>
      </c>
      <c r="J29" s="11">
        <f>J23*J28</f>
        <v/>
      </c>
      <c r="K29" s="11">
        <f>K23*K28</f>
        <v/>
      </c>
      <c r="L29" s="11">
        <f>L23*L28</f>
        <v/>
      </c>
      <c r="M29" s="11">
        <f>M23*M28</f>
        <v/>
      </c>
      <c r="N29" s="11">
        <f>N23*N28</f>
        <v/>
      </c>
      <c r="O29" s="11">
        <f>O23*O28</f>
        <v/>
      </c>
      <c r="P29" s="11">
        <f>P23*P28</f>
        <v/>
      </c>
      <c r="Q29" s="11">
        <f>Q23*Q28</f>
        <v/>
      </c>
      <c r="R29" s="11">
        <f>SUM(E29:Q29)</f>
        <v/>
      </c>
    </row>
    <row r="30">
      <c r="C30" s="12" t="inlineStr">
        <is>
          <t>OSA before</t>
        </is>
      </c>
      <c r="D30" s="7" t="inlineStr">
        <is>
          <t>osa before 2026</t>
        </is>
      </c>
      <c r="E30" s="8" t="n">
        <v>0.7643</v>
      </c>
      <c r="F30" s="8" t="n">
        <v>0.8121</v>
      </c>
      <c r="G30" s="8" t="n">
        <v>0.843</v>
      </c>
      <c r="H30" s="8" t="n">
        <v>0.8744</v>
      </c>
      <c r="I30" s="8" t="n">
        <v>0.8589</v>
      </c>
      <c r="J30" s="8" t="n">
        <v>0.8299</v>
      </c>
      <c r="K30" s="8" t="n">
        <v>0.8147</v>
      </c>
      <c r="L30" s="8" t="n">
        <v>0.8383</v>
      </c>
      <c r="M30" s="9" t="n">
        <v>0.8383</v>
      </c>
      <c r="N30" s="9" t="n">
        <v>0.8391999999999999</v>
      </c>
      <c r="O30" s="9" t="n">
        <v>0.8408</v>
      </c>
      <c r="P30" s="9" t="n">
        <v>0.8421</v>
      </c>
      <c r="Q30" s="9" t="n">
        <v>0.8441</v>
      </c>
      <c r="R30" s="8">
        <f>AVERAGE(E30:Q30)</f>
        <v/>
      </c>
    </row>
    <row r="31">
      <c r="C31" s="1" t="n"/>
      <c r="D31" s="7" t="inlineStr">
        <is>
          <t>osa before 2027</t>
        </is>
      </c>
      <c r="E31" s="9" t="n">
        <v>0.7673</v>
      </c>
      <c r="F31" s="9" t="n">
        <v>0.8121</v>
      </c>
      <c r="G31" s="9" t="n">
        <v>0.8488</v>
      </c>
      <c r="H31" s="9" t="n">
        <v>0.8744</v>
      </c>
      <c r="I31" s="9" t="n">
        <v>0.8639</v>
      </c>
      <c r="J31" s="9" t="n">
        <v>0.8399</v>
      </c>
      <c r="K31" s="9" t="n">
        <v>0.8247</v>
      </c>
      <c r="L31" s="9" t="n">
        <v>0.8437</v>
      </c>
      <c r="M31" s="9" t="n">
        <v>0.8449</v>
      </c>
      <c r="N31" s="9" t="n">
        <v>0.846</v>
      </c>
      <c r="O31" s="9" t="n">
        <v>0.8478</v>
      </c>
      <c r="P31" s="9" t="n">
        <v>0.8495</v>
      </c>
      <c r="Q31" s="9" t="n">
        <v>0.8527</v>
      </c>
      <c r="R31" s="9">
        <f>AVERAGE(E31:Q31)</f>
        <v/>
      </c>
    </row>
    <row r="32">
      <c r="C32" s="1" t="n"/>
      <c r="D32" s="7" t="inlineStr">
        <is>
          <t>dif</t>
        </is>
      </c>
      <c r="E32" s="8">
        <f>E31-E30</f>
        <v/>
      </c>
      <c r="F32" s="8">
        <f>F31-F30</f>
        <v/>
      </c>
      <c r="G32" s="8">
        <f>G31-G30</f>
        <v/>
      </c>
      <c r="H32" s="8">
        <f>H31-H30</f>
        <v/>
      </c>
      <c r="I32" s="8">
        <f>I31-I30</f>
        <v/>
      </c>
      <c r="J32" s="8">
        <f>J31-J30</f>
        <v/>
      </c>
      <c r="K32" s="8">
        <f>K31-K30</f>
        <v/>
      </c>
      <c r="L32" s="8">
        <f>L31-L30</f>
        <v/>
      </c>
      <c r="M32" s="8">
        <f>M31-M30</f>
        <v/>
      </c>
      <c r="N32" s="8">
        <f>N31-N30</f>
        <v/>
      </c>
      <c r="O32" s="8">
        <f>O31-O30</f>
        <v/>
      </c>
      <c r="P32" s="8">
        <f>P31-P30</f>
        <v/>
      </c>
      <c r="Q32" s="8">
        <f>Q31-Q30</f>
        <v/>
      </c>
      <c r="R32" s="8">
        <f>R31-R30</f>
        <v/>
      </c>
    </row>
    <row r="33">
      <c r="C33" s="1" t="n"/>
      <c r="D33" s="7" t="inlineStr">
        <is>
          <t>ЭФ-т LSV, %</t>
        </is>
      </c>
      <c r="E33" s="8">
        <f>E32/0.03*0.01</f>
        <v/>
      </c>
      <c r="F33" s="8">
        <f>F32/0.03*0.01</f>
        <v/>
      </c>
      <c r="G33" s="8">
        <f>G32/0.03*0.01</f>
        <v/>
      </c>
      <c r="H33" s="8">
        <f>H32/0.03*0.01</f>
        <v/>
      </c>
      <c r="I33" s="8">
        <f>I32/0.03*0.01</f>
        <v/>
      </c>
      <c r="J33" s="8">
        <f>J32/0.03*0.01</f>
        <v/>
      </c>
      <c r="K33" s="8">
        <f>K32/0.03*0.01</f>
        <v/>
      </c>
      <c r="L33" s="8">
        <f>L32/0.03*0.01</f>
        <v/>
      </c>
      <c r="M33" s="8">
        <f>M32/0.03*0.01</f>
        <v/>
      </c>
      <c r="N33" s="8">
        <f>N32/0.03*0.01</f>
        <v/>
      </c>
      <c r="O33" s="8">
        <f>O32/0.03*0.01</f>
        <v/>
      </c>
      <c r="P33" s="8">
        <f>P32/0.03*0.01</f>
        <v/>
      </c>
      <c r="Q33" s="8">
        <f>Q32/0.03*0.01</f>
        <v/>
      </c>
      <c r="R33" s="8">
        <f>R32/0.03*0.01</f>
        <v/>
      </c>
    </row>
    <row r="34">
      <c r="C34" s="10" t="n"/>
      <c r="D34" s="10" t="inlineStr">
        <is>
          <t>ЭФ-т, млн руб Osa Base</t>
        </is>
      </c>
      <c r="E34" s="11">
        <f>E23*E33</f>
        <v/>
      </c>
      <c r="F34" s="11">
        <f>F23*F33</f>
        <v/>
      </c>
      <c r="G34" s="11">
        <f>G23*G33</f>
        <v/>
      </c>
      <c r="H34" s="11">
        <f>H23*H33</f>
        <v/>
      </c>
      <c r="I34" s="11">
        <f>I23*I33</f>
        <v/>
      </c>
      <c r="J34" s="11">
        <f>J23*J33</f>
        <v/>
      </c>
      <c r="K34" s="11">
        <f>K23*K33</f>
        <v/>
      </c>
      <c r="L34" s="11">
        <f>L23*L33</f>
        <v/>
      </c>
      <c r="M34" s="11">
        <f>M23*M33</f>
        <v/>
      </c>
      <c r="N34" s="11">
        <f>N23*N33</f>
        <v/>
      </c>
      <c r="O34" s="11">
        <f>O23*O33</f>
        <v/>
      </c>
      <c r="P34" s="11">
        <f>P23*P33</f>
        <v/>
      </c>
      <c r="Q34" s="11">
        <f>Q23*Q33</f>
        <v/>
      </c>
      <c r="R34" s="11">
        <f>SUM(E34:Q34)</f>
        <v/>
      </c>
    </row>
    <row r="35">
      <c r="C35" s="12" t="inlineStr">
        <is>
          <t>OSA</t>
        </is>
      </c>
      <c r="D35" s="4" t="inlineStr">
        <is>
          <t>total OSA 2026</t>
        </is>
      </c>
      <c r="E35" s="13">
        <f>MIN(E25+E30,1)</f>
        <v/>
      </c>
      <c r="F35" s="13">
        <f>MIN(F25+F30,1)</f>
        <v/>
      </c>
      <c r="G35" s="13">
        <f>MIN(G25+G30,1)</f>
        <v/>
      </c>
      <c r="H35" s="13">
        <f>MIN(H25+H30,1)</f>
        <v/>
      </c>
      <c r="I35" s="13">
        <f>MIN(I25+I30,1)</f>
        <v/>
      </c>
      <c r="J35" s="13">
        <f>MIN(J25+J30,1)</f>
        <v/>
      </c>
      <c r="K35" s="13">
        <f>MIN(K25+K30,1)</f>
        <v/>
      </c>
      <c r="L35" s="13">
        <f>MIN(L25+L30,1)</f>
        <v/>
      </c>
      <c r="M35" s="13">
        <f>MIN(M25+M30,1)</f>
        <v/>
      </c>
      <c r="N35" s="13">
        <f>MIN(N25+N30,1)</f>
        <v/>
      </c>
      <c r="O35" s="13">
        <f>MIN(O25+O30,1)</f>
        <v/>
      </c>
      <c r="P35" s="13">
        <f>MIN(P25+P30,1)</f>
        <v/>
      </c>
      <c r="Q35" s="13">
        <f>MIN(Q25+Q30,1)</f>
        <v/>
      </c>
      <c r="R35" s="13">
        <f>AVERAGE(E35:Q35)</f>
        <v/>
      </c>
    </row>
    <row r="36">
      <c r="C36" s="2" t="n"/>
      <c r="D36" s="4" t="inlineStr">
        <is>
          <t>total OSA 2027</t>
        </is>
      </c>
      <c r="E36" s="13">
        <f>MIN(E26+E31,1)</f>
        <v/>
      </c>
      <c r="F36" s="13">
        <f>MIN(F26+F31,1)</f>
        <v/>
      </c>
      <c r="G36" s="13">
        <f>MIN(G26+G31,1)</f>
        <v/>
      </c>
      <c r="H36" s="13">
        <f>MIN(H26+H31,1)</f>
        <v/>
      </c>
      <c r="I36" s="13">
        <f>MIN(I26+I31,1)</f>
        <v/>
      </c>
      <c r="J36" s="13">
        <f>MIN(J26+J31,1)</f>
        <v/>
      </c>
      <c r="K36" s="13">
        <f>MIN(K26+K31,1)</f>
        <v/>
      </c>
      <c r="L36" s="13">
        <f>MIN(L26+L31,1)</f>
        <v/>
      </c>
      <c r="M36" s="13">
        <f>MIN(M26+M31,1)</f>
        <v/>
      </c>
      <c r="N36" s="13">
        <f>MIN(N26+N31,1)</f>
        <v/>
      </c>
      <c r="O36" s="13">
        <f>MIN(O26+O31,1)</f>
        <v/>
      </c>
      <c r="P36" s="13">
        <f>MIN(P26+P31,1)</f>
        <v/>
      </c>
      <c r="Q36" s="13">
        <f>MIN(Q26+Q31,1)</f>
        <v/>
      </c>
      <c r="R36" s="13">
        <f>AVERAGE(E36:Q36)</f>
        <v/>
      </c>
    </row>
    <row r="37">
      <c r="C37" s="1" t="n"/>
      <c r="D37" s="7" t="inlineStr">
        <is>
          <t>dif</t>
        </is>
      </c>
      <c r="E37" s="8">
        <f>E36-E35</f>
        <v/>
      </c>
      <c r="F37" s="8">
        <f>F36-F35</f>
        <v/>
      </c>
      <c r="G37" s="8">
        <f>G36-G35</f>
        <v/>
      </c>
      <c r="H37" s="8">
        <f>H36-H35</f>
        <v/>
      </c>
      <c r="I37" s="8">
        <f>I36-I35</f>
        <v/>
      </c>
      <c r="J37" s="8">
        <f>J36-J35</f>
        <v/>
      </c>
      <c r="K37" s="8">
        <f>K36-K35</f>
        <v/>
      </c>
      <c r="L37" s="8">
        <f>L36-L35</f>
        <v/>
      </c>
      <c r="M37" s="8">
        <f>M36-M35</f>
        <v/>
      </c>
      <c r="N37" s="8">
        <f>N36-N35</f>
        <v/>
      </c>
      <c r="O37" s="8">
        <f>O36-O35</f>
        <v/>
      </c>
      <c r="P37" s="8">
        <f>P36-P35</f>
        <v/>
      </c>
      <c r="Q37" s="8">
        <f>Q36-Q35</f>
        <v/>
      </c>
      <c r="R37" s="8">
        <f>R36-R35</f>
        <v/>
      </c>
    </row>
    <row r="38">
      <c r="C38" s="10" t="n"/>
      <c r="D38" s="10" t="inlineStr">
        <is>
          <t>total 2027 млн руб</t>
        </is>
      </c>
      <c r="E38" s="11">
        <f>E29+E34</f>
        <v/>
      </c>
      <c r="F38" s="11">
        <f>F29+F34</f>
        <v/>
      </c>
      <c r="G38" s="11">
        <f>G29+G34</f>
        <v/>
      </c>
      <c r="H38" s="11">
        <f>H29+H34</f>
        <v/>
      </c>
      <c r="I38" s="11">
        <f>I29+I34</f>
        <v/>
      </c>
      <c r="J38" s="11">
        <f>J29+J34</f>
        <v/>
      </c>
      <c r="K38" s="11">
        <f>K29+K34</f>
        <v/>
      </c>
      <c r="L38" s="11">
        <f>L29+L34</f>
        <v/>
      </c>
      <c r="M38" s="11">
        <f>M29+M34</f>
        <v/>
      </c>
      <c r="N38" s="11">
        <f>N29+N34</f>
        <v/>
      </c>
      <c r="O38" s="11">
        <f>O29+O34</f>
        <v/>
      </c>
      <c r="P38" s="11">
        <f>P29+P34</f>
        <v/>
      </c>
      <c r="Q38" s="11">
        <f>Q29+Q34</f>
        <v/>
      </c>
      <c r="R38" s="11">
        <f>R29+R34</f>
        <v/>
      </c>
    </row>
    <row r="41">
      <c r="C41" s="1" t="n"/>
      <c r="D41" s="1" t="n"/>
      <c r="E41" s="2" t="inlineStr">
        <is>
          <t>P1</t>
        </is>
      </c>
      <c r="F41" s="2" t="inlineStr">
        <is>
          <t>P2</t>
        </is>
      </c>
      <c r="G41" s="2" t="inlineStr">
        <is>
          <t>P3</t>
        </is>
      </c>
      <c r="H41" s="2" t="inlineStr">
        <is>
          <t>P4</t>
        </is>
      </c>
      <c r="I41" s="2" t="inlineStr">
        <is>
          <t>P5</t>
        </is>
      </c>
      <c r="J41" s="2" t="inlineStr">
        <is>
          <t>P6</t>
        </is>
      </c>
      <c r="K41" s="2" t="inlineStr">
        <is>
          <t>P7</t>
        </is>
      </c>
      <c r="L41" s="2" t="inlineStr">
        <is>
          <t>P8</t>
        </is>
      </c>
      <c r="M41" s="2" t="inlineStr">
        <is>
          <t>P9</t>
        </is>
      </c>
      <c r="N41" s="2" t="inlineStr">
        <is>
          <t>P10</t>
        </is>
      </c>
      <c r="O41" s="2" t="inlineStr">
        <is>
          <t>P11</t>
        </is>
      </c>
      <c r="P41" s="2" t="inlineStr">
        <is>
          <t>P12</t>
        </is>
      </c>
      <c r="Q41" s="2" t="inlineStr">
        <is>
          <t>P13</t>
        </is>
      </c>
      <c r="R41" s="2" t="inlineStr">
        <is>
          <t>total</t>
        </is>
      </c>
    </row>
    <row r="42">
      <c r="C42" s="3" t="inlineStr">
        <is>
          <t>Ярче</t>
        </is>
      </c>
      <c r="D42" s="4" t="inlineStr">
        <is>
          <t>DMR</t>
        </is>
      </c>
      <c r="E42" s="5" t="n">
        <v>117593788.12</v>
      </c>
      <c r="F42" s="5" t="n">
        <v>158122618.48</v>
      </c>
      <c r="G42" s="5" t="n">
        <v>106749574.16</v>
      </c>
      <c r="H42" s="5" t="n">
        <v>99247148.56</v>
      </c>
      <c r="I42" s="5" t="n">
        <v>109516322.16</v>
      </c>
      <c r="J42" s="5" t="n">
        <v>75874622.9999999</v>
      </c>
      <c r="K42" s="5" t="n">
        <v>75335077.16</v>
      </c>
      <c r="L42" s="5" t="n">
        <v>105560472.12</v>
      </c>
      <c r="M42" s="5" t="n">
        <v>124300000</v>
      </c>
      <c r="N42" s="5" t="n">
        <v>125318582.401939</v>
      </c>
      <c r="O42" s="5" t="n">
        <v>137901616.0821793</v>
      </c>
      <c r="P42" s="5" t="n">
        <v>120557027.1287979</v>
      </c>
      <c r="Q42" s="5" t="n">
        <v>183088494.2788175</v>
      </c>
      <c r="R42" s="5">
        <f>SUM(E42:Q42)</f>
        <v/>
      </c>
    </row>
    <row r="43">
      <c r="C43" s="6" t="n"/>
      <c r="D43" s="7" t="inlineStr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C44" s="1" t="n"/>
      <c r="D44" s="7" t="inlineStr">
        <is>
          <t>Merch Impact 2026</t>
        </is>
      </c>
      <c r="E44" s="8" t="n">
        <v>0.1347</v>
      </c>
      <c r="F44" s="8" t="n">
        <v>0.1032</v>
      </c>
      <c r="G44" s="8" t="n">
        <v>0.08210000000000001</v>
      </c>
      <c r="H44" s="8" t="n">
        <v>0.08989999999999999</v>
      </c>
      <c r="I44" s="8" t="n">
        <v>0.097</v>
      </c>
      <c r="J44" s="8" t="n">
        <v>0.0948</v>
      </c>
      <c r="K44" s="8" t="n">
        <v>0.1066</v>
      </c>
      <c r="L44" s="8" t="n">
        <v>0.1111</v>
      </c>
      <c r="M44" s="9" t="n">
        <v>0.1144</v>
      </c>
      <c r="N44" s="9" t="n">
        <v>0.1165</v>
      </c>
      <c r="O44" s="9" t="n">
        <v>0.1224</v>
      </c>
      <c r="P44" s="9" t="n">
        <v>0.1269</v>
      </c>
      <c r="Q44" s="9" t="n">
        <v>0.1315</v>
      </c>
      <c r="R44" s="8">
        <f>AVERAGE(E44:Q44)</f>
        <v/>
      </c>
    </row>
    <row r="45">
      <c r="C45" s="1" t="n"/>
      <c r="D45" s="7" t="inlineStr">
        <is>
          <t>Merch Impact 2027</t>
        </is>
      </c>
      <c r="E45" s="9" t="n">
        <v>0.1422</v>
      </c>
      <c r="F45" s="9" t="n">
        <v>0.1076</v>
      </c>
      <c r="G45" s="9" t="n">
        <v>0.08459999999999999</v>
      </c>
      <c r="H45" s="9" t="n">
        <v>0.09859999999999999</v>
      </c>
      <c r="I45" s="9" t="n">
        <v>0.1062</v>
      </c>
      <c r="J45" s="9" t="n">
        <v>0.09619999999999999</v>
      </c>
      <c r="K45" s="9" t="n">
        <v>0.1185</v>
      </c>
      <c r="L45" s="9" t="n">
        <v>0.1241</v>
      </c>
      <c r="M45" s="9" t="n">
        <v>0.1195</v>
      </c>
      <c r="N45" s="9" t="n">
        <v>0.1206</v>
      </c>
      <c r="O45" s="9" t="n">
        <v>0.1248</v>
      </c>
      <c r="P45" s="9" t="n">
        <v>0.1388</v>
      </c>
      <c r="Q45" s="9" t="n">
        <v>0.141</v>
      </c>
      <c r="R45" s="9">
        <f>AVERAGE(E45:Q45)</f>
        <v/>
      </c>
    </row>
    <row r="46">
      <c r="C46" s="1" t="n"/>
      <c r="D46" s="7" t="inlineStr">
        <is>
          <t>dif</t>
        </is>
      </c>
      <c r="E46" s="8">
        <f>E45-E44</f>
        <v/>
      </c>
      <c r="F46" s="8">
        <f>F45-F44</f>
        <v/>
      </c>
      <c r="G46" s="8">
        <f>G45-G44</f>
        <v/>
      </c>
      <c r="H46" s="8">
        <f>H45-H44</f>
        <v/>
      </c>
      <c r="I46" s="8">
        <f>I45-I44</f>
        <v/>
      </c>
      <c r="J46" s="8">
        <f>J45-J44</f>
        <v/>
      </c>
      <c r="K46" s="8">
        <f>K45-K44</f>
        <v/>
      </c>
      <c r="L46" s="8">
        <f>L45-L44</f>
        <v/>
      </c>
      <c r="M46" s="8">
        <f>M45-M44</f>
        <v/>
      </c>
      <c r="N46" s="8">
        <f>N45-N44</f>
        <v/>
      </c>
      <c r="O46" s="8">
        <f>O45-O44</f>
        <v/>
      </c>
      <c r="P46" s="8">
        <f>P45-P44</f>
        <v/>
      </c>
      <c r="Q46" s="8">
        <f>Q45-Q44</f>
        <v/>
      </c>
      <c r="R46" s="8">
        <f>R45-R44</f>
        <v/>
      </c>
    </row>
    <row r="47">
      <c r="C47" s="1" t="n"/>
      <c r="D47" s="7" t="inlineStr">
        <is>
          <t>ЭФ-т LSV, %</t>
        </is>
      </c>
      <c r="E47" s="8">
        <f>E46/0.03*0.01</f>
        <v/>
      </c>
      <c r="F47" s="8">
        <f>F46/0.03*0.01</f>
        <v/>
      </c>
      <c r="G47" s="8">
        <f>G46/0.03*0.01</f>
        <v/>
      </c>
      <c r="H47" s="8">
        <f>H46/0.03*0.01</f>
        <v/>
      </c>
      <c r="I47" s="8">
        <f>I46/0.03*0.01</f>
        <v/>
      </c>
      <c r="J47" s="8">
        <f>J46/0.03*0.01</f>
        <v/>
      </c>
      <c r="K47" s="8">
        <f>K46/0.03*0.01</f>
        <v/>
      </c>
      <c r="L47" s="8">
        <f>L46/0.03*0.01</f>
        <v/>
      </c>
      <c r="M47" s="8">
        <f>M46/0.03*0.01</f>
        <v/>
      </c>
      <c r="N47" s="8">
        <f>N46/0.03*0.01</f>
        <v/>
      </c>
      <c r="O47" s="8">
        <f>O46/0.03*0.01</f>
        <v/>
      </c>
      <c r="P47" s="8">
        <f>P46/0.03*0.01</f>
        <v/>
      </c>
      <c r="Q47" s="8">
        <f>Q46/0.03*0.01</f>
        <v/>
      </c>
      <c r="R47" s="8">
        <f>R46/0.03*0.01</f>
        <v/>
      </c>
    </row>
    <row r="48">
      <c r="C48" s="10" t="n"/>
      <c r="D48" s="10" t="inlineStr">
        <is>
          <t>ЭФ-т, млн руб Merch in</t>
        </is>
      </c>
      <c r="E48" s="11">
        <f>E42*E47</f>
        <v/>
      </c>
      <c r="F48" s="11">
        <f>F42*F47</f>
        <v/>
      </c>
      <c r="G48" s="11">
        <f>G42*G47</f>
        <v/>
      </c>
      <c r="H48" s="11">
        <f>H42*H47</f>
        <v/>
      </c>
      <c r="I48" s="11">
        <f>I42*I47</f>
        <v/>
      </c>
      <c r="J48" s="11">
        <f>J42*J47</f>
        <v/>
      </c>
      <c r="K48" s="11">
        <f>K42*K47</f>
        <v/>
      </c>
      <c r="L48" s="11">
        <f>L42*L47</f>
        <v/>
      </c>
      <c r="M48" s="11">
        <f>M42*M47</f>
        <v/>
      </c>
      <c r="N48" s="11">
        <f>N42*N47</f>
        <v/>
      </c>
      <c r="O48" s="11">
        <f>O42*O47</f>
        <v/>
      </c>
      <c r="P48" s="11">
        <f>P42*P47</f>
        <v/>
      </c>
      <c r="Q48" s="11">
        <f>Q42*Q47</f>
        <v/>
      </c>
      <c r="R48" s="11">
        <f>SUM(E48:Q48)</f>
        <v/>
      </c>
    </row>
    <row r="49">
      <c r="C49" s="12" t="inlineStr">
        <is>
          <t>OSA before</t>
        </is>
      </c>
      <c r="D49" s="7" t="inlineStr">
        <is>
          <t>osa before 2026</t>
        </is>
      </c>
      <c r="E49" s="8" t="n">
        <v>0.7161999999999999</v>
      </c>
      <c r="F49" s="8" t="n">
        <v>0.7161999999999999</v>
      </c>
      <c r="G49" s="8" t="n">
        <v>0.869</v>
      </c>
      <c r="H49" s="8" t="n">
        <v>0.848</v>
      </c>
      <c r="I49" s="8" t="n">
        <v>0.8331</v>
      </c>
      <c r="J49" s="8" t="n">
        <v>0.8686</v>
      </c>
      <c r="K49" s="8" t="n">
        <v>0.8517</v>
      </c>
      <c r="L49" s="8" t="n">
        <v>0.8495</v>
      </c>
      <c r="M49" s="9" t="n">
        <v>0.8495</v>
      </c>
      <c r="N49" s="9" t="n">
        <v>0.8496</v>
      </c>
      <c r="O49" s="9" t="n">
        <v>0.8516</v>
      </c>
      <c r="P49" s="9" t="n">
        <v>0.8537</v>
      </c>
      <c r="Q49" s="9" t="n">
        <v>0.8537</v>
      </c>
      <c r="R49" s="8">
        <f>AVERAGE(E49:Q49)</f>
        <v/>
      </c>
    </row>
    <row r="50">
      <c r="C50" s="1" t="n"/>
      <c r="D50" s="7" t="inlineStr">
        <is>
          <t>osa before 2027</t>
        </is>
      </c>
      <c r="E50" s="9" t="n">
        <v>0.7169</v>
      </c>
      <c r="F50" s="9" t="n">
        <v>0.7198</v>
      </c>
      <c r="G50" s="9" t="n">
        <v>0.869</v>
      </c>
      <c r="H50" s="9" t="n">
        <v>0.8548</v>
      </c>
      <c r="I50" s="9" t="n">
        <v>0.8417</v>
      </c>
      <c r="J50" s="9" t="n">
        <v>0.8736</v>
      </c>
      <c r="K50" s="9" t="n">
        <v>0.8567</v>
      </c>
      <c r="L50" s="9" t="n">
        <v>0.8569</v>
      </c>
      <c r="M50" s="9" t="n">
        <v>0.8584000000000001</v>
      </c>
      <c r="N50" s="9" t="n">
        <v>0.8596</v>
      </c>
      <c r="O50" s="9" t="n">
        <v>0.8566</v>
      </c>
      <c r="P50" s="9" t="n">
        <v>0.8587</v>
      </c>
      <c r="Q50" s="9" t="n">
        <v>0.8587</v>
      </c>
      <c r="R50" s="9">
        <f>AVERAGE(E50:Q50)</f>
        <v/>
      </c>
    </row>
    <row r="51">
      <c r="C51" s="1" t="n"/>
      <c r="D51" s="7" t="inlineStr">
        <is>
          <t>dif</t>
        </is>
      </c>
      <c r="E51" s="8">
        <f>E50-E49</f>
        <v/>
      </c>
      <c r="F51" s="8">
        <f>F50-F49</f>
        <v/>
      </c>
      <c r="G51" s="8">
        <f>G50-G49</f>
        <v/>
      </c>
      <c r="H51" s="8">
        <f>H50-H49</f>
        <v/>
      </c>
      <c r="I51" s="8">
        <f>I50-I49</f>
        <v/>
      </c>
      <c r="J51" s="8">
        <f>J50-J49</f>
        <v/>
      </c>
      <c r="K51" s="8">
        <f>K50-K49</f>
        <v/>
      </c>
      <c r="L51" s="8">
        <f>L50-L49</f>
        <v/>
      </c>
      <c r="M51" s="8">
        <f>M50-M49</f>
        <v/>
      </c>
      <c r="N51" s="8">
        <f>N50-N49</f>
        <v/>
      </c>
      <c r="O51" s="8">
        <f>O50-O49</f>
        <v/>
      </c>
      <c r="P51" s="8">
        <f>P50-P49</f>
        <v/>
      </c>
      <c r="Q51" s="8">
        <f>Q50-Q49</f>
        <v/>
      </c>
      <c r="R51" s="8">
        <f>R50-R49</f>
        <v/>
      </c>
    </row>
    <row r="52">
      <c r="C52" s="1" t="n"/>
      <c r="D52" s="7" t="inlineStr">
        <is>
          <t>ЭФ-т LSV, %</t>
        </is>
      </c>
      <c r="E52" s="8">
        <f>E51/0.03*0.01</f>
        <v/>
      </c>
      <c r="F52" s="8">
        <f>F51/0.03*0.01</f>
        <v/>
      </c>
      <c r="G52" s="8">
        <f>G51/0.03*0.01</f>
        <v/>
      </c>
      <c r="H52" s="8">
        <f>H51/0.03*0.01</f>
        <v/>
      </c>
      <c r="I52" s="8">
        <f>I51/0.03*0.01</f>
        <v/>
      </c>
      <c r="J52" s="8">
        <f>J51/0.03*0.01</f>
        <v/>
      </c>
      <c r="K52" s="8">
        <f>K51/0.03*0.01</f>
        <v/>
      </c>
      <c r="L52" s="8">
        <f>L51/0.03*0.01</f>
        <v/>
      </c>
      <c r="M52" s="8">
        <f>M51/0.03*0.01</f>
        <v/>
      </c>
      <c r="N52" s="8">
        <f>N51/0.03*0.01</f>
        <v/>
      </c>
      <c r="O52" s="8">
        <f>O51/0.03*0.01</f>
        <v/>
      </c>
      <c r="P52" s="8">
        <f>P51/0.03*0.01</f>
        <v/>
      </c>
      <c r="Q52" s="8">
        <f>Q51/0.03*0.01</f>
        <v/>
      </c>
      <c r="R52" s="8">
        <f>R51/0.03*0.01</f>
        <v/>
      </c>
    </row>
    <row r="53">
      <c r="C53" s="10" t="n"/>
      <c r="D53" s="10" t="inlineStr">
        <is>
          <t>ЭФ-т, млн руб Osa Base</t>
        </is>
      </c>
      <c r="E53" s="11">
        <f>E42*E52</f>
        <v/>
      </c>
      <c r="F53" s="11">
        <f>F42*F52</f>
        <v/>
      </c>
      <c r="G53" s="11">
        <f>G42*G52</f>
        <v/>
      </c>
      <c r="H53" s="11">
        <f>H42*H52</f>
        <v/>
      </c>
      <c r="I53" s="11">
        <f>I42*I52</f>
        <v/>
      </c>
      <c r="J53" s="11">
        <f>J42*J52</f>
        <v/>
      </c>
      <c r="K53" s="11">
        <f>K42*K52</f>
        <v/>
      </c>
      <c r="L53" s="11">
        <f>L42*L52</f>
        <v/>
      </c>
      <c r="M53" s="11">
        <f>M42*M52</f>
        <v/>
      </c>
      <c r="N53" s="11">
        <f>N42*N52</f>
        <v/>
      </c>
      <c r="O53" s="11">
        <f>O42*O52</f>
        <v/>
      </c>
      <c r="P53" s="11">
        <f>P42*P52</f>
        <v/>
      </c>
      <c r="Q53" s="11">
        <f>Q42*Q52</f>
        <v/>
      </c>
      <c r="R53" s="11">
        <f>SUM(E53:Q53)</f>
        <v/>
      </c>
    </row>
    <row r="54">
      <c r="C54" s="12" t="inlineStr">
        <is>
          <t>OSA</t>
        </is>
      </c>
      <c r="D54" s="4" t="inlineStr">
        <is>
          <t>total OSA 2026</t>
        </is>
      </c>
      <c r="E54" s="13">
        <f>MIN(E44+E49,1)</f>
        <v/>
      </c>
      <c r="F54" s="13">
        <f>MIN(F44+F49,1)</f>
        <v/>
      </c>
      <c r="G54" s="13">
        <f>MIN(G44+G49,1)</f>
        <v/>
      </c>
      <c r="H54" s="13">
        <f>MIN(H44+H49,1)</f>
        <v/>
      </c>
      <c r="I54" s="13">
        <f>MIN(I44+I49,1)</f>
        <v/>
      </c>
      <c r="J54" s="13">
        <f>MIN(J44+J49,1)</f>
        <v/>
      </c>
      <c r="K54" s="13">
        <f>MIN(K44+K49,1)</f>
        <v/>
      </c>
      <c r="L54" s="13">
        <f>MIN(L44+L49,1)</f>
        <v/>
      </c>
      <c r="M54" s="13">
        <f>MIN(M44+M49,1)</f>
        <v/>
      </c>
      <c r="N54" s="13">
        <f>MIN(N44+N49,1)</f>
        <v/>
      </c>
      <c r="O54" s="13">
        <f>MIN(O44+O49,1)</f>
        <v/>
      </c>
      <c r="P54" s="13">
        <f>MIN(P44+P49,1)</f>
        <v/>
      </c>
      <c r="Q54" s="13">
        <f>MIN(Q44+Q49,1)</f>
        <v/>
      </c>
      <c r="R54" s="13">
        <f>AVERAGE(E54:Q54)</f>
        <v/>
      </c>
    </row>
    <row r="55">
      <c r="C55" s="2" t="n"/>
      <c r="D55" s="4" t="inlineStr">
        <is>
          <t>total OSA 2027</t>
        </is>
      </c>
      <c r="E55" s="13">
        <f>MIN(E45+E50,1)</f>
        <v/>
      </c>
      <c r="F55" s="13">
        <f>MIN(F45+F50,1)</f>
        <v/>
      </c>
      <c r="G55" s="13">
        <f>MIN(G45+G50,1)</f>
        <v/>
      </c>
      <c r="H55" s="13">
        <f>MIN(H45+H50,1)</f>
        <v/>
      </c>
      <c r="I55" s="13">
        <f>MIN(I45+I50,1)</f>
        <v/>
      </c>
      <c r="J55" s="13">
        <f>MIN(J45+J50,1)</f>
        <v/>
      </c>
      <c r="K55" s="13">
        <f>MIN(K45+K50,1)</f>
        <v/>
      </c>
      <c r="L55" s="13">
        <f>MIN(L45+L50,1)</f>
        <v/>
      </c>
      <c r="M55" s="13">
        <f>MIN(M45+M50,1)</f>
        <v/>
      </c>
      <c r="N55" s="13">
        <f>MIN(N45+N50,1)</f>
        <v/>
      </c>
      <c r="O55" s="13">
        <f>MIN(O45+O50,1)</f>
        <v/>
      </c>
      <c r="P55" s="13">
        <f>MIN(P45+P50,1)</f>
        <v/>
      </c>
      <c r="Q55" s="13">
        <f>MIN(Q45+Q50,1)</f>
        <v/>
      </c>
      <c r="R55" s="13">
        <f>AVERAGE(E55:Q55)</f>
        <v/>
      </c>
    </row>
    <row r="56">
      <c r="C56" s="1" t="n"/>
      <c r="D56" s="7" t="inlineStr">
        <is>
          <t>dif</t>
        </is>
      </c>
      <c r="E56" s="8">
        <f>E55-E54</f>
        <v/>
      </c>
      <c r="F56" s="8">
        <f>F55-F54</f>
        <v/>
      </c>
      <c r="G56" s="8">
        <f>G55-G54</f>
        <v/>
      </c>
      <c r="H56" s="8">
        <f>H55-H54</f>
        <v/>
      </c>
      <c r="I56" s="8">
        <f>I55-I54</f>
        <v/>
      </c>
      <c r="J56" s="8">
        <f>J55-J54</f>
        <v/>
      </c>
      <c r="K56" s="8">
        <f>K55-K54</f>
        <v/>
      </c>
      <c r="L56" s="8">
        <f>L55-L54</f>
        <v/>
      </c>
      <c r="M56" s="8">
        <f>M55-M54</f>
        <v/>
      </c>
      <c r="N56" s="8">
        <f>N55-N54</f>
        <v/>
      </c>
      <c r="O56" s="8">
        <f>O55-O54</f>
        <v/>
      </c>
      <c r="P56" s="8">
        <f>P55-P54</f>
        <v/>
      </c>
      <c r="Q56" s="8">
        <f>Q55-Q54</f>
        <v/>
      </c>
      <c r="R56" s="8">
        <f>R55-R54</f>
        <v/>
      </c>
    </row>
    <row r="57">
      <c r="C57" s="10" t="n"/>
      <c r="D57" s="10" t="inlineStr">
        <is>
          <t>total 2027 млн руб</t>
        </is>
      </c>
      <c r="E57" s="11">
        <f>E48+E53</f>
        <v/>
      </c>
      <c r="F57" s="11">
        <f>F48+F53</f>
        <v/>
      </c>
      <c r="G57" s="11">
        <f>G48+G53</f>
        <v/>
      </c>
      <c r="H57" s="11">
        <f>H48+H53</f>
        <v/>
      </c>
      <c r="I57" s="11">
        <f>I48+I53</f>
        <v/>
      </c>
      <c r="J57" s="11">
        <f>J48+J53</f>
        <v/>
      </c>
      <c r="K57" s="11">
        <f>K48+K53</f>
        <v/>
      </c>
      <c r="L57" s="11">
        <f>L48+L53</f>
        <v/>
      </c>
      <c r="M57" s="11">
        <f>M48+M53</f>
        <v/>
      </c>
      <c r="N57" s="11">
        <f>N48+N53</f>
        <v/>
      </c>
      <c r="O57" s="11">
        <f>O48+O53</f>
        <v/>
      </c>
      <c r="P57" s="11">
        <f>P48+P53</f>
        <v/>
      </c>
      <c r="Q57" s="11">
        <f>Q48+Q53</f>
        <v/>
      </c>
      <c r="R57" s="11">
        <f>R48+R53</f>
        <v/>
      </c>
    </row>
    <row r="60">
      <c r="C60" s="1" t="n"/>
      <c r="D60" s="1" t="n"/>
      <c r="E60" s="2" t="inlineStr">
        <is>
          <t>P1</t>
        </is>
      </c>
      <c r="F60" s="2" t="inlineStr">
        <is>
          <t>P2</t>
        </is>
      </c>
      <c r="G60" s="2" t="inlineStr">
        <is>
          <t>P3</t>
        </is>
      </c>
      <c r="H60" s="2" t="inlineStr">
        <is>
          <t>P4</t>
        </is>
      </c>
      <c r="I60" s="2" t="inlineStr">
        <is>
          <t>P5</t>
        </is>
      </c>
      <c r="J60" s="2" t="inlineStr">
        <is>
          <t>P6</t>
        </is>
      </c>
      <c r="K60" s="2" t="inlineStr">
        <is>
          <t>P7</t>
        </is>
      </c>
      <c r="L60" s="2" t="inlineStr">
        <is>
          <t>P8</t>
        </is>
      </c>
      <c r="M60" s="2" t="inlineStr">
        <is>
          <t>P9</t>
        </is>
      </c>
      <c r="N60" s="2" t="inlineStr">
        <is>
          <t>P10</t>
        </is>
      </c>
      <c r="O60" s="2" t="inlineStr">
        <is>
          <t>P11</t>
        </is>
      </c>
      <c r="P60" s="2" t="inlineStr">
        <is>
          <t>P12</t>
        </is>
      </c>
      <c r="Q60" s="2" t="inlineStr">
        <is>
          <t>P13</t>
        </is>
      </c>
      <c r="R60" s="2" t="inlineStr">
        <is>
          <t>total</t>
        </is>
      </c>
    </row>
    <row r="61">
      <c r="C61" s="3" t="inlineStr">
        <is>
          <t>SMART - дискаунтер</t>
        </is>
      </c>
      <c r="D61" s="4" t="inlineStr">
        <is>
          <t>DMR</t>
        </is>
      </c>
      <c r="E61" s="5" t="n">
        <v>59099505.98999999</v>
      </c>
      <c r="F61" s="5" t="n">
        <v>59719425.97999997</v>
      </c>
      <c r="G61" s="5" t="n">
        <v>58254078.07999999</v>
      </c>
      <c r="H61" s="5" t="n">
        <v>56409517.55316597</v>
      </c>
      <c r="I61" s="5" t="n">
        <v>54978213.94999999</v>
      </c>
      <c r="J61" s="5" t="n">
        <v>57525917.60999999</v>
      </c>
      <c r="K61" s="5" t="n">
        <v>58668022.53</v>
      </c>
      <c r="L61" s="5" t="n">
        <v>59446955.18999999</v>
      </c>
      <c r="M61" s="5" t="n">
        <v>59500000.00263205</v>
      </c>
      <c r="N61" s="5" t="n">
        <v>47771626.73563876</v>
      </c>
      <c r="O61" s="5" t="n">
        <v>47161676.31751361</v>
      </c>
      <c r="P61" s="5" t="n">
        <v>45404361.10559775</v>
      </c>
      <c r="Q61" s="5" t="n">
        <v>46905267.93282789</v>
      </c>
      <c r="R61" s="5">
        <f>SUM(E61:Q61)</f>
        <v/>
      </c>
    </row>
    <row r="62">
      <c r="C62" s="6" t="n"/>
      <c r="D62" s="7" t="inlineStr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C63" s="1" t="n"/>
      <c r="D63" s="7" t="inlineStr">
        <is>
          <t>Merch Impact 2026</t>
        </is>
      </c>
      <c r="E63" s="8" t="n">
        <v>0.1163</v>
      </c>
      <c r="F63" s="8" t="n">
        <v>0.1156</v>
      </c>
      <c r="G63" s="8" t="n">
        <v>0.1327</v>
      </c>
      <c r="H63" s="8" t="n">
        <v>0.133</v>
      </c>
      <c r="I63" s="8" t="n">
        <v>0.1562</v>
      </c>
      <c r="J63" s="8" t="n">
        <v>0.1532</v>
      </c>
      <c r="K63" s="8" t="n">
        <v>0.124</v>
      </c>
      <c r="L63" s="8" t="n">
        <v>0.14</v>
      </c>
      <c r="M63" s="9" t="n">
        <v>0.1429</v>
      </c>
      <c r="N63" s="9" t="n">
        <v>0.1471</v>
      </c>
      <c r="O63" s="9" t="n">
        <v>0.1519</v>
      </c>
      <c r="P63" s="9" t="n">
        <v>0.157</v>
      </c>
      <c r="Q63" s="9" t="n">
        <v>0.1594</v>
      </c>
      <c r="R63" s="8">
        <f>AVERAGE(E63:Q63)</f>
        <v/>
      </c>
    </row>
    <row r="64">
      <c r="C64" s="1" t="n"/>
      <c r="D64" s="7" t="inlineStr">
        <is>
          <t>Merch Impact 2027</t>
        </is>
      </c>
      <c r="E64" s="9" t="n">
        <v>0.1242</v>
      </c>
      <c r="F64" s="9" t="n">
        <v>0.1232</v>
      </c>
      <c r="G64" s="9" t="n">
        <v>0.1393</v>
      </c>
      <c r="H64" s="9" t="n">
        <v>0.135</v>
      </c>
      <c r="I64" s="9" t="n">
        <v>0.1636</v>
      </c>
      <c r="J64" s="9" t="n">
        <v>0.1652</v>
      </c>
      <c r="K64" s="9" t="n">
        <v>0.1313</v>
      </c>
      <c r="L64" s="9" t="n">
        <v>0.147</v>
      </c>
      <c r="M64" s="9" t="n">
        <v>0.1573</v>
      </c>
      <c r="N64" s="9" t="n">
        <v>0.1528</v>
      </c>
      <c r="O64" s="9" t="n">
        <v>0.1547</v>
      </c>
      <c r="P64" s="9" t="n">
        <v>0.1695</v>
      </c>
      <c r="Q64" s="9" t="n">
        <v>0.1699</v>
      </c>
      <c r="R64" s="9">
        <f>AVERAGE(E64:Q64)</f>
        <v/>
      </c>
    </row>
    <row r="65">
      <c r="C65" s="1" t="n"/>
      <c r="D65" s="7" t="inlineStr">
        <is>
          <t>dif</t>
        </is>
      </c>
      <c r="E65" s="8">
        <f>E64-E63</f>
        <v/>
      </c>
      <c r="F65" s="8">
        <f>F64-F63</f>
        <v/>
      </c>
      <c r="G65" s="8">
        <f>G64-G63</f>
        <v/>
      </c>
      <c r="H65" s="8">
        <f>H64-H63</f>
        <v/>
      </c>
      <c r="I65" s="8">
        <f>I64-I63</f>
        <v/>
      </c>
      <c r="J65" s="8">
        <f>J64-J63</f>
        <v/>
      </c>
      <c r="K65" s="8">
        <f>K64-K63</f>
        <v/>
      </c>
      <c r="L65" s="8">
        <f>L64-L63</f>
        <v/>
      </c>
      <c r="M65" s="8">
        <f>M64-M63</f>
        <v/>
      </c>
      <c r="N65" s="8">
        <f>N64-N63</f>
        <v/>
      </c>
      <c r="O65" s="8">
        <f>O64-O63</f>
        <v/>
      </c>
      <c r="P65" s="8">
        <f>P64-P63</f>
        <v/>
      </c>
      <c r="Q65" s="8">
        <f>Q64-Q63</f>
        <v/>
      </c>
      <c r="R65" s="8">
        <f>R64-R63</f>
        <v/>
      </c>
    </row>
    <row r="66">
      <c r="C66" s="1" t="n"/>
      <c r="D66" s="7" t="inlineStr">
        <is>
          <t>ЭФ-т LSV, %</t>
        </is>
      </c>
      <c r="E66" s="8">
        <f>E65/0.03*0.01</f>
        <v/>
      </c>
      <c r="F66" s="8">
        <f>F65/0.03*0.01</f>
        <v/>
      </c>
      <c r="G66" s="8">
        <f>G65/0.03*0.01</f>
        <v/>
      </c>
      <c r="H66" s="8">
        <f>H65/0.03*0.01</f>
        <v/>
      </c>
      <c r="I66" s="8">
        <f>I65/0.03*0.01</f>
        <v/>
      </c>
      <c r="J66" s="8">
        <f>J65/0.03*0.01</f>
        <v/>
      </c>
      <c r="K66" s="8">
        <f>K65/0.03*0.01</f>
        <v/>
      </c>
      <c r="L66" s="8">
        <f>L65/0.03*0.01</f>
        <v/>
      </c>
      <c r="M66" s="8">
        <f>M65/0.03*0.01</f>
        <v/>
      </c>
      <c r="N66" s="8">
        <f>N65/0.03*0.01</f>
        <v/>
      </c>
      <c r="O66" s="8">
        <f>O65/0.03*0.01</f>
        <v/>
      </c>
      <c r="P66" s="8">
        <f>P65/0.03*0.01</f>
        <v/>
      </c>
      <c r="Q66" s="8">
        <f>Q65/0.03*0.01</f>
        <v/>
      </c>
      <c r="R66" s="8">
        <f>R65/0.03*0.01</f>
        <v/>
      </c>
    </row>
    <row r="67">
      <c r="C67" s="10" t="n"/>
      <c r="D67" s="10" t="inlineStr">
        <is>
          <t>ЭФ-т, млн руб Merch in</t>
        </is>
      </c>
      <c r="E67" s="11">
        <f>E61*E66</f>
        <v/>
      </c>
      <c r="F67" s="11">
        <f>F61*F66</f>
        <v/>
      </c>
      <c r="G67" s="11">
        <f>G61*G66</f>
        <v/>
      </c>
      <c r="H67" s="11">
        <f>H61*H66</f>
        <v/>
      </c>
      <c r="I67" s="11">
        <f>I61*I66</f>
        <v/>
      </c>
      <c r="J67" s="11">
        <f>J61*J66</f>
        <v/>
      </c>
      <c r="K67" s="11">
        <f>K61*K66</f>
        <v/>
      </c>
      <c r="L67" s="11">
        <f>L61*L66</f>
        <v/>
      </c>
      <c r="M67" s="11">
        <f>M61*M66</f>
        <v/>
      </c>
      <c r="N67" s="11">
        <f>N61*N66</f>
        <v/>
      </c>
      <c r="O67" s="11">
        <f>O61*O66</f>
        <v/>
      </c>
      <c r="P67" s="11">
        <f>P61*P66</f>
        <v/>
      </c>
      <c r="Q67" s="11">
        <f>Q61*Q66</f>
        <v/>
      </c>
      <c r="R67" s="11">
        <f>SUM(E67:Q67)</f>
        <v/>
      </c>
    </row>
    <row r="68">
      <c r="C68" s="12" t="inlineStr">
        <is>
          <t>OSA before</t>
        </is>
      </c>
      <c r="D68" s="7" t="inlineStr">
        <is>
          <t>osa before 2026</t>
        </is>
      </c>
      <c r="E68" s="8" t="n">
        <v>0.8153</v>
      </c>
      <c r="F68" s="8" t="n">
        <v>0.8464</v>
      </c>
      <c r="G68" s="8" t="n">
        <v>0.8205</v>
      </c>
      <c r="H68" s="8" t="n">
        <v>0.8074</v>
      </c>
      <c r="I68" s="8" t="n">
        <v>0.8111</v>
      </c>
      <c r="J68" s="8" t="n">
        <v>0.8078</v>
      </c>
      <c r="K68" s="8" t="n">
        <v>0.8175</v>
      </c>
      <c r="L68" s="8" t="n">
        <v>0.8089</v>
      </c>
      <c r="M68" s="9" t="n">
        <v>0.8124</v>
      </c>
      <c r="N68" s="9" t="n">
        <v>0.8145</v>
      </c>
      <c r="O68" s="9" t="n">
        <v>0.8145</v>
      </c>
      <c r="P68" s="9" t="n">
        <v>0.8162</v>
      </c>
      <c r="Q68" s="9" t="n">
        <v>0.8194</v>
      </c>
      <c r="R68" s="8">
        <f>AVERAGE(E68:Q68)</f>
        <v/>
      </c>
    </row>
    <row r="69">
      <c r="C69" s="1" t="n"/>
      <c r="D69" s="7" t="inlineStr">
        <is>
          <t>osa before 2027</t>
        </is>
      </c>
      <c r="E69" s="9" t="n">
        <v>0.8166</v>
      </c>
      <c r="F69" s="9" t="n">
        <v>0.8464</v>
      </c>
      <c r="G69" s="9" t="n">
        <v>0.8205</v>
      </c>
      <c r="H69" s="9" t="n">
        <v>0.8074</v>
      </c>
      <c r="I69" s="9" t="n">
        <v>0.8117</v>
      </c>
      <c r="J69" s="9" t="n">
        <v>0.8107</v>
      </c>
      <c r="K69" s="9" t="n">
        <v>0.8178</v>
      </c>
      <c r="L69" s="9" t="n">
        <v>0.8103</v>
      </c>
      <c r="M69" s="9" t="n">
        <v>0.8153</v>
      </c>
      <c r="N69" s="9" t="n">
        <v>0.8202</v>
      </c>
      <c r="O69" s="9" t="n">
        <v>0.8212</v>
      </c>
      <c r="P69" s="9" t="n">
        <v>0.8250999999999999</v>
      </c>
      <c r="Q69" s="9" t="n">
        <v>0.8294</v>
      </c>
      <c r="R69" s="9">
        <f>AVERAGE(E69:Q69)</f>
        <v/>
      </c>
    </row>
    <row r="70">
      <c r="C70" s="1" t="n"/>
      <c r="D70" s="7" t="inlineStr">
        <is>
          <t>dif</t>
        </is>
      </c>
      <c r="E70" s="8">
        <f>E69-E68</f>
        <v/>
      </c>
      <c r="F70" s="8">
        <f>F69-F68</f>
        <v/>
      </c>
      <c r="G70" s="8">
        <f>G69-G68</f>
        <v/>
      </c>
      <c r="H70" s="8">
        <f>H69-H68</f>
        <v/>
      </c>
      <c r="I70" s="8">
        <f>I69-I68</f>
        <v/>
      </c>
      <c r="J70" s="8">
        <f>J69-J68</f>
        <v/>
      </c>
      <c r="K70" s="8">
        <f>K69-K68</f>
        <v/>
      </c>
      <c r="L70" s="8">
        <f>L69-L68</f>
        <v/>
      </c>
      <c r="M70" s="8">
        <f>M69-M68</f>
        <v/>
      </c>
      <c r="N70" s="8">
        <f>N69-N68</f>
        <v/>
      </c>
      <c r="O70" s="8">
        <f>O69-O68</f>
        <v/>
      </c>
      <c r="P70" s="8">
        <f>P69-P68</f>
        <v/>
      </c>
      <c r="Q70" s="8">
        <f>Q69-Q68</f>
        <v/>
      </c>
      <c r="R70" s="8">
        <f>R69-R68</f>
        <v/>
      </c>
    </row>
    <row r="71">
      <c r="C71" s="1" t="n"/>
      <c r="D71" s="7" t="inlineStr">
        <is>
          <t>ЭФ-т LSV, %</t>
        </is>
      </c>
      <c r="E71" s="8">
        <f>E70/0.03*0.01</f>
        <v/>
      </c>
      <c r="F71" s="8">
        <f>F70/0.03*0.01</f>
        <v/>
      </c>
      <c r="G71" s="8">
        <f>G70/0.03*0.01</f>
        <v/>
      </c>
      <c r="H71" s="8">
        <f>H70/0.03*0.01</f>
        <v/>
      </c>
      <c r="I71" s="8">
        <f>I70/0.03*0.01</f>
        <v/>
      </c>
      <c r="J71" s="8">
        <f>J70/0.03*0.01</f>
        <v/>
      </c>
      <c r="K71" s="8">
        <f>K70/0.03*0.01</f>
        <v/>
      </c>
      <c r="L71" s="8">
        <f>L70/0.03*0.01</f>
        <v/>
      </c>
      <c r="M71" s="8">
        <f>M70/0.03*0.01</f>
        <v/>
      </c>
      <c r="N71" s="8">
        <f>N70/0.03*0.01</f>
        <v/>
      </c>
      <c r="O71" s="8">
        <f>O70/0.03*0.01</f>
        <v/>
      </c>
      <c r="P71" s="8">
        <f>P70/0.03*0.01</f>
        <v/>
      </c>
      <c r="Q71" s="8">
        <f>Q70/0.03*0.01</f>
        <v/>
      </c>
      <c r="R71" s="8">
        <f>R70/0.03*0.01</f>
        <v/>
      </c>
    </row>
    <row r="72">
      <c r="C72" s="10" t="n"/>
      <c r="D72" s="10" t="inlineStr">
        <is>
          <t>ЭФ-т, млн руб Osa Base</t>
        </is>
      </c>
      <c r="E72" s="11">
        <f>E61*E71</f>
        <v/>
      </c>
      <c r="F72" s="11">
        <f>F61*F71</f>
        <v/>
      </c>
      <c r="G72" s="11">
        <f>G61*G71</f>
        <v/>
      </c>
      <c r="H72" s="11">
        <f>H61*H71</f>
        <v/>
      </c>
      <c r="I72" s="11">
        <f>I61*I71</f>
        <v/>
      </c>
      <c r="J72" s="11">
        <f>J61*J71</f>
        <v/>
      </c>
      <c r="K72" s="11">
        <f>K61*K71</f>
        <v/>
      </c>
      <c r="L72" s="11">
        <f>L61*L71</f>
        <v/>
      </c>
      <c r="M72" s="11">
        <f>M61*M71</f>
        <v/>
      </c>
      <c r="N72" s="11">
        <f>N61*N71</f>
        <v/>
      </c>
      <c r="O72" s="11">
        <f>O61*O71</f>
        <v/>
      </c>
      <c r="P72" s="11">
        <f>P61*P71</f>
        <v/>
      </c>
      <c r="Q72" s="11">
        <f>Q61*Q71</f>
        <v/>
      </c>
      <c r="R72" s="11">
        <f>SUM(E72:Q72)</f>
        <v/>
      </c>
    </row>
    <row r="73">
      <c r="C73" s="12" t="inlineStr">
        <is>
          <t>OSA</t>
        </is>
      </c>
      <c r="D73" s="4" t="inlineStr">
        <is>
          <t>total OSA 2026</t>
        </is>
      </c>
      <c r="E73" s="13">
        <f>MIN(E63+E68,1)</f>
        <v/>
      </c>
      <c r="F73" s="13">
        <f>MIN(F63+F68,1)</f>
        <v/>
      </c>
      <c r="G73" s="13">
        <f>MIN(G63+G68,1)</f>
        <v/>
      </c>
      <c r="H73" s="13">
        <f>MIN(H63+H68,1)</f>
        <v/>
      </c>
      <c r="I73" s="13">
        <f>MIN(I63+I68,1)</f>
        <v/>
      </c>
      <c r="J73" s="13">
        <f>MIN(J63+J68,1)</f>
        <v/>
      </c>
      <c r="K73" s="13">
        <f>MIN(K63+K68,1)</f>
        <v/>
      </c>
      <c r="L73" s="13">
        <f>MIN(L63+L68,1)</f>
        <v/>
      </c>
      <c r="M73" s="13">
        <f>MIN(M63+M68,1)</f>
        <v/>
      </c>
      <c r="N73" s="13">
        <f>MIN(N63+N68,1)</f>
        <v/>
      </c>
      <c r="O73" s="13">
        <f>MIN(O63+O68,1)</f>
        <v/>
      </c>
      <c r="P73" s="13">
        <f>MIN(P63+P68,1)</f>
        <v/>
      </c>
      <c r="Q73" s="13">
        <f>MIN(Q63+Q68,1)</f>
        <v/>
      </c>
      <c r="R73" s="13">
        <f>AVERAGE(E73:Q73)</f>
        <v/>
      </c>
    </row>
    <row r="74">
      <c r="C74" s="2" t="n"/>
      <c r="D74" s="4" t="inlineStr">
        <is>
          <t>total OSA 2027</t>
        </is>
      </c>
      <c r="E74" s="13">
        <f>MIN(E64+E69,1)</f>
        <v/>
      </c>
      <c r="F74" s="13">
        <f>MIN(F64+F69,1)</f>
        <v/>
      </c>
      <c r="G74" s="13">
        <f>MIN(G64+G69,1)</f>
        <v/>
      </c>
      <c r="H74" s="13">
        <f>MIN(H64+H69,1)</f>
        <v/>
      </c>
      <c r="I74" s="13">
        <f>MIN(I64+I69,1)</f>
        <v/>
      </c>
      <c r="J74" s="13">
        <f>MIN(J64+J69,1)</f>
        <v/>
      </c>
      <c r="K74" s="13">
        <f>MIN(K64+K69,1)</f>
        <v/>
      </c>
      <c r="L74" s="13">
        <f>MIN(L64+L69,1)</f>
        <v/>
      </c>
      <c r="M74" s="13">
        <f>MIN(M64+M69,1)</f>
        <v/>
      </c>
      <c r="N74" s="13">
        <f>MIN(N64+N69,1)</f>
        <v/>
      </c>
      <c r="O74" s="13">
        <f>MIN(O64+O69,1)</f>
        <v/>
      </c>
      <c r="P74" s="13">
        <f>MIN(P64+P69,1)</f>
        <v/>
      </c>
      <c r="Q74" s="13">
        <f>MIN(Q64+Q69,1)</f>
        <v/>
      </c>
      <c r="R74" s="13">
        <f>AVERAGE(E74:Q74)</f>
        <v/>
      </c>
    </row>
    <row r="75">
      <c r="C75" s="1" t="n"/>
      <c r="D75" s="7" t="inlineStr">
        <is>
          <t>dif</t>
        </is>
      </c>
      <c r="E75" s="8">
        <f>E74-E73</f>
        <v/>
      </c>
      <c r="F75" s="8">
        <f>F74-F73</f>
        <v/>
      </c>
      <c r="G75" s="8">
        <f>G74-G73</f>
        <v/>
      </c>
      <c r="H75" s="8">
        <f>H74-H73</f>
        <v/>
      </c>
      <c r="I75" s="8">
        <f>I74-I73</f>
        <v/>
      </c>
      <c r="J75" s="8">
        <f>J74-J73</f>
        <v/>
      </c>
      <c r="K75" s="8">
        <f>K74-K73</f>
        <v/>
      </c>
      <c r="L75" s="8">
        <f>L74-L73</f>
        <v/>
      </c>
      <c r="M75" s="8">
        <f>M74-M73</f>
        <v/>
      </c>
      <c r="N75" s="8">
        <f>N74-N73</f>
        <v/>
      </c>
      <c r="O75" s="8">
        <f>O74-O73</f>
        <v/>
      </c>
      <c r="P75" s="8">
        <f>P74-P73</f>
        <v/>
      </c>
      <c r="Q75" s="8">
        <f>Q74-Q73</f>
        <v/>
      </c>
      <c r="R75" s="8">
        <f>R74-R73</f>
        <v/>
      </c>
    </row>
    <row r="76">
      <c r="C76" s="10" t="n"/>
      <c r="D76" s="10" t="inlineStr">
        <is>
          <t>total 2027 млн руб</t>
        </is>
      </c>
      <c r="E76" s="11">
        <f>E67+E72</f>
        <v/>
      </c>
      <c r="F76" s="11">
        <f>F67+F72</f>
        <v/>
      </c>
      <c r="G76" s="11">
        <f>G67+G72</f>
        <v/>
      </c>
      <c r="H76" s="11">
        <f>H67+H72</f>
        <v/>
      </c>
      <c r="I76" s="11">
        <f>I67+I72</f>
        <v/>
      </c>
      <c r="J76" s="11">
        <f>J67+J72</f>
        <v/>
      </c>
      <c r="K76" s="11">
        <f>K67+K72</f>
        <v/>
      </c>
      <c r="L76" s="11">
        <f>L67+L72</f>
        <v/>
      </c>
      <c r="M76" s="11">
        <f>M67+M72</f>
        <v/>
      </c>
      <c r="N76" s="11">
        <f>N67+N72</f>
        <v/>
      </c>
      <c r="O76" s="11">
        <f>O67+O72</f>
        <v/>
      </c>
      <c r="P76" s="11">
        <f>P67+P72</f>
        <v/>
      </c>
      <c r="Q76" s="11">
        <f>Q67+Q72</f>
        <v/>
      </c>
      <c r="R76" s="11">
        <f>R67+R72</f>
        <v/>
      </c>
    </row>
    <row r="79">
      <c r="C79" s="1" t="n"/>
      <c r="D79" s="1" t="n"/>
      <c r="E79" s="2" t="inlineStr">
        <is>
          <t>P1</t>
        </is>
      </c>
      <c r="F79" s="2" t="inlineStr">
        <is>
          <t>P2</t>
        </is>
      </c>
      <c r="G79" s="2" t="inlineStr">
        <is>
          <t>P3</t>
        </is>
      </c>
      <c r="H79" s="2" t="inlineStr">
        <is>
          <t>P4</t>
        </is>
      </c>
      <c r="I79" s="2" t="inlineStr">
        <is>
          <t>P5</t>
        </is>
      </c>
      <c r="J79" s="2" t="inlineStr">
        <is>
          <t>P6</t>
        </is>
      </c>
      <c r="K79" s="2" t="inlineStr">
        <is>
          <t>P7</t>
        </is>
      </c>
      <c r="L79" s="2" t="inlineStr">
        <is>
          <t>P8</t>
        </is>
      </c>
      <c r="M79" s="2" t="inlineStr">
        <is>
          <t>P9</t>
        </is>
      </c>
      <c r="N79" s="2" t="inlineStr">
        <is>
          <t>P10</t>
        </is>
      </c>
      <c r="O79" s="2" t="inlineStr">
        <is>
          <t>P11</t>
        </is>
      </c>
      <c r="P79" s="2" t="inlineStr">
        <is>
          <t>P12</t>
        </is>
      </c>
      <c r="Q79" s="2" t="inlineStr">
        <is>
          <t>P13</t>
        </is>
      </c>
      <c r="R79" s="2" t="inlineStr">
        <is>
          <t>total</t>
        </is>
      </c>
    </row>
    <row r="80">
      <c r="C80" s="3" t="inlineStr">
        <is>
          <t>Белый Кролик</t>
        </is>
      </c>
      <c r="D80" s="4" t="inlineStr">
        <is>
          <t>DMR</t>
        </is>
      </c>
      <c r="E80" s="5" t="n">
        <v>1325353.99999999</v>
      </c>
      <c r="F80" s="5" t="n">
        <v>1578542.22999999</v>
      </c>
      <c r="G80" s="5" t="n">
        <v>1970023.22999999</v>
      </c>
      <c r="H80" s="5" t="n">
        <v>1437012.86999999</v>
      </c>
      <c r="I80" s="5" t="n">
        <v>1960736.96</v>
      </c>
      <c r="J80" s="5" t="n">
        <v>2062970.96999999</v>
      </c>
      <c r="K80" s="5" t="n">
        <v>1785244.752</v>
      </c>
      <c r="L80" s="5" t="n">
        <v>2217927.76999999</v>
      </c>
      <c r="M80" s="5" t="n">
        <v>1779404.451</v>
      </c>
      <c r="N80" s="5" t="n">
        <v>2045098.295</v>
      </c>
      <c r="O80" s="5" t="n">
        <v>1694944.735</v>
      </c>
      <c r="P80" s="5" t="n">
        <v>2095925.821</v>
      </c>
      <c r="Q80" s="5" t="n">
        <v>2140832.409</v>
      </c>
      <c r="R80" s="5">
        <f>SUM(E80:Q80)</f>
        <v/>
      </c>
    </row>
    <row r="81">
      <c r="C81" s="6" t="n"/>
      <c r="D81" s="7" t="inlineStr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C82" s="1" t="n"/>
      <c r="D82" s="7" t="inlineStr">
        <is>
          <t>Merch Impact 2026</t>
        </is>
      </c>
      <c r="E82" s="8" t="n">
        <v>0.1309</v>
      </c>
      <c r="F82" s="8" t="n">
        <v>0.1248</v>
      </c>
      <c r="G82" s="8" t="n">
        <v>0.1199</v>
      </c>
      <c r="H82" s="8" t="n">
        <v>0.1152</v>
      </c>
      <c r="I82" s="8" t="n">
        <v>0.0852</v>
      </c>
      <c r="J82" s="8" t="n">
        <v>0.09370000000000001</v>
      </c>
      <c r="K82" s="8" t="n">
        <v>0.1007</v>
      </c>
      <c r="L82" s="8" t="n">
        <v>0.1072</v>
      </c>
      <c r="M82" s="9" t="n">
        <v>0.1115</v>
      </c>
      <c r="N82" s="9" t="n">
        <v>0.1177</v>
      </c>
      <c r="O82" s="9" t="n">
        <v>0.1212</v>
      </c>
      <c r="P82" s="9" t="n">
        <v>0.1247</v>
      </c>
      <c r="Q82" s="9" t="n">
        <v>0.1293</v>
      </c>
      <c r="R82" s="8">
        <f>AVERAGE(E82:Q82)</f>
        <v/>
      </c>
    </row>
    <row r="83">
      <c r="C83" s="1" t="n"/>
      <c r="D83" s="7" t="inlineStr">
        <is>
          <t>Merch Impact 2027</t>
        </is>
      </c>
      <c r="E83" s="9" t="n">
        <v>0.1372</v>
      </c>
      <c r="F83" s="9" t="n">
        <v>0.1314</v>
      </c>
      <c r="G83" s="9" t="n">
        <v>0.127</v>
      </c>
      <c r="H83" s="9" t="n">
        <v>0.1197</v>
      </c>
      <c r="I83" s="9" t="n">
        <v>0.0892</v>
      </c>
      <c r="J83" s="9" t="n">
        <v>0.0998</v>
      </c>
      <c r="K83" s="9" t="n">
        <v>0.107</v>
      </c>
      <c r="L83" s="9" t="n">
        <v>0.1147</v>
      </c>
      <c r="M83" s="9" t="n">
        <v>0.1202</v>
      </c>
      <c r="N83" s="9" t="n">
        <v>0.1271</v>
      </c>
      <c r="O83" s="9" t="n">
        <v>0.1314</v>
      </c>
      <c r="P83" s="9" t="n">
        <v>0.1272</v>
      </c>
      <c r="Q83" s="9" t="n">
        <v>0.1362</v>
      </c>
      <c r="R83" s="9">
        <f>AVERAGE(E83:Q83)</f>
        <v/>
      </c>
    </row>
    <row r="84">
      <c r="C84" s="1" t="n"/>
      <c r="D84" s="7" t="inlineStr">
        <is>
          <t>dif</t>
        </is>
      </c>
      <c r="E84" s="8">
        <f>E83-E82</f>
        <v/>
      </c>
      <c r="F84" s="8">
        <f>F83-F82</f>
        <v/>
      </c>
      <c r="G84" s="8">
        <f>G83-G82</f>
        <v/>
      </c>
      <c r="H84" s="8">
        <f>H83-H82</f>
        <v/>
      </c>
      <c r="I84" s="8">
        <f>I83-I82</f>
        <v/>
      </c>
      <c r="J84" s="8">
        <f>J83-J82</f>
        <v/>
      </c>
      <c r="K84" s="8">
        <f>K83-K82</f>
        <v/>
      </c>
      <c r="L84" s="8">
        <f>L83-L82</f>
        <v/>
      </c>
      <c r="M84" s="8">
        <f>M83-M82</f>
        <v/>
      </c>
      <c r="N84" s="8">
        <f>N83-N82</f>
        <v/>
      </c>
      <c r="O84" s="8">
        <f>O83-O82</f>
        <v/>
      </c>
      <c r="P84" s="8">
        <f>P83-P82</f>
        <v/>
      </c>
      <c r="Q84" s="8">
        <f>Q83-Q82</f>
        <v/>
      </c>
      <c r="R84" s="8">
        <f>R83-R82</f>
        <v/>
      </c>
    </row>
    <row r="85">
      <c r="C85" s="1" t="n"/>
      <c r="D85" s="7" t="inlineStr">
        <is>
          <t>ЭФ-т LSV, %</t>
        </is>
      </c>
      <c r="E85" s="8">
        <f>E84/0.03*0.01</f>
        <v/>
      </c>
      <c r="F85" s="8">
        <f>F84/0.03*0.01</f>
        <v/>
      </c>
      <c r="G85" s="8">
        <f>G84/0.03*0.01</f>
        <v/>
      </c>
      <c r="H85" s="8">
        <f>H84/0.03*0.01</f>
        <v/>
      </c>
      <c r="I85" s="8">
        <f>I84/0.03*0.01</f>
        <v/>
      </c>
      <c r="J85" s="8">
        <f>J84/0.03*0.01</f>
        <v/>
      </c>
      <c r="K85" s="8">
        <f>K84/0.03*0.01</f>
        <v/>
      </c>
      <c r="L85" s="8">
        <f>L84/0.03*0.01</f>
        <v/>
      </c>
      <c r="M85" s="8">
        <f>M84/0.03*0.01</f>
        <v/>
      </c>
      <c r="N85" s="8">
        <f>N84/0.03*0.01</f>
        <v/>
      </c>
      <c r="O85" s="8">
        <f>O84/0.03*0.01</f>
        <v/>
      </c>
      <c r="P85" s="8">
        <f>P84/0.03*0.01</f>
        <v/>
      </c>
      <c r="Q85" s="8">
        <f>Q84/0.03*0.01</f>
        <v/>
      </c>
      <c r="R85" s="8">
        <f>R84/0.03*0.01</f>
        <v/>
      </c>
    </row>
    <row r="86">
      <c r="C86" s="10" t="n"/>
      <c r="D86" s="10" t="inlineStr">
        <is>
          <t>ЭФ-т, млн руб Merch in</t>
        </is>
      </c>
      <c r="E86" s="11">
        <f>E80*E85</f>
        <v/>
      </c>
      <c r="F86" s="11">
        <f>F80*F85</f>
        <v/>
      </c>
      <c r="G86" s="11">
        <f>G80*G85</f>
        <v/>
      </c>
      <c r="H86" s="11">
        <f>H80*H85</f>
        <v/>
      </c>
      <c r="I86" s="11">
        <f>I80*I85</f>
        <v/>
      </c>
      <c r="J86" s="11">
        <f>J80*J85</f>
        <v/>
      </c>
      <c r="K86" s="11">
        <f>K80*K85</f>
        <v/>
      </c>
      <c r="L86" s="11">
        <f>L80*L85</f>
        <v/>
      </c>
      <c r="M86" s="11">
        <f>M80*M85</f>
        <v/>
      </c>
      <c r="N86" s="11">
        <f>N80*N85</f>
        <v/>
      </c>
      <c r="O86" s="11">
        <f>O80*O85</f>
        <v/>
      </c>
      <c r="P86" s="11">
        <f>P80*P85</f>
        <v/>
      </c>
      <c r="Q86" s="11">
        <f>Q80*Q85</f>
        <v/>
      </c>
      <c r="R86" s="11">
        <f>SUM(E86:Q86)</f>
        <v/>
      </c>
    </row>
    <row r="87">
      <c r="C87" s="12" t="inlineStr">
        <is>
          <t>OSA before</t>
        </is>
      </c>
      <c r="D87" s="7" t="inlineStr">
        <is>
          <t>osa before 2026</t>
        </is>
      </c>
      <c r="E87" s="8" t="n">
        <v>0.74</v>
      </c>
      <c r="F87" s="8" t="n">
        <v>0.7377</v>
      </c>
      <c r="G87" s="8" t="n">
        <v>0.7764</v>
      </c>
      <c r="H87" s="8" t="n">
        <v>0.8181</v>
      </c>
      <c r="I87" s="8" t="n">
        <v>0.844</v>
      </c>
      <c r="J87" s="8" t="n">
        <v>0.8367</v>
      </c>
      <c r="K87" s="8" t="n">
        <v>0.84</v>
      </c>
      <c r="L87" s="8" t="n">
        <v>0.8439</v>
      </c>
      <c r="M87" s="9" t="n">
        <v>0.8439</v>
      </c>
      <c r="N87" s="9" t="n">
        <v>0.8443000000000001</v>
      </c>
      <c r="O87" s="9" t="n">
        <v>0.8467</v>
      </c>
      <c r="P87" s="9" t="n">
        <v>0.8477</v>
      </c>
      <c r="Q87" s="9" t="n">
        <v>0.8507</v>
      </c>
      <c r="R87" s="8">
        <f>AVERAGE(E87:Q87)</f>
        <v/>
      </c>
    </row>
    <row r="88">
      <c r="C88" s="1" t="n"/>
      <c r="D88" s="7" t="inlineStr">
        <is>
          <t>osa before 2027</t>
        </is>
      </c>
      <c r="E88" s="9" t="n">
        <v>0.74</v>
      </c>
      <c r="F88" s="9" t="n">
        <v>0.7386</v>
      </c>
      <c r="G88" s="9" t="n">
        <v>0.7764</v>
      </c>
      <c r="H88" s="9" t="n">
        <v>0.8181</v>
      </c>
      <c r="I88" s="9" t="n">
        <v>0.8506</v>
      </c>
      <c r="J88" s="9" t="n">
        <v>0.8446</v>
      </c>
      <c r="K88" s="9" t="n">
        <v>0.8474</v>
      </c>
      <c r="L88" s="9" t="n">
        <v>0.8525</v>
      </c>
      <c r="M88" s="9" t="n">
        <v>0.8532999999999999</v>
      </c>
      <c r="N88" s="9" t="n">
        <v>0.8542999999999999</v>
      </c>
      <c r="O88" s="9" t="n">
        <v>0.8567</v>
      </c>
      <c r="P88" s="9" t="n">
        <v>0.8577</v>
      </c>
      <c r="Q88" s="9" t="n">
        <v>0.8557</v>
      </c>
      <c r="R88" s="9">
        <f>AVERAGE(E88:Q88)</f>
        <v/>
      </c>
    </row>
    <row r="89">
      <c r="C89" s="1" t="n"/>
      <c r="D89" s="7" t="inlineStr">
        <is>
          <t>dif</t>
        </is>
      </c>
      <c r="E89" s="8">
        <f>E88-E87</f>
        <v/>
      </c>
      <c r="F89" s="8">
        <f>F88-F87</f>
        <v/>
      </c>
      <c r="G89" s="8">
        <f>G88-G87</f>
        <v/>
      </c>
      <c r="H89" s="8">
        <f>H88-H87</f>
        <v/>
      </c>
      <c r="I89" s="8">
        <f>I88-I87</f>
        <v/>
      </c>
      <c r="J89" s="8">
        <f>J88-J87</f>
        <v/>
      </c>
      <c r="K89" s="8">
        <f>K88-K87</f>
        <v/>
      </c>
      <c r="L89" s="8">
        <f>L88-L87</f>
        <v/>
      </c>
      <c r="M89" s="8">
        <f>M88-M87</f>
        <v/>
      </c>
      <c r="N89" s="8">
        <f>N88-N87</f>
        <v/>
      </c>
      <c r="O89" s="8">
        <f>O88-O87</f>
        <v/>
      </c>
      <c r="P89" s="8">
        <f>P88-P87</f>
        <v/>
      </c>
      <c r="Q89" s="8">
        <f>Q88-Q87</f>
        <v/>
      </c>
      <c r="R89" s="8">
        <f>R88-R87</f>
        <v/>
      </c>
    </row>
    <row r="90">
      <c r="C90" s="1" t="n"/>
      <c r="D90" s="7" t="inlineStr">
        <is>
          <t>ЭФ-т LSV, %</t>
        </is>
      </c>
      <c r="E90" s="8">
        <f>E89/0.03*0.01</f>
        <v/>
      </c>
      <c r="F90" s="8">
        <f>F89/0.03*0.01</f>
        <v/>
      </c>
      <c r="G90" s="8">
        <f>G89/0.03*0.01</f>
        <v/>
      </c>
      <c r="H90" s="8">
        <f>H89/0.03*0.01</f>
        <v/>
      </c>
      <c r="I90" s="8">
        <f>I89/0.03*0.01</f>
        <v/>
      </c>
      <c r="J90" s="8">
        <f>J89/0.03*0.01</f>
        <v/>
      </c>
      <c r="K90" s="8">
        <f>K89/0.03*0.01</f>
        <v/>
      </c>
      <c r="L90" s="8">
        <f>L89/0.03*0.01</f>
        <v/>
      </c>
      <c r="M90" s="8">
        <f>M89/0.03*0.01</f>
        <v/>
      </c>
      <c r="N90" s="8">
        <f>N89/0.03*0.01</f>
        <v/>
      </c>
      <c r="O90" s="8">
        <f>O89/0.03*0.01</f>
        <v/>
      </c>
      <c r="P90" s="8">
        <f>P89/0.03*0.01</f>
        <v/>
      </c>
      <c r="Q90" s="8">
        <f>Q89/0.03*0.01</f>
        <v/>
      </c>
      <c r="R90" s="8">
        <f>R89/0.03*0.01</f>
        <v/>
      </c>
    </row>
    <row r="91">
      <c r="C91" s="10" t="n"/>
      <c r="D91" s="10" t="inlineStr">
        <is>
          <t>ЭФ-т, млн руб Osa Base</t>
        </is>
      </c>
      <c r="E91" s="11">
        <f>E80*E90</f>
        <v/>
      </c>
      <c r="F91" s="11">
        <f>F80*F90</f>
        <v/>
      </c>
      <c r="G91" s="11">
        <f>G80*G90</f>
        <v/>
      </c>
      <c r="H91" s="11">
        <f>H80*H90</f>
        <v/>
      </c>
      <c r="I91" s="11">
        <f>I80*I90</f>
        <v/>
      </c>
      <c r="J91" s="11">
        <f>J80*J90</f>
        <v/>
      </c>
      <c r="K91" s="11">
        <f>K80*K90</f>
        <v/>
      </c>
      <c r="L91" s="11">
        <f>L80*L90</f>
        <v/>
      </c>
      <c r="M91" s="11">
        <f>M80*M90</f>
        <v/>
      </c>
      <c r="N91" s="11">
        <f>N80*N90</f>
        <v/>
      </c>
      <c r="O91" s="11">
        <f>O80*O90</f>
        <v/>
      </c>
      <c r="P91" s="11">
        <f>P80*P90</f>
        <v/>
      </c>
      <c r="Q91" s="11">
        <f>Q80*Q90</f>
        <v/>
      </c>
      <c r="R91" s="11">
        <f>SUM(E91:Q91)</f>
        <v/>
      </c>
    </row>
    <row r="92">
      <c r="C92" s="12" t="inlineStr">
        <is>
          <t>OSA</t>
        </is>
      </c>
      <c r="D92" s="4" t="inlineStr">
        <is>
          <t>total OSA 2026</t>
        </is>
      </c>
      <c r="E92" s="13">
        <f>MIN(E82+E87,1)</f>
        <v/>
      </c>
      <c r="F92" s="13">
        <f>MIN(F82+F87,1)</f>
        <v/>
      </c>
      <c r="G92" s="13">
        <f>MIN(G82+G87,1)</f>
        <v/>
      </c>
      <c r="H92" s="13">
        <f>MIN(H82+H87,1)</f>
        <v/>
      </c>
      <c r="I92" s="13">
        <f>MIN(I82+I87,1)</f>
        <v/>
      </c>
      <c r="J92" s="13">
        <f>MIN(J82+J87,1)</f>
        <v/>
      </c>
      <c r="K92" s="13">
        <f>MIN(K82+K87,1)</f>
        <v/>
      </c>
      <c r="L92" s="13">
        <f>MIN(L82+L87,1)</f>
        <v/>
      </c>
      <c r="M92" s="13">
        <f>MIN(M82+M87,1)</f>
        <v/>
      </c>
      <c r="N92" s="13">
        <f>MIN(N82+N87,1)</f>
        <v/>
      </c>
      <c r="O92" s="13">
        <f>MIN(O82+O87,1)</f>
        <v/>
      </c>
      <c r="P92" s="13">
        <f>MIN(P82+P87,1)</f>
        <v/>
      </c>
      <c r="Q92" s="13">
        <f>MIN(Q82+Q87,1)</f>
        <v/>
      </c>
      <c r="R92" s="13">
        <f>AVERAGE(E92:Q92)</f>
        <v/>
      </c>
    </row>
    <row r="93">
      <c r="C93" s="2" t="n"/>
      <c r="D93" s="4" t="inlineStr">
        <is>
          <t>total OSA 2027</t>
        </is>
      </c>
      <c r="E93" s="13">
        <f>MIN(E83+E88,1)</f>
        <v/>
      </c>
      <c r="F93" s="13">
        <f>MIN(F83+F88,1)</f>
        <v/>
      </c>
      <c r="G93" s="13">
        <f>MIN(G83+G88,1)</f>
        <v/>
      </c>
      <c r="H93" s="13">
        <f>MIN(H83+H88,1)</f>
        <v/>
      </c>
      <c r="I93" s="13">
        <f>MIN(I83+I88,1)</f>
        <v/>
      </c>
      <c r="J93" s="13">
        <f>MIN(J83+J88,1)</f>
        <v/>
      </c>
      <c r="K93" s="13">
        <f>MIN(K83+K88,1)</f>
        <v/>
      </c>
      <c r="L93" s="13">
        <f>MIN(L83+L88,1)</f>
        <v/>
      </c>
      <c r="M93" s="13">
        <f>MIN(M83+M88,1)</f>
        <v/>
      </c>
      <c r="N93" s="13">
        <f>MIN(N83+N88,1)</f>
        <v/>
      </c>
      <c r="O93" s="13">
        <f>MIN(O83+O88,1)</f>
        <v/>
      </c>
      <c r="P93" s="13">
        <f>MIN(P83+P88,1)</f>
        <v/>
      </c>
      <c r="Q93" s="13">
        <f>MIN(Q83+Q88,1)</f>
        <v/>
      </c>
      <c r="R93" s="13">
        <f>AVERAGE(E93:Q93)</f>
        <v/>
      </c>
    </row>
    <row r="94">
      <c r="C94" s="1" t="n"/>
      <c r="D94" s="7" t="inlineStr">
        <is>
          <t>dif</t>
        </is>
      </c>
      <c r="E94" s="8">
        <f>E93-E92</f>
        <v/>
      </c>
      <c r="F94" s="8">
        <f>F93-F92</f>
        <v/>
      </c>
      <c r="G94" s="8">
        <f>G93-G92</f>
        <v/>
      </c>
      <c r="H94" s="8">
        <f>H93-H92</f>
        <v/>
      </c>
      <c r="I94" s="8">
        <f>I93-I92</f>
        <v/>
      </c>
      <c r="J94" s="8">
        <f>J93-J92</f>
        <v/>
      </c>
      <c r="K94" s="8">
        <f>K93-K92</f>
        <v/>
      </c>
      <c r="L94" s="8">
        <f>L93-L92</f>
        <v/>
      </c>
      <c r="M94" s="8">
        <f>M93-M92</f>
        <v/>
      </c>
      <c r="N94" s="8">
        <f>N93-N92</f>
        <v/>
      </c>
      <c r="O94" s="8">
        <f>O93-O92</f>
        <v/>
      </c>
      <c r="P94" s="8">
        <f>P93-P92</f>
        <v/>
      </c>
      <c r="Q94" s="8">
        <f>Q93-Q92</f>
        <v/>
      </c>
      <c r="R94" s="8">
        <f>R93-R92</f>
        <v/>
      </c>
    </row>
    <row r="95">
      <c r="C95" s="10" t="n"/>
      <c r="D95" s="10" t="inlineStr">
        <is>
          <t>total 2027 млн руб</t>
        </is>
      </c>
      <c r="E95" s="11">
        <f>E86+E91</f>
        <v/>
      </c>
      <c r="F95" s="11">
        <f>F86+F91</f>
        <v/>
      </c>
      <c r="G95" s="11">
        <f>G86+G91</f>
        <v/>
      </c>
      <c r="H95" s="11">
        <f>H86+H91</f>
        <v/>
      </c>
      <c r="I95" s="11">
        <f>I86+I91</f>
        <v/>
      </c>
      <c r="J95" s="11">
        <f>J86+J91</f>
        <v/>
      </c>
      <c r="K95" s="11">
        <f>K86+K91</f>
        <v/>
      </c>
      <c r="L95" s="11">
        <f>L86+L91</f>
        <v/>
      </c>
      <c r="M95" s="11">
        <f>M86+M91</f>
        <v/>
      </c>
      <c r="N95" s="11">
        <f>N86+N91</f>
        <v/>
      </c>
      <c r="O95" s="11">
        <f>O86+O91</f>
        <v/>
      </c>
      <c r="P95" s="11">
        <f>P86+P91</f>
        <v/>
      </c>
      <c r="Q95" s="11">
        <f>Q86+Q91</f>
        <v/>
      </c>
      <c r="R95" s="11">
        <f>R86+R91</f>
        <v/>
      </c>
    </row>
    <row r="98">
      <c r="C98" s="1" t="n"/>
      <c r="D98" s="1" t="n"/>
      <c r="E98" s="2" t="inlineStr">
        <is>
          <t>P1</t>
        </is>
      </c>
      <c r="F98" s="2" t="inlineStr">
        <is>
          <t>P2</t>
        </is>
      </c>
      <c r="G98" s="2" t="inlineStr">
        <is>
          <t>P3</t>
        </is>
      </c>
      <c r="H98" s="2" t="inlineStr">
        <is>
          <t>P4</t>
        </is>
      </c>
      <c r="I98" s="2" t="inlineStr">
        <is>
          <t>P5</t>
        </is>
      </c>
      <c r="J98" s="2" t="inlineStr">
        <is>
          <t>P6</t>
        </is>
      </c>
      <c r="K98" s="2" t="inlineStr">
        <is>
          <t>P7</t>
        </is>
      </c>
      <c r="L98" s="2" t="inlineStr">
        <is>
          <t>P8</t>
        </is>
      </c>
      <c r="M98" s="2" t="inlineStr">
        <is>
          <t>P9</t>
        </is>
      </c>
      <c r="N98" s="2" t="inlineStr">
        <is>
          <t>P10</t>
        </is>
      </c>
      <c r="O98" s="2" t="inlineStr">
        <is>
          <t>P11</t>
        </is>
      </c>
      <c r="P98" s="2" t="inlineStr">
        <is>
          <t>P12</t>
        </is>
      </c>
      <c r="Q98" s="2" t="inlineStr">
        <is>
          <t>P13</t>
        </is>
      </c>
      <c r="R98" s="2" t="inlineStr">
        <is>
          <t>total</t>
        </is>
      </c>
    </row>
    <row r="99">
      <c r="C99" s="3" t="inlineStr">
        <is>
          <t>RegX5_SS</t>
        </is>
      </c>
      <c r="D99" s="4" t="inlineStr">
        <is>
          <t>DMR</t>
        </is>
      </c>
      <c r="E99" s="5" t="n">
        <v>11455190.24999998</v>
      </c>
      <c r="F99" s="5" t="n">
        <v>16794977.53999998</v>
      </c>
      <c r="G99" s="5" t="n">
        <v>22628371.79000008</v>
      </c>
      <c r="H99" s="5" t="n">
        <v>14216102.36</v>
      </c>
      <c r="I99" s="5" t="n">
        <v>9001228.040000007</v>
      </c>
      <c r="J99" s="5" t="n">
        <v>32777864.31000008</v>
      </c>
      <c r="K99" s="5" t="n">
        <v>2434307.94</v>
      </c>
      <c r="L99" s="5" t="n">
        <v>2831100.51</v>
      </c>
      <c r="M99" s="5" t="n">
        <v>12455190.25</v>
      </c>
      <c r="N99" s="5" t="n">
        <v>16394977.54</v>
      </c>
      <c r="O99" s="5" t="n">
        <v>14216102.36</v>
      </c>
      <c r="P99" s="5" t="n">
        <v>10001228.04</v>
      </c>
      <c r="Q99" s="5" t="n">
        <v>16794977.53999998</v>
      </c>
      <c r="R99" s="5">
        <f>SUM(E99:Q99)</f>
        <v/>
      </c>
    </row>
    <row r="100">
      <c r="C100" s="6" t="n"/>
      <c r="D100" s="7" t="inlineStr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C101" s="1" t="n"/>
      <c r="D101" s="7" t="inlineStr">
        <is>
          <t>Merch Impact 2026</t>
        </is>
      </c>
      <c r="E101" s="8" t="n">
        <v>0.1524</v>
      </c>
      <c r="F101" s="8" t="n">
        <v>0.1558</v>
      </c>
      <c r="G101" s="8" t="n">
        <v>0.131</v>
      </c>
      <c r="H101" s="8" t="n">
        <v>0.1277</v>
      </c>
      <c r="I101" s="8" t="n">
        <v>0.1349</v>
      </c>
      <c r="J101" s="8" t="n">
        <v>0.1576</v>
      </c>
      <c r="K101" s="8" t="n">
        <v>0.1686</v>
      </c>
      <c r="L101" s="8" t="n">
        <v>0.1525</v>
      </c>
      <c r="M101" s="9" t="n">
        <v>0.1541</v>
      </c>
      <c r="N101" s="9" t="n">
        <v>0.1587</v>
      </c>
      <c r="O101" s="9" t="n">
        <v>0.1608</v>
      </c>
      <c r="P101" s="9" t="n">
        <v>0.1647</v>
      </c>
      <c r="Q101" s="9" t="n">
        <v>0.1695</v>
      </c>
      <c r="R101" s="8">
        <f>AVERAGE(E101:Q101)</f>
        <v/>
      </c>
    </row>
    <row r="102">
      <c r="C102" s="1" t="n"/>
      <c r="D102" s="7" t="inlineStr">
        <is>
          <t>Merch Impact 2027</t>
        </is>
      </c>
      <c r="E102" s="9" t="n">
        <v>0.1563</v>
      </c>
      <c r="F102" s="9" t="n">
        <v>0.1669</v>
      </c>
      <c r="G102" s="9" t="n">
        <v>0.1421</v>
      </c>
      <c r="H102" s="9" t="n">
        <v>0.1388</v>
      </c>
      <c r="I102" s="9" t="n">
        <v>0.1493</v>
      </c>
      <c r="J102" s="9" t="n">
        <v>0.17</v>
      </c>
      <c r="K102" s="9" t="n">
        <v>0.1821</v>
      </c>
      <c r="L102" s="9" t="n">
        <v>0.1659</v>
      </c>
      <c r="M102" s="9" t="n">
        <v>0.1646</v>
      </c>
      <c r="N102" s="9" t="n">
        <v>0.1642</v>
      </c>
      <c r="O102" s="9" t="n">
        <v>0.174</v>
      </c>
      <c r="P102" s="9" t="n">
        <v>0.176</v>
      </c>
      <c r="Q102" s="9" t="n">
        <v>0.1739</v>
      </c>
      <c r="R102" s="9">
        <f>AVERAGE(E102:Q102)</f>
        <v/>
      </c>
    </row>
    <row r="103">
      <c r="C103" s="1" t="n"/>
      <c r="D103" s="7" t="inlineStr">
        <is>
          <t>dif</t>
        </is>
      </c>
      <c r="E103" s="8">
        <f>E102-E101</f>
        <v/>
      </c>
      <c r="F103" s="8">
        <f>F102-F101</f>
        <v/>
      </c>
      <c r="G103" s="8">
        <f>G102-G101</f>
        <v/>
      </c>
      <c r="H103" s="8">
        <f>H102-H101</f>
        <v/>
      </c>
      <c r="I103" s="8">
        <f>I102-I101</f>
        <v/>
      </c>
      <c r="J103" s="8">
        <f>J102-J101</f>
        <v/>
      </c>
      <c r="K103" s="8">
        <f>K102-K101</f>
        <v/>
      </c>
      <c r="L103" s="8">
        <f>L102-L101</f>
        <v/>
      </c>
      <c r="M103" s="8">
        <f>M102-M101</f>
        <v/>
      </c>
      <c r="N103" s="8">
        <f>N102-N101</f>
        <v/>
      </c>
      <c r="O103" s="8">
        <f>O102-O101</f>
        <v/>
      </c>
      <c r="P103" s="8">
        <f>P102-P101</f>
        <v/>
      </c>
      <c r="Q103" s="8">
        <f>Q102-Q101</f>
        <v/>
      </c>
      <c r="R103" s="8">
        <f>R102-R101</f>
        <v/>
      </c>
    </row>
    <row r="104">
      <c r="C104" s="1" t="n"/>
      <c r="D104" s="7" t="inlineStr">
        <is>
          <t>ЭФ-т LSV, %</t>
        </is>
      </c>
      <c r="E104" s="8">
        <f>E103/0.03*0.01</f>
        <v/>
      </c>
      <c r="F104" s="8">
        <f>F103/0.03*0.01</f>
        <v/>
      </c>
      <c r="G104" s="8">
        <f>G103/0.03*0.01</f>
        <v/>
      </c>
      <c r="H104" s="8">
        <f>H103/0.03*0.01</f>
        <v/>
      </c>
      <c r="I104" s="8">
        <f>I103/0.03*0.01</f>
        <v/>
      </c>
      <c r="J104" s="8">
        <f>J103/0.03*0.01</f>
        <v/>
      </c>
      <c r="K104" s="8">
        <f>K103/0.03*0.01</f>
        <v/>
      </c>
      <c r="L104" s="8">
        <f>L103/0.03*0.01</f>
        <v/>
      </c>
      <c r="M104" s="8">
        <f>M103/0.03*0.01</f>
        <v/>
      </c>
      <c r="N104" s="8">
        <f>N103/0.03*0.01</f>
        <v/>
      </c>
      <c r="O104" s="8">
        <f>O103/0.03*0.01</f>
        <v/>
      </c>
      <c r="P104" s="8">
        <f>P103/0.03*0.01</f>
        <v/>
      </c>
      <c r="Q104" s="8">
        <f>Q103/0.03*0.01</f>
        <v/>
      </c>
      <c r="R104" s="8">
        <f>R103/0.03*0.01</f>
        <v/>
      </c>
    </row>
    <row r="105">
      <c r="C105" s="10" t="n"/>
      <c r="D105" s="10" t="inlineStr">
        <is>
          <t>ЭФ-т, млн руб Merch in</t>
        </is>
      </c>
      <c r="E105" s="11">
        <f>E99*E104</f>
        <v/>
      </c>
      <c r="F105" s="11">
        <f>F99*F104</f>
        <v/>
      </c>
      <c r="G105" s="11">
        <f>G99*G104</f>
        <v/>
      </c>
      <c r="H105" s="11">
        <f>H99*H104</f>
        <v/>
      </c>
      <c r="I105" s="11">
        <f>I99*I104</f>
        <v/>
      </c>
      <c r="J105" s="11">
        <f>J99*J104</f>
        <v/>
      </c>
      <c r="K105" s="11">
        <f>K99*K104</f>
        <v/>
      </c>
      <c r="L105" s="11">
        <f>L99*L104</f>
        <v/>
      </c>
      <c r="M105" s="11">
        <f>M99*M104</f>
        <v/>
      </c>
      <c r="N105" s="11">
        <f>N99*N104</f>
        <v/>
      </c>
      <c r="O105" s="11">
        <f>O99*O104</f>
        <v/>
      </c>
      <c r="P105" s="11">
        <f>P99*P104</f>
        <v/>
      </c>
      <c r="Q105" s="11">
        <f>Q99*Q104</f>
        <v/>
      </c>
      <c r="R105" s="11">
        <f>SUM(E105:Q105)</f>
        <v/>
      </c>
    </row>
    <row r="106">
      <c r="C106" s="12" t="inlineStr">
        <is>
          <t>OSA before</t>
        </is>
      </c>
      <c r="D106" s="7" t="inlineStr">
        <is>
          <t>osa before 2026</t>
        </is>
      </c>
      <c r="E106" s="8" t="n">
        <v>0.7259</v>
      </c>
      <c r="F106" s="8" t="n">
        <v>0.7714</v>
      </c>
      <c r="G106" s="8" t="n">
        <v>0.8411</v>
      </c>
      <c r="H106" s="8" t="n">
        <v>0.842</v>
      </c>
      <c r="I106" s="8" t="n">
        <v>0.8260999999999999</v>
      </c>
      <c r="J106" s="8" t="n">
        <v>0.8080000000000001</v>
      </c>
      <c r="K106" s="8" t="n">
        <v>0.8111</v>
      </c>
      <c r="L106" s="8" t="n">
        <v>0.8099</v>
      </c>
      <c r="M106" s="9" t="n">
        <v>0.8099</v>
      </c>
      <c r="N106" s="9" t="n">
        <v>0.8099</v>
      </c>
      <c r="O106" s="9" t="n">
        <v>0.8110000000000001</v>
      </c>
      <c r="P106" s="9" t="n">
        <v>0.8110000000000001</v>
      </c>
      <c r="Q106" s="9" t="n">
        <v>0.8138</v>
      </c>
      <c r="R106" s="8">
        <f>AVERAGE(E106:Q106)</f>
        <v/>
      </c>
    </row>
    <row r="107">
      <c r="C107" s="1" t="n"/>
      <c r="D107" s="7" t="inlineStr">
        <is>
          <t>osa before 2027</t>
        </is>
      </c>
      <c r="E107" s="9" t="n">
        <v>0.7259</v>
      </c>
      <c r="F107" s="9" t="n">
        <v>0.7714</v>
      </c>
      <c r="G107" s="9" t="n">
        <v>0.8411</v>
      </c>
      <c r="H107" s="9" t="n">
        <v>0.8424</v>
      </c>
      <c r="I107" s="9" t="n">
        <v>0.8282</v>
      </c>
      <c r="J107" s="9" t="n">
        <v>0.8148</v>
      </c>
      <c r="K107" s="9" t="n">
        <v>0.8203</v>
      </c>
      <c r="L107" s="9" t="n">
        <v>0.8195</v>
      </c>
      <c r="M107" s="9" t="n">
        <v>0.8199</v>
      </c>
      <c r="N107" s="9" t="n">
        <v>0.8199</v>
      </c>
      <c r="O107" s="9" t="n">
        <v>0.821</v>
      </c>
      <c r="P107" s="9" t="n">
        <v>0.821</v>
      </c>
      <c r="Q107" s="9" t="n">
        <v>0.8238</v>
      </c>
      <c r="R107" s="9">
        <f>AVERAGE(E107:Q107)</f>
        <v/>
      </c>
    </row>
    <row r="108">
      <c r="C108" s="1" t="n"/>
      <c r="D108" s="7" t="inlineStr">
        <is>
          <t>dif</t>
        </is>
      </c>
      <c r="E108" s="8">
        <f>E107-E106</f>
        <v/>
      </c>
      <c r="F108" s="8">
        <f>F107-F106</f>
        <v/>
      </c>
      <c r="G108" s="8">
        <f>G107-G106</f>
        <v/>
      </c>
      <c r="H108" s="8">
        <f>H107-H106</f>
        <v/>
      </c>
      <c r="I108" s="8">
        <f>I107-I106</f>
        <v/>
      </c>
      <c r="J108" s="8">
        <f>J107-J106</f>
        <v/>
      </c>
      <c r="K108" s="8">
        <f>K107-K106</f>
        <v/>
      </c>
      <c r="L108" s="8">
        <f>L107-L106</f>
        <v/>
      </c>
      <c r="M108" s="8">
        <f>M107-M106</f>
        <v/>
      </c>
      <c r="N108" s="8">
        <f>N107-N106</f>
        <v/>
      </c>
      <c r="O108" s="8">
        <f>O107-O106</f>
        <v/>
      </c>
      <c r="P108" s="8">
        <f>P107-P106</f>
        <v/>
      </c>
      <c r="Q108" s="8">
        <f>Q107-Q106</f>
        <v/>
      </c>
      <c r="R108" s="8">
        <f>R107-R106</f>
        <v/>
      </c>
    </row>
    <row r="109">
      <c r="C109" s="1" t="n"/>
      <c r="D109" s="7" t="inlineStr">
        <is>
          <t>ЭФ-т LSV, %</t>
        </is>
      </c>
      <c r="E109" s="8">
        <f>E108/0.03*0.01</f>
        <v/>
      </c>
      <c r="F109" s="8">
        <f>F108/0.03*0.01</f>
        <v/>
      </c>
      <c r="G109" s="8">
        <f>G108/0.03*0.01</f>
        <v/>
      </c>
      <c r="H109" s="8">
        <f>H108/0.03*0.01</f>
        <v/>
      </c>
      <c r="I109" s="8">
        <f>I108/0.03*0.01</f>
        <v/>
      </c>
      <c r="J109" s="8">
        <f>J108/0.03*0.01</f>
        <v/>
      </c>
      <c r="K109" s="8">
        <f>K108/0.03*0.01</f>
        <v/>
      </c>
      <c r="L109" s="8">
        <f>L108/0.03*0.01</f>
        <v/>
      </c>
      <c r="M109" s="8">
        <f>M108/0.03*0.01</f>
        <v/>
      </c>
      <c r="N109" s="8">
        <f>N108/0.03*0.01</f>
        <v/>
      </c>
      <c r="O109" s="8">
        <f>O108/0.03*0.01</f>
        <v/>
      </c>
      <c r="P109" s="8">
        <f>P108/0.03*0.01</f>
        <v/>
      </c>
      <c r="Q109" s="8">
        <f>Q108/0.03*0.01</f>
        <v/>
      </c>
      <c r="R109" s="8">
        <f>R108/0.03*0.01</f>
        <v/>
      </c>
    </row>
    <row r="110">
      <c r="C110" s="10" t="n"/>
      <c r="D110" s="10" t="inlineStr">
        <is>
          <t>ЭФ-т, млн руб Osa Base</t>
        </is>
      </c>
      <c r="E110" s="11">
        <f>E99*E109</f>
        <v/>
      </c>
      <c r="F110" s="11">
        <f>F99*F109</f>
        <v/>
      </c>
      <c r="G110" s="11">
        <f>G99*G109</f>
        <v/>
      </c>
      <c r="H110" s="11">
        <f>H99*H109</f>
        <v/>
      </c>
      <c r="I110" s="11">
        <f>I99*I109</f>
        <v/>
      </c>
      <c r="J110" s="11">
        <f>J99*J109</f>
        <v/>
      </c>
      <c r="K110" s="11">
        <f>K99*K109</f>
        <v/>
      </c>
      <c r="L110" s="11">
        <f>L99*L109</f>
        <v/>
      </c>
      <c r="M110" s="11">
        <f>M99*M109</f>
        <v/>
      </c>
      <c r="N110" s="11">
        <f>N99*N109</f>
        <v/>
      </c>
      <c r="O110" s="11">
        <f>O99*O109</f>
        <v/>
      </c>
      <c r="P110" s="11">
        <f>P99*P109</f>
        <v/>
      </c>
      <c r="Q110" s="11">
        <f>Q99*Q109</f>
        <v/>
      </c>
      <c r="R110" s="11">
        <f>SUM(E110:Q110)</f>
        <v/>
      </c>
    </row>
    <row r="111">
      <c r="C111" s="12" t="inlineStr">
        <is>
          <t>OSA</t>
        </is>
      </c>
      <c r="D111" s="4" t="inlineStr">
        <is>
          <t>total OSA 2026</t>
        </is>
      </c>
      <c r="E111" s="13">
        <f>MIN(E101+E106,1)</f>
        <v/>
      </c>
      <c r="F111" s="13">
        <f>MIN(F101+F106,1)</f>
        <v/>
      </c>
      <c r="G111" s="13">
        <f>MIN(G101+G106,1)</f>
        <v/>
      </c>
      <c r="H111" s="13">
        <f>MIN(H101+H106,1)</f>
        <v/>
      </c>
      <c r="I111" s="13">
        <f>MIN(I101+I106,1)</f>
        <v/>
      </c>
      <c r="J111" s="13">
        <f>MIN(J101+J106,1)</f>
        <v/>
      </c>
      <c r="K111" s="13">
        <f>MIN(K101+K106,1)</f>
        <v/>
      </c>
      <c r="L111" s="13">
        <f>MIN(L101+L106,1)</f>
        <v/>
      </c>
      <c r="M111" s="13">
        <f>MIN(M101+M106,1)</f>
        <v/>
      </c>
      <c r="N111" s="13">
        <f>MIN(N101+N106,1)</f>
        <v/>
      </c>
      <c r="O111" s="13">
        <f>MIN(O101+O106,1)</f>
        <v/>
      </c>
      <c r="P111" s="13">
        <f>MIN(P101+P106,1)</f>
        <v/>
      </c>
      <c r="Q111" s="13">
        <f>MIN(Q101+Q106,1)</f>
        <v/>
      </c>
      <c r="R111" s="13">
        <f>AVERAGE(E111:Q111)</f>
        <v/>
      </c>
    </row>
    <row r="112">
      <c r="C112" s="2" t="n"/>
      <c r="D112" s="4" t="inlineStr">
        <is>
          <t>total OSA 2027</t>
        </is>
      </c>
      <c r="E112" s="13">
        <f>MIN(E102+E107,1)</f>
        <v/>
      </c>
      <c r="F112" s="13">
        <f>MIN(F102+F107,1)</f>
        <v/>
      </c>
      <c r="G112" s="13">
        <f>MIN(G102+G107,1)</f>
        <v/>
      </c>
      <c r="H112" s="13">
        <f>MIN(H102+H107,1)</f>
        <v/>
      </c>
      <c r="I112" s="13">
        <f>MIN(I102+I107,1)</f>
        <v/>
      </c>
      <c r="J112" s="13">
        <f>MIN(J102+J107,1)</f>
        <v/>
      </c>
      <c r="K112" s="13">
        <f>MIN(K102+K107,1)</f>
        <v/>
      </c>
      <c r="L112" s="13">
        <f>MIN(L102+L107,1)</f>
        <v/>
      </c>
      <c r="M112" s="13">
        <f>MIN(M102+M107,1)</f>
        <v/>
      </c>
      <c r="N112" s="13">
        <f>MIN(N102+N107,1)</f>
        <v/>
      </c>
      <c r="O112" s="13">
        <f>MIN(O102+O107,1)</f>
        <v/>
      </c>
      <c r="P112" s="13">
        <f>MIN(P102+P107,1)</f>
        <v/>
      </c>
      <c r="Q112" s="13">
        <f>MIN(Q102+Q107,1)</f>
        <v/>
      </c>
      <c r="R112" s="13">
        <f>AVERAGE(E112:Q112)</f>
        <v/>
      </c>
    </row>
    <row r="113">
      <c r="C113" s="1" t="n"/>
      <c r="D113" s="7" t="inlineStr">
        <is>
          <t>dif</t>
        </is>
      </c>
      <c r="E113" s="8">
        <f>E112-E111</f>
        <v/>
      </c>
      <c r="F113" s="8">
        <f>F112-F111</f>
        <v/>
      </c>
      <c r="G113" s="8">
        <f>G112-G111</f>
        <v/>
      </c>
      <c r="H113" s="8">
        <f>H112-H111</f>
        <v/>
      </c>
      <c r="I113" s="8">
        <f>I112-I111</f>
        <v/>
      </c>
      <c r="J113" s="8">
        <f>J112-J111</f>
        <v/>
      </c>
      <c r="K113" s="8">
        <f>K112-K111</f>
        <v/>
      </c>
      <c r="L113" s="8">
        <f>L112-L111</f>
        <v/>
      </c>
      <c r="M113" s="8">
        <f>M112-M111</f>
        <v/>
      </c>
      <c r="N113" s="8">
        <f>N112-N111</f>
        <v/>
      </c>
      <c r="O113" s="8">
        <f>O112-O111</f>
        <v/>
      </c>
      <c r="P113" s="8">
        <f>P112-P111</f>
        <v/>
      </c>
      <c r="Q113" s="8">
        <f>Q112-Q111</f>
        <v/>
      </c>
      <c r="R113" s="8">
        <f>R112-R111</f>
        <v/>
      </c>
    </row>
    <row r="114">
      <c r="C114" s="10" t="n"/>
      <c r="D114" s="10" t="inlineStr">
        <is>
          <t>total 2027 млн руб</t>
        </is>
      </c>
      <c r="E114" s="11">
        <f>E105+E110</f>
        <v/>
      </c>
      <c r="F114" s="11">
        <f>F105+F110</f>
        <v/>
      </c>
      <c r="G114" s="11">
        <f>G105+G110</f>
        <v/>
      </c>
      <c r="H114" s="11">
        <f>H105+H110</f>
        <v/>
      </c>
      <c r="I114" s="11">
        <f>I105+I110</f>
        <v/>
      </c>
      <c r="J114" s="11">
        <f>J105+J110</f>
        <v/>
      </c>
      <c r="K114" s="11">
        <f>K105+K110</f>
        <v/>
      </c>
      <c r="L114" s="11">
        <f>L105+L110</f>
        <v/>
      </c>
      <c r="M114" s="11">
        <f>M105+M110</f>
        <v/>
      </c>
      <c r="N114" s="11">
        <f>N105+N110</f>
        <v/>
      </c>
      <c r="O114" s="11">
        <f>O105+O110</f>
        <v/>
      </c>
      <c r="P114" s="11">
        <f>P105+P110</f>
        <v/>
      </c>
      <c r="Q114" s="11">
        <f>Q105+Q110</f>
        <v/>
      </c>
      <c r="R114" s="11">
        <f>R105+R110</f>
        <v/>
      </c>
    </row>
    <row r="117">
      <c r="C117" s="1" t="n"/>
      <c r="D117" s="1" t="n"/>
      <c r="E117" s="2" t="inlineStr">
        <is>
          <t>P1</t>
        </is>
      </c>
      <c r="F117" s="2" t="inlineStr">
        <is>
          <t>P2</t>
        </is>
      </c>
      <c r="G117" s="2" t="inlineStr">
        <is>
          <t>P3</t>
        </is>
      </c>
      <c r="H117" s="2" t="inlineStr">
        <is>
          <t>P4</t>
        </is>
      </c>
      <c r="I117" s="2" t="inlineStr">
        <is>
          <t>P5</t>
        </is>
      </c>
      <c r="J117" s="2" t="inlineStr">
        <is>
          <t>P6</t>
        </is>
      </c>
      <c r="K117" s="2" t="inlineStr">
        <is>
          <t>P7</t>
        </is>
      </c>
      <c r="L117" s="2" t="inlineStr">
        <is>
          <t>P8</t>
        </is>
      </c>
      <c r="M117" s="2" t="inlineStr">
        <is>
          <t>P9</t>
        </is>
      </c>
      <c r="N117" s="2" t="inlineStr">
        <is>
          <t>P10</t>
        </is>
      </c>
      <c r="O117" s="2" t="inlineStr">
        <is>
          <t>P11</t>
        </is>
      </c>
      <c r="P117" s="2" t="inlineStr">
        <is>
          <t>P12</t>
        </is>
      </c>
      <c r="Q117" s="2" t="inlineStr">
        <is>
          <t>P13</t>
        </is>
      </c>
      <c r="R117" s="2" t="inlineStr">
        <is>
          <t>total</t>
        </is>
      </c>
    </row>
    <row r="118">
      <c r="C118" s="3" t="inlineStr">
        <is>
          <t>Командор</t>
        </is>
      </c>
      <c r="D118" s="4" t="inlineStr">
        <is>
          <t>DMR</t>
        </is>
      </c>
      <c r="E118" s="5" t="n">
        <v>14422302.5809599</v>
      </c>
      <c r="F118" s="5" t="n">
        <v>16100614.52</v>
      </c>
      <c r="G118" s="5" t="n">
        <v>11435649.5257199</v>
      </c>
      <c r="H118" s="5" t="n">
        <v>15110665.2</v>
      </c>
      <c r="I118" s="5" t="n">
        <v>21787710.18248</v>
      </c>
      <c r="J118" s="5" t="n">
        <v>13939242.8152399</v>
      </c>
      <c r="K118" s="5" t="n">
        <v>8500494.389999989</v>
      </c>
      <c r="L118" s="5" t="n">
        <v>13489431.4999999</v>
      </c>
      <c r="M118" s="5" t="n">
        <v>15000000</v>
      </c>
      <c r="N118" s="5" t="n">
        <v>18000000</v>
      </c>
      <c r="O118" s="5" t="n">
        <v>18800000</v>
      </c>
      <c r="P118" s="5" t="n">
        <v>13700000</v>
      </c>
      <c r="Q118" s="5" t="n">
        <v>14800000</v>
      </c>
      <c r="R118" s="5">
        <f>SUM(E118:Q118)</f>
        <v/>
      </c>
    </row>
    <row r="119">
      <c r="C119" s="6" t="n"/>
      <c r="D119" s="7" t="inlineStr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C120" s="1" t="n"/>
      <c r="D120" s="7" t="inlineStr">
        <is>
          <t>Merch Impact 2026</t>
        </is>
      </c>
      <c r="E120" s="8" t="n">
        <v>0.1674</v>
      </c>
      <c r="F120" s="8" t="n">
        <v>0.1643</v>
      </c>
      <c r="G120" s="8" t="n">
        <v>0.1551</v>
      </c>
      <c r="H120" s="8" t="n">
        <v>0.1432</v>
      </c>
      <c r="I120" s="8" t="n">
        <v>0.1569</v>
      </c>
      <c r="J120" s="8" t="n">
        <v>0.1767</v>
      </c>
      <c r="K120" s="8" t="n">
        <v>0.1819</v>
      </c>
      <c r="L120" s="8" t="n">
        <v>0.1899</v>
      </c>
      <c r="M120" s="9" t="n">
        <v>0.193</v>
      </c>
      <c r="N120" s="9" t="n">
        <v>0.1965</v>
      </c>
      <c r="O120" s="9" t="n">
        <v>0.2002</v>
      </c>
      <c r="P120" s="9" t="n">
        <v>0.2026</v>
      </c>
      <c r="Q120" s="9" t="n">
        <v>0.2051</v>
      </c>
      <c r="R120" s="8">
        <f>AVERAGE(E120:Q120)</f>
        <v/>
      </c>
    </row>
    <row r="121">
      <c r="C121" s="1" t="n"/>
      <c r="D121" s="7" t="inlineStr">
        <is>
          <t>Merch Impact 2027</t>
        </is>
      </c>
      <c r="E121" s="9" t="n">
        <v>0.1746</v>
      </c>
      <c r="F121" s="9" t="n">
        <v>0.1759</v>
      </c>
      <c r="G121" s="9" t="n">
        <v>0.1681</v>
      </c>
      <c r="H121" s="9" t="n">
        <v>0.1552</v>
      </c>
      <c r="I121" s="9" t="n">
        <v>0.1661</v>
      </c>
      <c r="J121" s="9" t="n">
        <v>0.1804</v>
      </c>
      <c r="K121" s="9" t="n">
        <v>0.1918</v>
      </c>
      <c r="L121" s="9" t="n">
        <v>0.199</v>
      </c>
      <c r="M121" s="9" t="n">
        <v>0.2088</v>
      </c>
      <c r="N121" s="9" t="n">
        <v>0.2068</v>
      </c>
      <c r="O121" s="9" t="n">
        <v>0.2103</v>
      </c>
      <c r="P121" s="9" t="n">
        <v>0.222</v>
      </c>
      <c r="Q121" s="9" t="n">
        <v>0.2094</v>
      </c>
      <c r="R121" s="9">
        <f>AVERAGE(E121:Q121)</f>
        <v/>
      </c>
    </row>
    <row r="122">
      <c r="C122" s="1" t="n"/>
      <c r="D122" s="7" t="inlineStr">
        <is>
          <t>dif</t>
        </is>
      </c>
      <c r="E122" s="8">
        <f>E121-E120</f>
        <v/>
      </c>
      <c r="F122" s="8">
        <f>F121-F120</f>
        <v/>
      </c>
      <c r="G122" s="8">
        <f>G121-G120</f>
        <v/>
      </c>
      <c r="H122" s="8">
        <f>H121-H120</f>
        <v/>
      </c>
      <c r="I122" s="8">
        <f>I121-I120</f>
        <v/>
      </c>
      <c r="J122" s="8">
        <f>J121-J120</f>
        <v/>
      </c>
      <c r="K122" s="8">
        <f>K121-K120</f>
        <v/>
      </c>
      <c r="L122" s="8">
        <f>L121-L120</f>
        <v/>
      </c>
      <c r="M122" s="8">
        <f>M121-M120</f>
        <v/>
      </c>
      <c r="N122" s="8">
        <f>N121-N120</f>
        <v/>
      </c>
      <c r="O122" s="8">
        <f>O121-O120</f>
        <v/>
      </c>
      <c r="P122" s="8">
        <f>P121-P120</f>
        <v/>
      </c>
      <c r="Q122" s="8">
        <f>Q121-Q120</f>
        <v/>
      </c>
      <c r="R122" s="8">
        <f>R121-R120</f>
        <v/>
      </c>
    </row>
    <row r="123">
      <c r="C123" s="1" t="n"/>
      <c r="D123" s="7" t="inlineStr">
        <is>
          <t>ЭФ-т LSV, %</t>
        </is>
      </c>
      <c r="E123" s="8">
        <f>E122/0.03*0.01</f>
        <v/>
      </c>
      <c r="F123" s="8">
        <f>F122/0.03*0.01</f>
        <v/>
      </c>
      <c r="G123" s="8">
        <f>G122/0.03*0.01</f>
        <v/>
      </c>
      <c r="H123" s="8">
        <f>H122/0.03*0.01</f>
        <v/>
      </c>
      <c r="I123" s="8">
        <f>I122/0.03*0.01</f>
        <v/>
      </c>
      <c r="J123" s="8">
        <f>J122/0.03*0.01</f>
        <v/>
      </c>
      <c r="K123" s="8">
        <f>K122/0.03*0.01</f>
        <v/>
      </c>
      <c r="L123" s="8">
        <f>L122/0.03*0.01</f>
        <v/>
      </c>
      <c r="M123" s="8">
        <f>M122/0.03*0.01</f>
        <v/>
      </c>
      <c r="N123" s="8">
        <f>N122/0.03*0.01</f>
        <v/>
      </c>
      <c r="O123" s="8">
        <f>O122/0.03*0.01</f>
        <v/>
      </c>
      <c r="P123" s="8">
        <f>P122/0.03*0.01</f>
        <v/>
      </c>
      <c r="Q123" s="8">
        <f>Q122/0.03*0.01</f>
        <v/>
      </c>
      <c r="R123" s="8">
        <f>R122/0.03*0.01</f>
        <v/>
      </c>
    </row>
    <row r="124">
      <c r="C124" s="10" t="n"/>
      <c r="D124" s="10" t="inlineStr">
        <is>
          <t>ЭФ-т, млн руб Merch in</t>
        </is>
      </c>
      <c r="E124" s="11">
        <f>E118*E123</f>
        <v/>
      </c>
      <c r="F124" s="11">
        <f>F118*F123</f>
        <v/>
      </c>
      <c r="G124" s="11">
        <f>G118*G123</f>
        <v/>
      </c>
      <c r="H124" s="11">
        <f>H118*H123</f>
        <v/>
      </c>
      <c r="I124" s="11">
        <f>I118*I123</f>
        <v/>
      </c>
      <c r="J124" s="11">
        <f>J118*J123</f>
        <v/>
      </c>
      <c r="K124" s="11">
        <f>K118*K123</f>
        <v/>
      </c>
      <c r="L124" s="11">
        <f>L118*L123</f>
        <v/>
      </c>
      <c r="M124" s="11">
        <f>M118*M123</f>
        <v/>
      </c>
      <c r="N124" s="11">
        <f>N118*N123</f>
        <v/>
      </c>
      <c r="O124" s="11">
        <f>O118*O123</f>
        <v/>
      </c>
      <c r="P124" s="11">
        <f>P118*P123</f>
        <v/>
      </c>
      <c r="Q124" s="11">
        <f>Q118*Q123</f>
        <v/>
      </c>
      <c r="R124" s="11">
        <f>SUM(E124:Q124)</f>
        <v/>
      </c>
    </row>
    <row r="125">
      <c r="C125" s="12" t="inlineStr">
        <is>
          <t>OSA before</t>
        </is>
      </c>
      <c r="D125" s="7" t="inlineStr">
        <is>
          <t>osa before 2026</t>
        </is>
      </c>
      <c r="E125" s="8" t="n">
        <v>0.7069</v>
      </c>
      <c r="F125" s="8" t="n">
        <v>0.7489</v>
      </c>
      <c r="G125" s="8" t="n">
        <v>0.8203</v>
      </c>
      <c r="H125" s="8" t="n">
        <v>0.8418</v>
      </c>
      <c r="I125" s="8" t="n">
        <v>0.825</v>
      </c>
      <c r="J125" s="8" t="n">
        <v>0.8101</v>
      </c>
      <c r="K125" s="8" t="n">
        <v>0.8079</v>
      </c>
      <c r="L125" s="8" t="n">
        <v>0.8016</v>
      </c>
      <c r="M125" s="9" t="n">
        <v>0.8016</v>
      </c>
      <c r="N125" s="9" t="n">
        <v>0.8016</v>
      </c>
      <c r="O125" s="9" t="n">
        <v>0.8032</v>
      </c>
      <c r="P125" s="9" t="n">
        <v>0.8056</v>
      </c>
      <c r="Q125" s="9" t="n">
        <v>0.8056</v>
      </c>
      <c r="R125" s="8">
        <f>AVERAGE(E125:Q125)</f>
        <v/>
      </c>
    </row>
    <row r="126">
      <c r="C126" s="1" t="n"/>
      <c r="D126" s="7" t="inlineStr">
        <is>
          <t>osa before 2027</t>
        </is>
      </c>
      <c r="E126" s="9" t="n">
        <v>0.7069</v>
      </c>
      <c r="F126" s="9" t="n">
        <v>0.7509</v>
      </c>
      <c r="G126" s="9" t="n">
        <v>0.8254</v>
      </c>
      <c r="H126" s="9" t="n">
        <v>0.8476</v>
      </c>
      <c r="I126" s="9" t="n">
        <v>0.8296</v>
      </c>
      <c r="J126" s="9" t="n">
        <v>0.8132</v>
      </c>
      <c r="K126" s="9" t="n">
        <v>0.8124</v>
      </c>
      <c r="L126" s="9" t="n">
        <v>0.8097</v>
      </c>
      <c r="M126" s="9" t="n">
        <v>0.8116</v>
      </c>
      <c r="N126" s="9" t="n">
        <v>0.8116</v>
      </c>
      <c r="O126" s="9" t="n">
        <v>0.8132</v>
      </c>
      <c r="P126" s="9" t="n">
        <v>0.8156</v>
      </c>
      <c r="Q126" s="9" t="n">
        <v>0.8156</v>
      </c>
      <c r="R126" s="9">
        <f>AVERAGE(E126:Q126)</f>
        <v/>
      </c>
    </row>
    <row r="127">
      <c r="C127" s="1" t="n"/>
      <c r="D127" s="7" t="inlineStr">
        <is>
          <t>dif</t>
        </is>
      </c>
      <c r="E127" s="8">
        <f>E126-E125</f>
        <v/>
      </c>
      <c r="F127" s="8">
        <f>F126-F125</f>
        <v/>
      </c>
      <c r="G127" s="8">
        <f>G126-G125</f>
        <v/>
      </c>
      <c r="H127" s="8">
        <f>H126-H125</f>
        <v/>
      </c>
      <c r="I127" s="8">
        <f>I126-I125</f>
        <v/>
      </c>
      <c r="J127" s="8">
        <f>J126-J125</f>
        <v/>
      </c>
      <c r="K127" s="8">
        <f>K126-K125</f>
        <v/>
      </c>
      <c r="L127" s="8">
        <f>L126-L125</f>
        <v/>
      </c>
      <c r="M127" s="8">
        <f>M126-M125</f>
        <v/>
      </c>
      <c r="N127" s="8">
        <f>N126-N125</f>
        <v/>
      </c>
      <c r="O127" s="8">
        <f>O126-O125</f>
        <v/>
      </c>
      <c r="P127" s="8">
        <f>P126-P125</f>
        <v/>
      </c>
      <c r="Q127" s="8">
        <f>Q126-Q125</f>
        <v/>
      </c>
      <c r="R127" s="8">
        <f>R126-R125</f>
        <v/>
      </c>
    </row>
    <row r="128">
      <c r="C128" s="1" t="n"/>
      <c r="D128" s="7" t="inlineStr">
        <is>
          <t>ЭФ-т LSV, %</t>
        </is>
      </c>
      <c r="E128" s="8">
        <f>E127/0.03*0.01</f>
        <v/>
      </c>
      <c r="F128" s="8">
        <f>F127/0.03*0.01</f>
        <v/>
      </c>
      <c r="G128" s="8">
        <f>G127/0.03*0.01</f>
        <v/>
      </c>
      <c r="H128" s="8">
        <f>H127/0.03*0.01</f>
        <v/>
      </c>
      <c r="I128" s="8">
        <f>I127/0.03*0.01</f>
        <v/>
      </c>
      <c r="J128" s="8">
        <f>J127/0.03*0.01</f>
        <v/>
      </c>
      <c r="K128" s="8">
        <f>K127/0.03*0.01</f>
        <v/>
      </c>
      <c r="L128" s="8">
        <f>L127/0.03*0.01</f>
        <v/>
      </c>
      <c r="M128" s="8">
        <f>M127/0.03*0.01</f>
        <v/>
      </c>
      <c r="N128" s="8">
        <f>N127/0.03*0.01</f>
        <v/>
      </c>
      <c r="O128" s="8">
        <f>O127/0.03*0.01</f>
        <v/>
      </c>
      <c r="P128" s="8">
        <f>P127/0.03*0.01</f>
        <v/>
      </c>
      <c r="Q128" s="8">
        <f>Q127/0.03*0.01</f>
        <v/>
      </c>
      <c r="R128" s="8">
        <f>R127/0.03*0.01</f>
        <v/>
      </c>
    </row>
    <row r="129">
      <c r="C129" s="10" t="n"/>
      <c r="D129" s="10" t="inlineStr">
        <is>
          <t>ЭФ-т, млн руб Osa Base</t>
        </is>
      </c>
      <c r="E129" s="11">
        <f>E118*E128</f>
        <v/>
      </c>
      <c r="F129" s="11">
        <f>F118*F128</f>
        <v/>
      </c>
      <c r="G129" s="11">
        <f>G118*G128</f>
        <v/>
      </c>
      <c r="H129" s="11">
        <f>H118*H128</f>
        <v/>
      </c>
      <c r="I129" s="11">
        <f>I118*I128</f>
        <v/>
      </c>
      <c r="J129" s="11">
        <f>J118*J128</f>
        <v/>
      </c>
      <c r="K129" s="11">
        <f>K118*K128</f>
        <v/>
      </c>
      <c r="L129" s="11">
        <f>L118*L128</f>
        <v/>
      </c>
      <c r="M129" s="11">
        <f>M118*M128</f>
        <v/>
      </c>
      <c r="N129" s="11">
        <f>N118*N128</f>
        <v/>
      </c>
      <c r="O129" s="11">
        <f>O118*O128</f>
        <v/>
      </c>
      <c r="P129" s="11">
        <f>P118*P128</f>
        <v/>
      </c>
      <c r="Q129" s="11">
        <f>Q118*Q128</f>
        <v/>
      </c>
      <c r="R129" s="11">
        <f>SUM(E129:Q129)</f>
        <v/>
      </c>
    </row>
    <row r="130">
      <c r="C130" s="12" t="inlineStr">
        <is>
          <t>OSA</t>
        </is>
      </c>
      <c r="D130" s="4" t="inlineStr">
        <is>
          <t>total OSA 2026</t>
        </is>
      </c>
      <c r="E130" s="13">
        <f>MIN(E120+E125,1)</f>
        <v/>
      </c>
      <c r="F130" s="13">
        <f>MIN(F120+F125,1)</f>
        <v/>
      </c>
      <c r="G130" s="13">
        <f>MIN(G120+G125,1)</f>
        <v/>
      </c>
      <c r="H130" s="13">
        <f>MIN(H120+H125,1)</f>
        <v/>
      </c>
      <c r="I130" s="13">
        <f>MIN(I120+I125,1)</f>
        <v/>
      </c>
      <c r="J130" s="13">
        <f>MIN(J120+J125,1)</f>
        <v/>
      </c>
      <c r="K130" s="13">
        <f>MIN(K120+K125,1)</f>
        <v/>
      </c>
      <c r="L130" s="13">
        <f>MIN(L120+L125,1)</f>
        <v/>
      </c>
      <c r="M130" s="13">
        <f>MIN(M120+M125,1)</f>
        <v/>
      </c>
      <c r="N130" s="13">
        <f>MIN(N120+N125,1)</f>
        <v/>
      </c>
      <c r="O130" s="13">
        <f>MIN(O120+O125,1)</f>
        <v/>
      </c>
      <c r="P130" s="13">
        <f>MIN(P120+P125,1)</f>
        <v/>
      </c>
      <c r="Q130" s="13">
        <f>MIN(Q120+Q125,1)</f>
        <v/>
      </c>
      <c r="R130" s="13">
        <f>AVERAGE(E130:Q130)</f>
        <v/>
      </c>
    </row>
    <row r="131">
      <c r="C131" s="2" t="n"/>
      <c r="D131" s="4" t="inlineStr">
        <is>
          <t>total OSA 2027</t>
        </is>
      </c>
      <c r="E131" s="13">
        <f>MIN(E121+E126,1)</f>
        <v/>
      </c>
      <c r="F131" s="13">
        <f>MIN(F121+F126,1)</f>
        <v/>
      </c>
      <c r="G131" s="13">
        <f>MIN(G121+G126,1)</f>
        <v/>
      </c>
      <c r="H131" s="13">
        <f>MIN(H121+H126,1)</f>
        <v/>
      </c>
      <c r="I131" s="13">
        <f>MIN(I121+I126,1)</f>
        <v/>
      </c>
      <c r="J131" s="13">
        <f>MIN(J121+J126,1)</f>
        <v/>
      </c>
      <c r="K131" s="13">
        <f>MIN(K121+K126,1)</f>
        <v/>
      </c>
      <c r="L131" s="13">
        <f>MIN(L121+L126,1)</f>
        <v/>
      </c>
      <c r="M131" s="13">
        <f>MIN(M121+M126,1)</f>
        <v/>
      </c>
      <c r="N131" s="13">
        <f>MIN(N121+N126,1)</f>
        <v/>
      </c>
      <c r="O131" s="13">
        <f>MIN(O121+O126,1)</f>
        <v/>
      </c>
      <c r="P131" s="13">
        <f>MIN(P121+P126,1)</f>
        <v/>
      </c>
      <c r="Q131" s="13">
        <f>MIN(Q121+Q126,1)</f>
        <v/>
      </c>
      <c r="R131" s="13">
        <f>AVERAGE(E131:Q131)</f>
        <v/>
      </c>
    </row>
    <row r="132">
      <c r="C132" s="1" t="n"/>
      <c r="D132" s="7" t="inlineStr">
        <is>
          <t>dif</t>
        </is>
      </c>
      <c r="E132" s="8">
        <f>E131-E130</f>
        <v/>
      </c>
      <c r="F132" s="8">
        <f>F131-F130</f>
        <v/>
      </c>
      <c r="G132" s="8">
        <f>G131-G130</f>
        <v/>
      </c>
      <c r="H132" s="8">
        <f>H131-H130</f>
        <v/>
      </c>
      <c r="I132" s="8">
        <f>I131-I130</f>
        <v/>
      </c>
      <c r="J132" s="8">
        <f>J131-J130</f>
        <v/>
      </c>
      <c r="K132" s="8">
        <f>K131-K130</f>
        <v/>
      </c>
      <c r="L132" s="8">
        <f>L131-L130</f>
        <v/>
      </c>
      <c r="M132" s="8">
        <f>M131-M130</f>
        <v/>
      </c>
      <c r="N132" s="8">
        <f>N131-N130</f>
        <v/>
      </c>
      <c r="O132" s="8">
        <f>O131-O130</f>
        <v/>
      </c>
      <c r="P132" s="8">
        <f>P131-P130</f>
        <v/>
      </c>
      <c r="Q132" s="8">
        <f>Q131-Q130</f>
        <v/>
      </c>
      <c r="R132" s="8">
        <f>R131-R130</f>
        <v/>
      </c>
    </row>
    <row r="133">
      <c r="C133" s="10" t="n"/>
      <c r="D133" s="10" t="inlineStr">
        <is>
          <t>total 2027 млн руб</t>
        </is>
      </c>
      <c r="E133" s="11">
        <f>E124+E129</f>
        <v/>
      </c>
      <c r="F133" s="11">
        <f>F124+F129</f>
        <v/>
      </c>
      <c r="G133" s="11">
        <f>G124+G129</f>
        <v/>
      </c>
      <c r="H133" s="11">
        <f>H124+H129</f>
        <v/>
      </c>
      <c r="I133" s="11">
        <f>I124+I129</f>
        <v/>
      </c>
      <c r="J133" s="11">
        <f>J124+J129</f>
        <v/>
      </c>
      <c r="K133" s="11">
        <f>K124+K129</f>
        <v/>
      </c>
      <c r="L133" s="11">
        <f>L124+L129</f>
        <v/>
      </c>
      <c r="M133" s="11">
        <f>M124+M129</f>
        <v/>
      </c>
      <c r="N133" s="11">
        <f>N124+N129</f>
        <v/>
      </c>
      <c r="O133" s="11">
        <f>O124+O129</f>
        <v/>
      </c>
      <c r="P133" s="11">
        <f>P124+P129</f>
        <v/>
      </c>
      <c r="Q133" s="11">
        <f>Q124+Q129</f>
        <v/>
      </c>
      <c r="R133" s="11">
        <f>R124+R129</f>
        <v/>
      </c>
    </row>
    <row r="136">
      <c r="C136" s="1" t="n"/>
      <c r="D136" s="1" t="n"/>
      <c r="E136" s="2" t="inlineStr">
        <is>
          <t>P1</t>
        </is>
      </c>
      <c r="F136" s="2" t="inlineStr">
        <is>
          <t>P2</t>
        </is>
      </c>
      <c r="G136" s="2" t="inlineStr">
        <is>
          <t>P3</t>
        </is>
      </c>
      <c r="H136" s="2" t="inlineStr">
        <is>
          <t>P4</t>
        </is>
      </c>
      <c r="I136" s="2" t="inlineStr">
        <is>
          <t>P5</t>
        </is>
      </c>
      <c r="J136" s="2" t="inlineStr">
        <is>
          <t>P6</t>
        </is>
      </c>
      <c r="K136" s="2" t="inlineStr">
        <is>
          <t>P7</t>
        </is>
      </c>
      <c r="L136" s="2" t="inlineStr">
        <is>
          <t>P8</t>
        </is>
      </c>
      <c r="M136" s="2" t="inlineStr">
        <is>
          <t>P9</t>
        </is>
      </c>
      <c r="N136" s="2" t="inlineStr">
        <is>
          <t>P10</t>
        </is>
      </c>
      <c r="O136" s="2" t="inlineStr">
        <is>
          <t>P11</t>
        </is>
      </c>
      <c r="P136" s="2" t="inlineStr">
        <is>
          <t>P12</t>
        </is>
      </c>
      <c r="Q136" s="2" t="inlineStr">
        <is>
          <t>P13</t>
        </is>
      </c>
      <c r="R136" s="2" t="inlineStr">
        <is>
          <t>total</t>
        </is>
      </c>
    </row>
    <row r="137">
      <c r="C137" s="3" t="inlineStr">
        <is>
          <t>Мария-Ра</t>
        </is>
      </c>
      <c r="D137" s="4" t="inlineStr">
        <is>
          <t>DMR</t>
        </is>
      </c>
      <c r="E137" s="5" t="n">
        <v>103028902.32</v>
      </c>
      <c r="F137" s="5" t="n">
        <v>148451076.88</v>
      </c>
      <c r="G137" s="5" t="n">
        <v>158951904.2</v>
      </c>
      <c r="H137" s="5" t="n">
        <v>92986567.57999989</v>
      </c>
      <c r="I137" s="5" t="n">
        <v>69876400.82000001</v>
      </c>
      <c r="J137" s="5" t="n">
        <v>107348388.44</v>
      </c>
      <c r="K137" s="5" t="n">
        <v>115965317.14</v>
      </c>
      <c r="L137" s="5" t="n">
        <v>115832782.26</v>
      </c>
      <c r="M137" s="5" t="n">
        <v>115173763.947062</v>
      </c>
      <c r="N137" s="5" t="n">
        <v>151555984.1274346</v>
      </c>
      <c r="O137" s="5" t="n">
        <v>108831495.9154526</v>
      </c>
      <c r="P137" s="5" t="n">
        <v>115606354.6053734</v>
      </c>
      <c r="Q137" s="5" t="n">
        <v>140804026.856982</v>
      </c>
      <c r="R137" s="5">
        <f>SUM(E137:Q137)</f>
        <v/>
      </c>
    </row>
    <row r="138">
      <c r="C138" s="6" t="n"/>
      <c r="D138" s="7" t="inlineStr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</row>
    <row r="139">
      <c r="C139" s="1" t="n"/>
      <c r="D139" s="7" t="inlineStr">
        <is>
          <t>Merch Impact 2026</t>
        </is>
      </c>
      <c r="E139" s="8" t="n">
        <v>0.1627</v>
      </c>
      <c r="F139" s="8" t="n">
        <v>0.1595</v>
      </c>
      <c r="G139" s="8" t="n">
        <v>0.1414</v>
      </c>
      <c r="H139" s="8" t="n">
        <v>0.139</v>
      </c>
      <c r="I139" s="8" t="n">
        <v>0.135</v>
      </c>
      <c r="J139" s="8" t="n">
        <v>0.1406</v>
      </c>
      <c r="K139" s="8" t="n">
        <v>0.1488</v>
      </c>
      <c r="L139" s="8" t="n">
        <v>0.1722</v>
      </c>
      <c r="M139" s="9" t="n">
        <v>0.1783</v>
      </c>
      <c r="N139" s="9" t="n">
        <v>0.1814</v>
      </c>
      <c r="O139" s="9" t="n">
        <v>0.1843</v>
      </c>
      <c r="P139" s="9" t="n">
        <v>0.1885</v>
      </c>
      <c r="Q139" s="9" t="n">
        <v>0.1913</v>
      </c>
      <c r="R139" s="8">
        <f>AVERAGE(E139:Q139)</f>
        <v/>
      </c>
    </row>
    <row r="140">
      <c r="C140" s="1" t="n"/>
      <c r="D140" s="7" t="inlineStr">
        <is>
          <t>Merch Impact 2027</t>
        </is>
      </c>
      <c r="E140" s="9" t="n">
        <v>0.1738</v>
      </c>
      <c r="F140" s="9" t="n">
        <v>0.1726</v>
      </c>
      <c r="G140" s="9" t="n">
        <v>0.1506</v>
      </c>
      <c r="H140" s="9" t="n">
        <v>0.1449</v>
      </c>
      <c r="I140" s="9" t="n">
        <v>0.1435</v>
      </c>
      <c r="J140" s="9" t="n">
        <v>0.1488</v>
      </c>
      <c r="K140" s="9" t="n">
        <v>0.1579</v>
      </c>
      <c r="L140" s="9" t="n">
        <v>0.1845</v>
      </c>
      <c r="M140" s="9" t="n">
        <v>0.1898</v>
      </c>
      <c r="N140" s="9" t="n">
        <v>0.1881</v>
      </c>
      <c r="O140" s="9" t="n">
        <v>0.1895</v>
      </c>
      <c r="P140" s="9" t="n">
        <v>0.1973</v>
      </c>
      <c r="Q140" s="9" t="n">
        <v>0.2016</v>
      </c>
      <c r="R140" s="9">
        <f>AVERAGE(E140:Q140)</f>
        <v/>
      </c>
    </row>
    <row r="141">
      <c r="C141" s="1" t="n"/>
      <c r="D141" s="7" t="inlineStr">
        <is>
          <t>dif</t>
        </is>
      </c>
      <c r="E141" s="8">
        <f>E140-E139</f>
        <v/>
      </c>
      <c r="F141" s="8">
        <f>F140-F139</f>
        <v/>
      </c>
      <c r="G141" s="8">
        <f>G140-G139</f>
        <v/>
      </c>
      <c r="H141" s="8">
        <f>H140-H139</f>
        <v/>
      </c>
      <c r="I141" s="8">
        <f>I140-I139</f>
        <v/>
      </c>
      <c r="J141" s="8">
        <f>J140-J139</f>
        <v/>
      </c>
      <c r="K141" s="8">
        <f>K140-K139</f>
        <v/>
      </c>
      <c r="L141" s="8">
        <f>L140-L139</f>
        <v/>
      </c>
      <c r="M141" s="8">
        <f>M140-M139</f>
        <v/>
      </c>
      <c r="N141" s="8">
        <f>N140-N139</f>
        <v/>
      </c>
      <c r="O141" s="8">
        <f>O140-O139</f>
        <v/>
      </c>
      <c r="P141" s="8">
        <f>P140-P139</f>
        <v/>
      </c>
      <c r="Q141" s="8">
        <f>Q140-Q139</f>
        <v/>
      </c>
      <c r="R141" s="8">
        <f>R140-R139</f>
        <v/>
      </c>
    </row>
    <row r="142">
      <c r="C142" s="1" t="n"/>
      <c r="D142" s="7" t="inlineStr">
        <is>
          <t>ЭФ-т LSV, %</t>
        </is>
      </c>
      <c r="E142" s="8">
        <f>E141/0.03*0.01</f>
        <v/>
      </c>
      <c r="F142" s="8">
        <f>F141/0.03*0.01</f>
        <v/>
      </c>
      <c r="G142" s="8">
        <f>G141/0.03*0.01</f>
        <v/>
      </c>
      <c r="H142" s="8">
        <f>H141/0.03*0.01</f>
        <v/>
      </c>
      <c r="I142" s="8">
        <f>I141/0.03*0.01</f>
        <v/>
      </c>
      <c r="J142" s="8">
        <f>J141/0.03*0.01</f>
        <v/>
      </c>
      <c r="K142" s="8">
        <f>K141/0.03*0.01</f>
        <v/>
      </c>
      <c r="L142" s="8">
        <f>L141/0.03*0.01</f>
        <v/>
      </c>
      <c r="M142" s="8">
        <f>M141/0.03*0.01</f>
        <v/>
      </c>
      <c r="N142" s="8">
        <f>N141/0.03*0.01</f>
        <v/>
      </c>
      <c r="O142" s="8">
        <f>O141/0.03*0.01</f>
        <v/>
      </c>
      <c r="P142" s="8">
        <f>P141/0.03*0.01</f>
        <v/>
      </c>
      <c r="Q142" s="8">
        <f>Q141/0.03*0.01</f>
        <v/>
      </c>
      <c r="R142" s="8">
        <f>R141/0.03*0.01</f>
        <v/>
      </c>
    </row>
    <row r="143">
      <c r="C143" s="10" t="n"/>
      <c r="D143" s="10" t="inlineStr">
        <is>
          <t>ЭФ-т, млн руб Merch in</t>
        </is>
      </c>
      <c r="E143" s="11">
        <f>E137*E142</f>
        <v/>
      </c>
      <c r="F143" s="11">
        <f>F137*F142</f>
        <v/>
      </c>
      <c r="G143" s="11">
        <f>G137*G142</f>
        <v/>
      </c>
      <c r="H143" s="11">
        <f>H137*H142</f>
        <v/>
      </c>
      <c r="I143" s="11">
        <f>I137*I142</f>
        <v/>
      </c>
      <c r="J143" s="11">
        <f>J137*J142</f>
        <v/>
      </c>
      <c r="K143" s="11">
        <f>K137*K142</f>
        <v/>
      </c>
      <c r="L143" s="11">
        <f>L137*L142</f>
        <v/>
      </c>
      <c r="M143" s="11">
        <f>M137*M142</f>
        <v/>
      </c>
      <c r="N143" s="11">
        <f>N137*N142</f>
        <v/>
      </c>
      <c r="O143" s="11">
        <f>O137*O142</f>
        <v/>
      </c>
      <c r="P143" s="11">
        <f>P137*P142</f>
        <v/>
      </c>
      <c r="Q143" s="11">
        <f>Q137*Q142</f>
        <v/>
      </c>
      <c r="R143" s="11">
        <f>SUM(E143:Q143)</f>
        <v/>
      </c>
    </row>
    <row r="144">
      <c r="C144" s="12" t="inlineStr">
        <is>
          <t>OSA before</t>
        </is>
      </c>
      <c r="D144" s="7" t="inlineStr">
        <is>
          <t>osa before 2026</t>
        </is>
      </c>
      <c r="E144" s="8" t="n">
        <v>0.6845</v>
      </c>
      <c r="F144" s="8" t="n">
        <v>0.8099</v>
      </c>
      <c r="G144" s="8" t="n">
        <v>0.835</v>
      </c>
      <c r="H144" s="8" t="n">
        <v>0.8369</v>
      </c>
      <c r="I144" s="8" t="n">
        <v>0.8349</v>
      </c>
      <c r="J144" s="8" t="n">
        <v>0.8355</v>
      </c>
      <c r="K144" s="8" t="n">
        <v>0.8169999999999999</v>
      </c>
      <c r="L144" s="8" t="n">
        <v>0.7326</v>
      </c>
      <c r="M144" s="9" t="n">
        <v>0.7326</v>
      </c>
      <c r="N144" s="9" t="n">
        <v>0.7343</v>
      </c>
      <c r="O144" s="9" t="n">
        <v>0.7371</v>
      </c>
      <c r="P144" s="9" t="n">
        <v>0.7371</v>
      </c>
      <c r="Q144" s="9" t="n">
        <v>0.739</v>
      </c>
      <c r="R144" s="8">
        <f>AVERAGE(E144:Q144)</f>
        <v/>
      </c>
    </row>
    <row r="145">
      <c r="C145" s="1" t="n"/>
      <c r="D145" s="7" t="inlineStr">
        <is>
          <t>osa before 2027</t>
        </is>
      </c>
      <c r="E145" s="9" t="n">
        <v>0.6845</v>
      </c>
      <c r="F145" s="9" t="n">
        <v>0.8099</v>
      </c>
      <c r="G145" s="9" t="n">
        <v>0.835</v>
      </c>
      <c r="H145" s="9" t="n">
        <v>0.8369</v>
      </c>
      <c r="I145" s="9" t="n">
        <v>0.8365</v>
      </c>
      <c r="J145" s="9" t="n">
        <v>0.8389</v>
      </c>
      <c r="K145" s="9" t="n">
        <v>0.827</v>
      </c>
      <c r="L145" s="9" t="n">
        <v>0.7335</v>
      </c>
      <c r="M145" s="9" t="n">
        <v>0.7334000000000001</v>
      </c>
      <c r="N145" s="9" t="n">
        <v>0.7372</v>
      </c>
      <c r="O145" s="9" t="n">
        <v>0.7403999999999999</v>
      </c>
      <c r="P145" s="9" t="n">
        <v>0.7412</v>
      </c>
      <c r="Q145" s="9" t="n">
        <v>0.7439</v>
      </c>
      <c r="R145" s="9">
        <f>AVERAGE(E145:Q145)</f>
        <v/>
      </c>
    </row>
    <row r="146">
      <c r="C146" s="1" t="n"/>
      <c r="D146" s="7" t="inlineStr">
        <is>
          <t>dif</t>
        </is>
      </c>
      <c r="E146" s="8">
        <f>E145-E144</f>
        <v/>
      </c>
      <c r="F146" s="8">
        <f>F145-F144</f>
        <v/>
      </c>
      <c r="G146" s="8">
        <f>G145-G144</f>
        <v/>
      </c>
      <c r="H146" s="8">
        <f>H145-H144</f>
        <v/>
      </c>
      <c r="I146" s="8">
        <f>I145-I144</f>
        <v/>
      </c>
      <c r="J146" s="8">
        <f>J145-J144</f>
        <v/>
      </c>
      <c r="K146" s="8">
        <f>K145-K144</f>
        <v/>
      </c>
      <c r="L146" s="8">
        <f>L145-L144</f>
        <v/>
      </c>
      <c r="M146" s="8">
        <f>M145-M144</f>
        <v/>
      </c>
      <c r="N146" s="8">
        <f>N145-N144</f>
        <v/>
      </c>
      <c r="O146" s="8">
        <f>O145-O144</f>
        <v/>
      </c>
      <c r="P146" s="8">
        <f>P145-P144</f>
        <v/>
      </c>
      <c r="Q146" s="8">
        <f>Q145-Q144</f>
        <v/>
      </c>
      <c r="R146" s="8">
        <f>R145-R144</f>
        <v/>
      </c>
    </row>
    <row r="147">
      <c r="C147" s="1" t="n"/>
      <c r="D147" s="7" t="inlineStr">
        <is>
          <t>ЭФ-т LSV, %</t>
        </is>
      </c>
      <c r="E147" s="8">
        <f>E146/0.03*0.01</f>
        <v/>
      </c>
      <c r="F147" s="8">
        <f>F146/0.03*0.01</f>
        <v/>
      </c>
      <c r="G147" s="8">
        <f>G146/0.03*0.01</f>
        <v/>
      </c>
      <c r="H147" s="8">
        <f>H146/0.03*0.01</f>
        <v/>
      </c>
      <c r="I147" s="8">
        <f>I146/0.03*0.01</f>
        <v/>
      </c>
      <c r="J147" s="8">
        <f>J146/0.03*0.01</f>
        <v/>
      </c>
      <c r="K147" s="8">
        <f>K146/0.03*0.01</f>
        <v/>
      </c>
      <c r="L147" s="8">
        <f>L146/0.03*0.01</f>
        <v/>
      </c>
      <c r="M147" s="8">
        <f>M146/0.03*0.01</f>
        <v/>
      </c>
      <c r="N147" s="8">
        <f>N146/0.03*0.01</f>
        <v/>
      </c>
      <c r="O147" s="8">
        <f>O146/0.03*0.01</f>
        <v/>
      </c>
      <c r="P147" s="8">
        <f>P146/0.03*0.01</f>
        <v/>
      </c>
      <c r="Q147" s="8">
        <f>Q146/0.03*0.01</f>
        <v/>
      </c>
      <c r="R147" s="8">
        <f>R146/0.03*0.01</f>
        <v/>
      </c>
    </row>
    <row r="148">
      <c r="C148" s="10" t="n"/>
      <c r="D148" s="10" t="inlineStr">
        <is>
          <t>ЭФ-т, млн руб Osa Base</t>
        </is>
      </c>
      <c r="E148" s="11">
        <f>E137*E147</f>
        <v/>
      </c>
      <c r="F148" s="11">
        <f>F137*F147</f>
        <v/>
      </c>
      <c r="G148" s="11">
        <f>G137*G147</f>
        <v/>
      </c>
      <c r="H148" s="11">
        <f>H137*H147</f>
        <v/>
      </c>
      <c r="I148" s="11">
        <f>I137*I147</f>
        <v/>
      </c>
      <c r="J148" s="11">
        <f>J137*J147</f>
        <v/>
      </c>
      <c r="K148" s="11">
        <f>K137*K147</f>
        <v/>
      </c>
      <c r="L148" s="11">
        <f>L137*L147</f>
        <v/>
      </c>
      <c r="M148" s="11">
        <f>M137*M147</f>
        <v/>
      </c>
      <c r="N148" s="11">
        <f>N137*N147</f>
        <v/>
      </c>
      <c r="O148" s="11">
        <f>O137*O147</f>
        <v/>
      </c>
      <c r="P148" s="11">
        <f>P137*P147</f>
        <v/>
      </c>
      <c r="Q148" s="11">
        <f>Q137*Q147</f>
        <v/>
      </c>
      <c r="R148" s="11">
        <f>SUM(E148:Q148)</f>
        <v/>
      </c>
    </row>
    <row r="149">
      <c r="C149" s="12" t="inlineStr">
        <is>
          <t>OSA</t>
        </is>
      </c>
      <c r="D149" s="4" t="inlineStr">
        <is>
          <t>total OSA 2026</t>
        </is>
      </c>
      <c r="E149" s="13">
        <f>MIN(E139+E144,1)</f>
        <v/>
      </c>
      <c r="F149" s="13">
        <f>MIN(F139+F144,1)</f>
        <v/>
      </c>
      <c r="G149" s="13">
        <f>MIN(G139+G144,1)</f>
        <v/>
      </c>
      <c r="H149" s="13">
        <f>MIN(H139+H144,1)</f>
        <v/>
      </c>
      <c r="I149" s="13">
        <f>MIN(I139+I144,1)</f>
        <v/>
      </c>
      <c r="J149" s="13">
        <f>MIN(J139+J144,1)</f>
        <v/>
      </c>
      <c r="K149" s="13">
        <f>MIN(K139+K144,1)</f>
        <v/>
      </c>
      <c r="L149" s="13">
        <f>MIN(L139+L144,1)</f>
        <v/>
      </c>
      <c r="M149" s="13">
        <f>MIN(M139+M144,1)</f>
        <v/>
      </c>
      <c r="N149" s="13">
        <f>MIN(N139+N144,1)</f>
        <v/>
      </c>
      <c r="O149" s="13">
        <f>MIN(O139+O144,1)</f>
        <v/>
      </c>
      <c r="P149" s="13">
        <f>MIN(P139+P144,1)</f>
        <v/>
      </c>
      <c r="Q149" s="13">
        <f>MIN(Q139+Q144,1)</f>
        <v/>
      </c>
      <c r="R149" s="13">
        <f>AVERAGE(E149:Q149)</f>
        <v/>
      </c>
    </row>
    <row r="150">
      <c r="C150" s="2" t="n"/>
      <c r="D150" s="4" t="inlineStr">
        <is>
          <t>total OSA 2027</t>
        </is>
      </c>
      <c r="E150" s="13">
        <f>MIN(E140+E145,1)</f>
        <v/>
      </c>
      <c r="F150" s="13">
        <f>MIN(F140+F145,1)</f>
        <v/>
      </c>
      <c r="G150" s="13">
        <f>MIN(G140+G145,1)</f>
        <v/>
      </c>
      <c r="H150" s="13">
        <f>MIN(H140+H145,1)</f>
        <v/>
      </c>
      <c r="I150" s="13">
        <f>MIN(I140+I145,1)</f>
        <v/>
      </c>
      <c r="J150" s="13">
        <f>MIN(J140+J145,1)</f>
        <v/>
      </c>
      <c r="K150" s="13">
        <f>MIN(K140+K145,1)</f>
        <v/>
      </c>
      <c r="L150" s="13">
        <f>MIN(L140+L145,1)</f>
        <v/>
      </c>
      <c r="M150" s="13">
        <f>MIN(M140+M145,1)</f>
        <v/>
      </c>
      <c r="N150" s="13">
        <f>MIN(N140+N145,1)</f>
        <v/>
      </c>
      <c r="O150" s="13">
        <f>MIN(O140+O145,1)</f>
        <v/>
      </c>
      <c r="P150" s="13">
        <f>MIN(P140+P145,1)</f>
        <v/>
      </c>
      <c r="Q150" s="13">
        <f>MIN(Q140+Q145,1)</f>
        <v/>
      </c>
      <c r="R150" s="13">
        <f>AVERAGE(E150:Q150)</f>
        <v/>
      </c>
    </row>
    <row r="151">
      <c r="C151" s="1" t="n"/>
      <c r="D151" s="7" t="inlineStr">
        <is>
          <t>dif</t>
        </is>
      </c>
      <c r="E151" s="8">
        <f>E150-E149</f>
        <v/>
      </c>
      <c r="F151" s="8">
        <f>F150-F149</f>
        <v/>
      </c>
      <c r="G151" s="8">
        <f>G150-G149</f>
        <v/>
      </c>
      <c r="H151" s="8">
        <f>H150-H149</f>
        <v/>
      </c>
      <c r="I151" s="8">
        <f>I150-I149</f>
        <v/>
      </c>
      <c r="J151" s="8">
        <f>J150-J149</f>
        <v/>
      </c>
      <c r="K151" s="8">
        <f>K150-K149</f>
        <v/>
      </c>
      <c r="L151" s="8">
        <f>L150-L149</f>
        <v/>
      </c>
      <c r="M151" s="8">
        <f>M150-M149</f>
        <v/>
      </c>
      <c r="N151" s="8">
        <f>N150-N149</f>
        <v/>
      </c>
      <c r="O151" s="8">
        <f>O150-O149</f>
        <v/>
      </c>
      <c r="P151" s="8">
        <f>P150-P149</f>
        <v/>
      </c>
      <c r="Q151" s="8">
        <f>Q150-Q149</f>
        <v/>
      </c>
      <c r="R151" s="8">
        <f>R150-R149</f>
        <v/>
      </c>
    </row>
    <row r="152">
      <c r="C152" s="10" t="n"/>
      <c r="D152" s="10" t="inlineStr">
        <is>
          <t>total 2027 млн руб</t>
        </is>
      </c>
      <c r="E152" s="11">
        <f>E143+E148</f>
        <v/>
      </c>
      <c r="F152" s="11">
        <f>F143+F148</f>
        <v/>
      </c>
      <c r="G152" s="11">
        <f>G143+G148</f>
        <v/>
      </c>
      <c r="H152" s="11">
        <f>H143+H148</f>
        <v/>
      </c>
      <c r="I152" s="11">
        <f>I143+I148</f>
        <v/>
      </c>
      <c r="J152" s="11">
        <f>J143+J148</f>
        <v/>
      </c>
      <c r="K152" s="11">
        <f>K143+K148</f>
        <v/>
      </c>
      <c r="L152" s="11">
        <f>L143+L148</f>
        <v/>
      </c>
      <c r="M152" s="11">
        <f>M143+M148</f>
        <v/>
      </c>
      <c r="N152" s="11">
        <f>N143+N148</f>
        <v/>
      </c>
      <c r="O152" s="11">
        <f>O143+O148</f>
        <v/>
      </c>
      <c r="P152" s="11">
        <f>P143+P148</f>
        <v/>
      </c>
      <c r="Q152" s="11">
        <f>Q143+Q148</f>
        <v/>
      </c>
      <c r="R152" s="11">
        <f>R143+R148</f>
        <v/>
      </c>
    </row>
    <row r="155">
      <c r="C155" s="1" t="n"/>
      <c r="D155" s="1" t="n"/>
      <c r="E155" s="2" t="inlineStr">
        <is>
          <t>P1</t>
        </is>
      </c>
      <c r="F155" s="2" t="inlineStr">
        <is>
          <t>P2</t>
        </is>
      </c>
      <c r="G155" s="2" t="inlineStr">
        <is>
          <t>P3</t>
        </is>
      </c>
      <c r="H155" s="2" t="inlineStr">
        <is>
          <t>P4</t>
        </is>
      </c>
      <c r="I155" s="2" t="inlineStr">
        <is>
          <t>P5</t>
        </is>
      </c>
      <c r="J155" s="2" t="inlineStr">
        <is>
          <t>P6</t>
        </is>
      </c>
      <c r="K155" s="2" t="inlineStr">
        <is>
          <t>P7</t>
        </is>
      </c>
      <c r="L155" s="2" t="inlineStr">
        <is>
          <t>P8</t>
        </is>
      </c>
      <c r="M155" s="2" t="inlineStr">
        <is>
          <t>P9</t>
        </is>
      </c>
      <c r="N155" s="2" t="inlineStr">
        <is>
          <t>P10</t>
        </is>
      </c>
      <c r="O155" s="2" t="inlineStr">
        <is>
          <t>P11</t>
        </is>
      </c>
      <c r="P155" s="2" t="inlineStr">
        <is>
          <t>P12</t>
        </is>
      </c>
      <c r="Q155" s="2" t="inlineStr">
        <is>
          <t>P13</t>
        </is>
      </c>
      <c r="R155" s="2" t="inlineStr">
        <is>
          <t>total</t>
        </is>
      </c>
    </row>
    <row r="156">
      <c r="C156" s="3" t="inlineStr">
        <is>
          <t>Кировский</t>
        </is>
      </c>
      <c r="D156" s="4" t="inlineStr">
        <is>
          <t>DMR</t>
        </is>
      </c>
      <c r="E156" s="5" t="n">
        <v>14956639.60999962</v>
      </c>
      <c r="F156" s="5" t="n">
        <v>29623860.94000161</v>
      </c>
      <c r="G156" s="5" t="n">
        <v>28267602.68999996</v>
      </c>
      <c r="H156" s="5" t="n">
        <v>8272433.359999825</v>
      </c>
      <c r="I156" s="5" t="n">
        <v>22256183.78999842</v>
      </c>
      <c r="J156" s="5" t="n">
        <v>14732181.07000131</v>
      </c>
      <c r="K156" s="5" t="n">
        <v>11541359.45000038</v>
      </c>
      <c r="L156" s="5" t="n">
        <v>17925593.05000166</v>
      </c>
      <c r="M156" s="5" t="n">
        <v>19500000</v>
      </c>
      <c r="N156" s="5" t="n">
        <v>20000000</v>
      </c>
      <c r="O156" s="5" t="n">
        <v>21000000</v>
      </c>
      <c r="P156" s="5" t="n">
        <v>21000000</v>
      </c>
      <c r="Q156" s="5" t="n">
        <v>22560000</v>
      </c>
      <c r="R156" s="5">
        <f>SUM(E156:Q156)</f>
        <v/>
      </c>
    </row>
    <row r="157">
      <c r="C157" s="6" t="n"/>
      <c r="D157" s="7" t="inlineStr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</row>
    <row r="158">
      <c r="C158" s="1" t="n"/>
      <c r="D158" s="7" t="inlineStr">
        <is>
          <t>Merch Impact 2026</t>
        </is>
      </c>
      <c r="E158" s="8" t="n">
        <v>0.1487</v>
      </c>
      <c r="F158" s="8" t="n">
        <v>0.1377</v>
      </c>
      <c r="G158" s="8" t="n">
        <v>0.1255</v>
      </c>
      <c r="H158" s="8" t="n">
        <v>0.1274</v>
      </c>
      <c r="I158" s="8" t="n">
        <v>0.1308</v>
      </c>
      <c r="J158" s="8" t="n">
        <v>0.1203</v>
      </c>
      <c r="K158" s="8" t="n">
        <v>0.1339</v>
      </c>
      <c r="L158" s="8" t="n">
        <v>0.1342</v>
      </c>
      <c r="M158" s="9" t="n">
        <v>0.1395</v>
      </c>
      <c r="N158" s="9" t="n">
        <v>0.1441</v>
      </c>
      <c r="O158" s="9" t="n">
        <v>0.1481</v>
      </c>
      <c r="P158" s="9" t="n">
        <v>0.1526</v>
      </c>
      <c r="Q158" s="9" t="n">
        <v>0.1582</v>
      </c>
      <c r="R158" s="8">
        <f>AVERAGE(E158:Q158)</f>
        <v/>
      </c>
    </row>
    <row r="159">
      <c r="C159" s="1" t="n"/>
      <c r="D159" s="7" t="inlineStr">
        <is>
          <t>Merch Impact 2027</t>
        </is>
      </c>
      <c r="E159" s="9" t="n">
        <v>0.1542</v>
      </c>
      <c r="F159" s="9" t="n">
        <v>0.1444</v>
      </c>
      <c r="G159" s="9" t="n">
        <v>0.1338</v>
      </c>
      <c r="H159" s="9" t="n">
        <v>0.1356</v>
      </c>
      <c r="I159" s="9" t="n">
        <v>0.1439</v>
      </c>
      <c r="J159" s="9" t="n">
        <v>0.1302</v>
      </c>
      <c r="K159" s="9" t="n">
        <v>0.1471</v>
      </c>
      <c r="L159" s="9" t="n">
        <v>0.1423</v>
      </c>
      <c r="M159" s="9" t="n">
        <v>0.1528</v>
      </c>
      <c r="N159" s="9" t="n">
        <v>0.1503</v>
      </c>
      <c r="O159" s="9" t="n">
        <v>0.1531</v>
      </c>
      <c r="P159" s="9" t="n">
        <v>0.164</v>
      </c>
      <c r="Q159" s="9" t="n">
        <v>0.1626</v>
      </c>
      <c r="R159" s="9">
        <f>AVERAGE(E159:Q159)</f>
        <v/>
      </c>
    </row>
    <row r="160">
      <c r="C160" s="1" t="n"/>
      <c r="D160" s="7" t="inlineStr">
        <is>
          <t>dif</t>
        </is>
      </c>
      <c r="E160" s="8">
        <f>E159-E158</f>
        <v/>
      </c>
      <c r="F160" s="8">
        <f>F159-F158</f>
        <v/>
      </c>
      <c r="G160" s="8">
        <f>G159-G158</f>
        <v/>
      </c>
      <c r="H160" s="8">
        <f>H159-H158</f>
        <v/>
      </c>
      <c r="I160" s="8">
        <f>I159-I158</f>
        <v/>
      </c>
      <c r="J160" s="8">
        <f>J159-J158</f>
        <v/>
      </c>
      <c r="K160" s="8">
        <f>K159-K158</f>
        <v/>
      </c>
      <c r="L160" s="8">
        <f>L159-L158</f>
        <v/>
      </c>
      <c r="M160" s="8">
        <f>M159-M158</f>
        <v/>
      </c>
      <c r="N160" s="8">
        <f>N159-N158</f>
        <v/>
      </c>
      <c r="O160" s="8">
        <f>O159-O158</f>
        <v/>
      </c>
      <c r="P160" s="8">
        <f>P159-P158</f>
        <v/>
      </c>
      <c r="Q160" s="8">
        <f>Q159-Q158</f>
        <v/>
      </c>
      <c r="R160" s="8">
        <f>R159-R158</f>
        <v/>
      </c>
    </row>
    <row r="161">
      <c r="C161" s="1" t="n"/>
      <c r="D161" s="7" t="inlineStr">
        <is>
          <t>ЭФ-т LSV, %</t>
        </is>
      </c>
      <c r="E161" s="8">
        <f>E160/0.03*0.01</f>
        <v/>
      </c>
      <c r="F161" s="8">
        <f>F160/0.03*0.01</f>
        <v/>
      </c>
      <c r="G161" s="8">
        <f>G160/0.03*0.01</f>
        <v/>
      </c>
      <c r="H161" s="8">
        <f>H160/0.03*0.01</f>
        <v/>
      </c>
      <c r="I161" s="8">
        <f>I160/0.03*0.01</f>
        <v/>
      </c>
      <c r="J161" s="8">
        <f>J160/0.03*0.01</f>
        <v/>
      </c>
      <c r="K161" s="8">
        <f>K160/0.03*0.01</f>
        <v/>
      </c>
      <c r="L161" s="8">
        <f>L160/0.03*0.01</f>
        <v/>
      </c>
      <c r="M161" s="8">
        <f>M160/0.03*0.01</f>
        <v/>
      </c>
      <c r="N161" s="8">
        <f>N160/0.03*0.01</f>
        <v/>
      </c>
      <c r="O161" s="8">
        <f>O160/0.03*0.01</f>
        <v/>
      </c>
      <c r="P161" s="8">
        <f>P160/0.03*0.01</f>
        <v/>
      </c>
      <c r="Q161" s="8">
        <f>Q160/0.03*0.01</f>
        <v/>
      </c>
      <c r="R161" s="8">
        <f>R160/0.03*0.01</f>
        <v/>
      </c>
    </row>
    <row r="162">
      <c r="C162" s="10" t="n"/>
      <c r="D162" s="10" t="inlineStr">
        <is>
          <t>ЭФ-т, млн руб Merch in</t>
        </is>
      </c>
      <c r="E162" s="11">
        <f>E156*E161</f>
        <v/>
      </c>
      <c r="F162" s="11">
        <f>F156*F161</f>
        <v/>
      </c>
      <c r="G162" s="11">
        <f>G156*G161</f>
        <v/>
      </c>
      <c r="H162" s="11">
        <f>H156*H161</f>
        <v/>
      </c>
      <c r="I162" s="11">
        <f>I156*I161</f>
        <v/>
      </c>
      <c r="J162" s="11">
        <f>J156*J161</f>
        <v/>
      </c>
      <c r="K162" s="11">
        <f>K156*K161</f>
        <v/>
      </c>
      <c r="L162" s="11">
        <f>L156*L161</f>
        <v/>
      </c>
      <c r="M162" s="11">
        <f>M156*M161</f>
        <v/>
      </c>
      <c r="N162" s="11">
        <f>N156*N161</f>
        <v/>
      </c>
      <c r="O162" s="11">
        <f>O156*O161</f>
        <v/>
      </c>
      <c r="P162" s="11">
        <f>P156*P161</f>
        <v/>
      </c>
      <c r="Q162" s="11">
        <f>Q156*Q161</f>
        <v/>
      </c>
      <c r="R162" s="11">
        <f>SUM(E162:Q162)</f>
        <v/>
      </c>
    </row>
    <row r="163">
      <c r="C163" s="12" t="inlineStr">
        <is>
          <t>OSA before</t>
        </is>
      </c>
      <c r="D163" s="7" t="inlineStr">
        <is>
          <t>osa before 2026</t>
        </is>
      </c>
      <c r="E163" s="8" t="n">
        <v>0.8008</v>
      </c>
      <c r="F163" s="8" t="n">
        <v>0.8098</v>
      </c>
      <c r="G163" s="8" t="n">
        <v>0.8243</v>
      </c>
      <c r="H163" s="8" t="n">
        <v>0.8355</v>
      </c>
      <c r="I163" s="8" t="n">
        <v>0.8242</v>
      </c>
      <c r="J163" s="8" t="n">
        <v>0.8290999999999999</v>
      </c>
      <c r="K163" s="8" t="n">
        <v>0.8196</v>
      </c>
      <c r="L163" s="8" t="n">
        <v>0.8265</v>
      </c>
      <c r="M163" s="9" t="n">
        <v>0.8279</v>
      </c>
      <c r="N163" s="9" t="n">
        <v>0.8305</v>
      </c>
      <c r="O163" s="9" t="n">
        <v>0.8305</v>
      </c>
      <c r="P163" s="9" t="n">
        <v>0.8310999999999999</v>
      </c>
      <c r="Q163" s="9" t="n">
        <v>0.8310999999999999</v>
      </c>
      <c r="R163" s="8">
        <f>AVERAGE(E163:Q163)</f>
        <v/>
      </c>
    </row>
    <row r="164">
      <c r="C164" s="1" t="n"/>
      <c r="D164" s="7" t="inlineStr">
        <is>
          <t>osa before 2027</t>
        </is>
      </c>
      <c r="E164" s="9" t="n">
        <v>0.8028999999999999</v>
      </c>
      <c r="F164" s="9" t="n">
        <v>0.8139999999999999</v>
      </c>
      <c r="G164" s="9" t="n">
        <v>0.8267</v>
      </c>
      <c r="H164" s="9" t="n">
        <v>0.8368</v>
      </c>
      <c r="I164" s="9" t="n">
        <v>0.832</v>
      </c>
      <c r="J164" s="9" t="n">
        <v>0.8391</v>
      </c>
      <c r="K164" s="9" t="n">
        <v>0.8296</v>
      </c>
      <c r="L164" s="9" t="n">
        <v>0.8365</v>
      </c>
      <c r="M164" s="9" t="n">
        <v>0.8379</v>
      </c>
      <c r="N164" s="9" t="n">
        <v>0.8405</v>
      </c>
      <c r="O164" s="9" t="n">
        <v>0.8405</v>
      </c>
      <c r="P164" s="9" t="n">
        <v>0.8411</v>
      </c>
      <c r="Q164" s="9" t="n">
        <v>0.8411</v>
      </c>
      <c r="R164" s="9">
        <f>AVERAGE(E164:Q164)</f>
        <v/>
      </c>
    </row>
    <row r="165">
      <c r="C165" s="1" t="n"/>
      <c r="D165" s="7" t="inlineStr">
        <is>
          <t>dif</t>
        </is>
      </c>
      <c r="E165" s="8">
        <f>E164-E163</f>
        <v/>
      </c>
      <c r="F165" s="8">
        <f>F164-F163</f>
        <v/>
      </c>
      <c r="G165" s="8">
        <f>G164-G163</f>
        <v/>
      </c>
      <c r="H165" s="8">
        <f>H164-H163</f>
        <v/>
      </c>
      <c r="I165" s="8">
        <f>I164-I163</f>
        <v/>
      </c>
      <c r="J165" s="8">
        <f>J164-J163</f>
        <v/>
      </c>
      <c r="K165" s="8">
        <f>K164-K163</f>
        <v/>
      </c>
      <c r="L165" s="8">
        <f>L164-L163</f>
        <v/>
      </c>
      <c r="M165" s="8">
        <f>M164-M163</f>
        <v/>
      </c>
      <c r="N165" s="8">
        <f>N164-N163</f>
        <v/>
      </c>
      <c r="O165" s="8">
        <f>O164-O163</f>
        <v/>
      </c>
      <c r="P165" s="8">
        <f>P164-P163</f>
        <v/>
      </c>
      <c r="Q165" s="8">
        <f>Q164-Q163</f>
        <v/>
      </c>
      <c r="R165" s="8">
        <f>R164-R163</f>
        <v/>
      </c>
    </row>
    <row r="166">
      <c r="C166" s="1" t="n"/>
      <c r="D166" s="7" t="inlineStr">
        <is>
          <t>ЭФ-т LSV, %</t>
        </is>
      </c>
      <c r="E166" s="8">
        <f>E165/0.03*0.01</f>
        <v/>
      </c>
      <c r="F166" s="8">
        <f>F165/0.03*0.01</f>
        <v/>
      </c>
      <c r="G166" s="8">
        <f>G165/0.03*0.01</f>
        <v/>
      </c>
      <c r="H166" s="8">
        <f>H165/0.03*0.01</f>
        <v/>
      </c>
      <c r="I166" s="8">
        <f>I165/0.03*0.01</f>
        <v/>
      </c>
      <c r="J166" s="8">
        <f>J165/0.03*0.01</f>
        <v/>
      </c>
      <c r="K166" s="8">
        <f>K165/0.03*0.01</f>
        <v/>
      </c>
      <c r="L166" s="8">
        <f>L165/0.03*0.01</f>
        <v/>
      </c>
      <c r="M166" s="8">
        <f>M165/0.03*0.01</f>
        <v/>
      </c>
      <c r="N166" s="8">
        <f>N165/0.03*0.01</f>
        <v/>
      </c>
      <c r="O166" s="8">
        <f>O165/0.03*0.01</f>
        <v/>
      </c>
      <c r="P166" s="8">
        <f>P165/0.03*0.01</f>
        <v/>
      </c>
      <c r="Q166" s="8">
        <f>Q165/0.03*0.01</f>
        <v/>
      </c>
      <c r="R166" s="8">
        <f>R165/0.03*0.01</f>
        <v/>
      </c>
    </row>
    <row r="167">
      <c r="C167" s="10" t="n"/>
      <c r="D167" s="10" t="inlineStr">
        <is>
          <t>ЭФ-т, млн руб Osa Base</t>
        </is>
      </c>
      <c r="E167" s="11">
        <f>E156*E166</f>
        <v/>
      </c>
      <c r="F167" s="11">
        <f>F156*F166</f>
        <v/>
      </c>
      <c r="G167" s="11">
        <f>G156*G166</f>
        <v/>
      </c>
      <c r="H167" s="11">
        <f>H156*H166</f>
        <v/>
      </c>
      <c r="I167" s="11">
        <f>I156*I166</f>
        <v/>
      </c>
      <c r="J167" s="11">
        <f>J156*J166</f>
        <v/>
      </c>
      <c r="K167" s="11">
        <f>K156*K166</f>
        <v/>
      </c>
      <c r="L167" s="11">
        <f>L156*L166</f>
        <v/>
      </c>
      <c r="M167" s="11">
        <f>M156*M166</f>
        <v/>
      </c>
      <c r="N167" s="11">
        <f>N156*N166</f>
        <v/>
      </c>
      <c r="O167" s="11">
        <f>O156*O166</f>
        <v/>
      </c>
      <c r="P167" s="11">
        <f>P156*P166</f>
        <v/>
      </c>
      <c r="Q167" s="11">
        <f>Q156*Q166</f>
        <v/>
      </c>
      <c r="R167" s="11">
        <f>SUM(E167:Q167)</f>
        <v/>
      </c>
    </row>
    <row r="168">
      <c r="C168" s="12" t="inlineStr">
        <is>
          <t>OSA</t>
        </is>
      </c>
      <c r="D168" s="4" t="inlineStr">
        <is>
          <t>total OSA 2026</t>
        </is>
      </c>
      <c r="E168" s="13">
        <f>MIN(E158+E163,1)</f>
        <v/>
      </c>
      <c r="F168" s="13">
        <f>MIN(F158+F163,1)</f>
        <v/>
      </c>
      <c r="G168" s="13">
        <f>MIN(G158+G163,1)</f>
        <v/>
      </c>
      <c r="H168" s="13">
        <f>MIN(H158+H163,1)</f>
        <v/>
      </c>
      <c r="I168" s="13">
        <f>MIN(I158+I163,1)</f>
        <v/>
      </c>
      <c r="J168" s="13">
        <f>MIN(J158+J163,1)</f>
        <v/>
      </c>
      <c r="K168" s="13">
        <f>MIN(K158+K163,1)</f>
        <v/>
      </c>
      <c r="L168" s="13">
        <f>MIN(L158+L163,1)</f>
        <v/>
      </c>
      <c r="M168" s="13">
        <f>MIN(M158+M163,1)</f>
        <v/>
      </c>
      <c r="N168" s="13">
        <f>MIN(N158+N163,1)</f>
        <v/>
      </c>
      <c r="O168" s="13">
        <f>MIN(O158+O163,1)</f>
        <v/>
      </c>
      <c r="P168" s="13">
        <f>MIN(P158+P163,1)</f>
        <v/>
      </c>
      <c r="Q168" s="13">
        <f>MIN(Q158+Q163,1)</f>
        <v/>
      </c>
      <c r="R168" s="13">
        <f>AVERAGE(E168:Q168)</f>
        <v/>
      </c>
    </row>
    <row r="169">
      <c r="C169" s="2" t="n"/>
      <c r="D169" s="4" t="inlineStr">
        <is>
          <t>total OSA 2027</t>
        </is>
      </c>
      <c r="E169" s="13">
        <f>MIN(E159+E164,1)</f>
        <v/>
      </c>
      <c r="F169" s="13">
        <f>MIN(F159+F164,1)</f>
        <v/>
      </c>
      <c r="G169" s="13">
        <f>MIN(G159+G164,1)</f>
        <v/>
      </c>
      <c r="H169" s="13">
        <f>MIN(H159+H164,1)</f>
        <v/>
      </c>
      <c r="I169" s="13">
        <f>MIN(I159+I164,1)</f>
        <v/>
      </c>
      <c r="J169" s="13">
        <f>MIN(J159+J164,1)</f>
        <v/>
      </c>
      <c r="K169" s="13">
        <f>MIN(K159+K164,1)</f>
        <v/>
      </c>
      <c r="L169" s="13">
        <f>MIN(L159+L164,1)</f>
        <v/>
      </c>
      <c r="M169" s="13">
        <f>MIN(M159+M164,1)</f>
        <v/>
      </c>
      <c r="N169" s="13">
        <f>MIN(N159+N164,1)</f>
        <v/>
      </c>
      <c r="O169" s="13">
        <f>MIN(O159+O164,1)</f>
        <v/>
      </c>
      <c r="P169" s="13">
        <f>MIN(P159+P164,1)</f>
        <v/>
      </c>
      <c r="Q169" s="13">
        <f>MIN(Q159+Q164,1)</f>
        <v/>
      </c>
      <c r="R169" s="13">
        <f>AVERAGE(E169:Q169)</f>
        <v/>
      </c>
    </row>
    <row r="170">
      <c r="C170" s="1" t="n"/>
      <c r="D170" s="7" t="inlineStr">
        <is>
          <t>dif</t>
        </is>
      </c>
      <c r="E170" s="8">
        <f>E169-E168</f>
        <v/>
      </c>
      <c r="F170" s="8">
        <f>F169-F168</f>
        <v/>
      </c>
      <c r="G170" s="8">
        <f>G169-G168</f>
        <v/>
      </c>
      <c r="H170" s="8">
        <f>H169-H168</f>
        <v/>
      </c>
      <c r="I170" s="8">
        <f>I169-I168</f>
        <v/>
      </c>
      <c r="J170" s="8">
        <f>J169-J168</f>
        <v/>
      </c>
      <c r="K170" s="8">
        <f>K169-K168</f>
        <v/>
      </c>
      <c r="L170" s="8">
        <f>L169-L168</f>
        <v/>
      </c>
      <c r="M170" s="8">
        <f>M169-M168</f>
        <v/>
      </c>
      <c r="N170" s="8">
        <f>N169-N168</f>
        <v/>
      </c>
      <c r="O170" s="8">
        <f>O169-O168</f>
        <v/>
      </c>
      <c r="P170" s="8">
        <f>P169-P168</f>
        <v/>
      </c>
      <c r="Q170" s="8">
        <f>Q169-Q168</f>
        <v/>
      </c>
      <c r="R170" s="8">
        <f>R169-R168</f>
        <v/>
      </c>
    </row>
    <row r="171">
      <c r="C171" s="10" t="n"/>
      <c r="D171" s="10" t="inlineStr">
        <is>
          <t>total 2027 млн руб</t>
        </is>
      </c>
      <c r="E171" s="11">
        <f>E162+E167</f>
        <v/>
      </c>
      <c r="F171" s="11">
        <f>F162+F167</f>
        <v/>
      </c>
      <c r="G171" s="11">
        <f>G162+G167</f>
        <v/>
      </c>
      <c r="H171" s="11">
        <f>H162+H167</f>
        <v/>
      </c>
      <c r="I171" s="11">
        <f>I162+I167</f>
        <v/>
      </c>
      <c r="J171" s="11">
        <f>J162+J167</f>
        <v/>
      </c>
      <c r="K171" s="11">
        <f>K162+K167</f>
        <v/>
      </c>
      <c r="L171" s="11">
        <f>L162+L167</f>
        <v/>
      </c>
      <c r="M171" s="11">
        <f>M162+M167</f>
        <v/>
      </c>
      <c r="N171" s="11">
        <f>N162+N167</f>
        <v/>
      </c>
      <c r="O171" s="11">
        <f>O162+O167</f>
        <v/>
      </c>
      <c r="P171" s="11">
        <f>P162+P167</f>
        <v/>
      </c>
      <c r="Q171" s="11">
        <f>Q162+Q167</f>
        <v/>
      </c>
      <c r="R171" s="11">
        <f>R162+R167</f>
        <v/>
      </c>
    </row>
    <row r="174">
      <c r="C174" s="1" t="n"/>
      <c r="D174" s="1" t="n"/>
      <c r="E174" s="2" t="inlineStr">
        <is>
          <t>P1</t>
        </is>
      </c>
      <c r="F174" s="2" t="inlineStr">
        <is>
          <t>P2</t>
        </is>
      </c>
      <c r="G174" s="2" t="inlineStr">
        <is>
          <t>P3</t>
        </is>
      </c>
      <c r="H174" s="2" t="inlineStr">
        <is>
          <t>P4</t>
        </is>
      </c>
      <c r="I174" s="2" t="inlineStr">
        <is>
          <t>P5</t>
        </is>
      </c>
      <c r="J174" s="2" t="inlineStr">
        <is>
          <t>P6</t>
        </is>
      </c>
      <c r="K174" s="2" t="inlineStr">
        <is>
          <t>P7</t>
        </is>
      </c>
      <c r="L174" s="2" t="inlineStr">
        <is>
          <t>P8</t>
        </is>
      </c>
      <c r="M174" s="2" t="inlineStr">
        <is>
          <t>P9</t>
        </is>
      </c>
      <c r="N174" s="2" t="inlineStr">
        <is>
          <t>P10</t>
        </is>
      </c>
      <c r="O174" s="2" t="inlineStr">
        <is>
          <t>P11</t>
        </is>
      </c>
      <c r="P174" s="2" t="inlineStr">
        <is>
          <t>P12</t>
        </is>
      </c>
      <c r="Q174" s="2" t="inlineStr">
        <is>
          <t>P13</t>
        </is>
      </c>
      <c r="R174" s="2" t="inlineStr">
        <is>
          <t>total</t>
        </is>
      </c>
    </row>
    <row r="175">
      <c r="C175" s="3" t="inlineStr">
        <is>
          <t>Метрополис</t>
        </is>
      </c>
      <c r="D175" s="4" t="inlineStr">
        <is>
          <t>DMR</t>
        </is>
      </c>
      <c r="E175" s="5" t="n">
        <v>17247368.41000021</v>
      </c>
      <c r="F175" s="5" t="n">
        <v>23791600.14000016</v>
      </c>
      <c r="G175" s="5" t="n">
        <v>23036241.92000031</v>
      </c>
      <c r="H175" s="5" t="n">
        <v>19615132.01000002</v>
      </c>
      <c r="I175" s="5" t="n">
        <v>17318898.83000007</v>
      </c>
      <c r="J175" s="5" t="n">
        <v>20395540.11000014</v>
      </c>
      <c r="K175" s="5" t="n">
        <v>23210415.68000016</v>
      </c>
      <c r="L175" s="5" t="n">
        <v>23374423.81000005</v>
      </c>
      <c r="M175" s="5" t="n">
        <v>25800000</v>
      </c>
      <c r="N175" s="5" t="n">
        <v>24151589.5604182</v>
      </c>
      <c r="O175" s="5" t="n">
        <v>22142142.42987774</v>
      </c>
      <c r="P175" s="5" t="n">
        <v>22159351.01030914</v>
      </c>
      <c r="Q175" s="5" t="n">
        <v>27980000</v>
      </c>
      <c r="R175" s="5">
        <f>SUM(E175:Q175)</f>
        <v/>
      </c>
    </row>
    <row r="176">
      <c r="C176" s="6" t="n"/>
      <c r="D176" s="7" t="inlineStr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</row>
    <row r="177">
      <c r="C177" s="1" t="n"/>
      <c r="D177" s="7" t="inlineStr">
        <is>
          <t>Merch Impact 2026</t>
        </is>
      </c>
      <c r="E177" s="8" t="n">
        <v>0.183</v>
      </c>
      <c r="F177" s="8" t="n">
        <v>0.178</v>
      </c>
      <c r="G177" s="8" t="n">
        <v>0.1785</v>
      </c>
      <c r="H177" s="8" t="n">
        <v>0.1542</v>
      </c>
      <c r="I177" s="8" t="n">
        <v>0.145</v>
      </c>
      <c r="J177" s="8" t="n">
        <v>0.1615</v>
      </c>
      <c r="K177" s="8" t="n">
        <v>0.1496</v>
      </c>
      <c r="L177" s="8" t="n">
        <v>0.2005</v>
      </c>
      <c r="M177" s="9" t="n">
        <v>0.2046</v>
      </c>
      <c r="N177" s="9" t="n">
        <v>0.2075</v>
      </c>
      <c r="O177" s="9" t="n">
        <v>0.2132</v>
      </c>
      <c r="P177" s="9" t="n">
        <v>0.2182</v>
      </c>
      <c r="Q177" s="9" t="n">
        <v>0.2229</v>
      </c>
      <c r="R177" s="8">
        <f>AVERAGE(E177:Q177)</f>
        <v/>
      </c>
    </row>
    <row r="178">
      <c r="C178" s="1" t="n"/>
      <c r="D178" s="7" t="inlineStr">
        <is>
          <t>Merch Impact 2027</t>
        </is>
      </c>
      <c r="E178" s="9" t="n">
        <v>0.1916</v>
      </c>
      <c r="F178" s="9" t="n">
        <v>0.1931</v>
      </c>
      <c r="G178" s="9" t="n">
        <v>0.1839</v>
      </c>
      <c r="H178" s="9" t="n">
        <v>0.1643</v>
      </c>
      <c r="I178" s="9" t="n">
        <v>0.1563</v>
      </c>
      <c r="J178" s="9" t="n">
        <v>0.1735</v>
      </c>
      <c r="K178" s="9" t="n">
        <v>0.1596</v>
      </c>
      <c r="L178" s="9" t="n">
        <v>0.2147</v>
      </c>
      <c r="M178" s="9" t="n">
        <v>0.2147</v>
      </c>
      <c r="N178" s="9" t="n">
        <v>0.2275</v>
      </c>
      <c r="O178" s="9" t="n">
        <v>0.2243</v>
      </c>
      <c r="P178" s="9" t="n">
        <v>0.2345</v>
      </c>
      <c r="Q178" s="9" t="n">
        <v>0.2401</v>
      </c>
      <c r="R178" s="9">
        <f>AVERAGE(E178:Q178)</f>
        <v/>
      </c>
    </row>
    <row r="179">
      <c r="C179" s="1" t="n"/>
      <c r="D179" s="7" t="inlineStr">
        <is>
          <t>dif</t>
        </is>
      </c>
      <c r="E179" s="8">
        <f>E178-E177</f>
        <v/>
      </c>
      <c r="F179" s="8">
        <f>F178-F177</f>
        <v/>
      </c>
      <c r="G179" s="8">
        <f>G178-G177</f>
        <v/>
      </c>
      <c r="H179" s="8">
        <f>H178-H177</f>
        <v/>
      </c>
      <c r="I179" s="8">
        <f>I178-I177</f>
        <v/>
      </c>
      <c r="J179" s="8">
        <f>J178-J177</f>
        <v/>
      </c>
      <c r="K179" s="8">
        <f>K178-K177</f>
        <v/>
      </c>
      <c r="L179" s="8">
        <f>L178-L177</f>
        <v/>
      </c>
      <c r="M179" s="8">
        <f>M178-M177</f>
        <v/>
      </c>
      <c r="N179" s="8">
        <f>N178-N177</f>
        <v/>
      </c>
      <c r="O179" s="8">
        <f>O178-O177</f>
        <v/>
      </c>
      <c r="P179" s="8">
        <f>P178-P177</f>
        <v/>
      </c>
      <c r="Q179" s="8">
        <f>Q178-Q177</f>
        <v/>
      </c>
      <c r="R179" s="8">
        <f>R178-R177</f>
        <v/>
      </c>
    </row>
    <row r="180">
      <c r="C180" s="1" t="n"/>
      <c r="D180" s="7" t="inlineStr">
        <is>
          <t>ЭФ-т LSV, %</t>
        </is>
      </c>
      <c r="E180" s="8">
        <f>E179/0.03*0.01</f>
        <v/>
      </c>
      <c r="F180" s="8">
        <f>F179/0.03*0.01</f>
        <v/>
      </c>
      <c r="G180" s="8">
        <f>G179/0.03*0.01</f>
        <v/>
      </c>
      <c r="H180" s="8">
        <f>H179/0.03*0.01</f>
        <v/>
      </c>
      <c r="I180" s="8">
        <f>I179/0.03*0.01</f>
        <v/>
      </c>
      <c r="J180" s="8">
        <f>J179/0.03*0.01</f>
        <v/>
      </c>
      <c r="K180" s="8">
        <f>K179/0.03*0.01</f>
        <v/>
      </c>
      <c r="L180" s="8">
        <f>L179/0.03*0.01</f>
        <v/>
      </c>
      <c r="M180" s="8">
        <f>M179/0.03*0.01</f>
        <v/>
      </c>
      <c r="N180" s="8">
        <f>N179/0.03*0.01</f>
        <v/>
      </c>
      <c r="O180" s="8">
        <f>O179/0.03*0.01</f>
        <v/>
      </c>
      <c r="P180" s="8">
        <f>P179/0.03*0.01</f>
        <v/>
      </c>
      <c r="Q180" s="8">
        <f>Q179/0.03*0.01</f>
        <v/>
      </c>
      <c r="R180" s="8">
        <f>R179/0.03*0.01</f>
        <v/>
      </c>
    </row>
    <row r="181">
      <c r="C181" s="10" t="n"/>
      <c r="D181" s="10" t="inlineStr">
        <is>
          <t>ЭФ-т, млн руб Merch in</t>
        </is>
      </c>
      <c r="E181" s="11">
        <f>E175*E180</f>
        <v/>
      </c>
      <c r="F181" s="11">
        <f>F175*F180</f>
        <v/>
      </c>
      <c r="G181" s="11">
        <f>G175*G180</f>
        <v/>
      </c>
      <c r="H181" s="11">
        <f>H175*H180</f>
        <v/>
      </c>
      <c r="I181" s="11">
        <f>I175*I180</f>
        <v/>
      </c>
      <c r="J181" s="11">
        <f>J175*J180</f>
        <v/>
      </c>
      <c r="K181" s="11">
        <f>K175*K180</f>
        <v/>
      </c>
      <c r="L181" s="11">
        <f>L175*L180</f>
        <v/>
      </c>
      <c r="M181" s="11">
        <f>M175*M180</f>
        <v/>
      </c>
      <c r="N181" s="11">
        <f>N175*N180</f>
        <v/>
      </c>
      <c r="O181" s="11">
        <f>O175*O180</f>
        <v/>
      </c>
      <c r="P181" s="11">
        <f>P175*P180</f>
        <v/>
      </c>
      <c r="Q181" s="11">
        <f>Q175*Q180</f>
        <v/>
      </c>
      <c r="R181" s="11">
        <f>SUM(E181:Q181)</f>
        <v/>
      </c>
    </row>
    <row r="182">
      <c r="C182" s="12" t="inlineStr">
        <is>
          <t>OSA before</t>
        </is>
      </c>
      <c r="D182" s="7" t="inlineStr">
        <is>
          <t>osa before 2026</t>
        </is>
      </c>
      <c r="E182" s="8" t="n">
        <v>0.6957</v>
      </c>
      <c r="F182" s="8" t="n">
        <v>0.7465000000000001</v>
      </c>
      <c r="G182" s="8" t="n">
        <v>0.7495000000000001</v>
      </c>
      <c r="H182" s="8" t="n">
        <v>0.8024</v>
      </c>
      <c r="I182" s="8" t="n">
        <v>0.8139</v>
      </c>
      <c r="J182" s="8" t="n">
        <v>0.7932</v>
      </c>
      <c r="K182" s="8" t="n">
        <v>0.8121</v>
      </c>
      <c r="L182" s="8" t="n">
        <v>0.7585</v>
      </c>
      <c r="M182" s="9" t="n">
        <v>0.7585</v>
      </c>
      <c r="N182" s="9" t="n">
        <v>0.7588</v>
      </c>
      <c r="O182" s="9" t="n">
        <v>0.7604</v>
      </c>
      <c r="P182" s="9" t="n">
        <v>0.7604</v>
      </c>
      <c r="Q182" s="9" t="n">
        <v>0.7629</v>
      </c>
      <c r="R182" s="8">
        <f>AVERAGE(E182:Q182)</f>
        <v/>
      </c>
    </row>
    <row r="183">
      <c r="C183" s="1" t="n"/>
      <c r="D183" s="7" t="inlineStr">
        <is>
          <t>osa before 2027</t>
        </is>
      </c>
      <c r="E183" s="9" t="n">
        <v>0.6989</v>
      </c>
      <c r="F183" s="9" t="n">
        <v>0.7465000000000001</v>
      </c>
      <c r="G183" s="9" t="n">
        <v>0.7519</v>
      </c>
      <c r="H183" s="9" t="n">
        <v>0.8024</v>
      </c>
      <c r="I183" s="9" t="n">
        <v>0.8167</v>
      </c>
      <c r="J183" s="9" t="n">
        <v>0.7987</v>
      </c>
      <c r="K183" s="9" t="n">
        <v>0.8169999999999999</v>
      </c>
      <c r="L183" s="9" t="n">
        <v>0.7735</v>
      </c>
      <c r="M183" s="9" t="n">
        <v>0.7735</v>
      </c>
      <c r="N183" s="9" t="n">
        <v>0.7738</v>
      </c>
      <c r="O183" s="9" t="n">
        <v>0.7754</v>
      </c>
      <c r="P183" s="9" t="n">
        <v>0.7754</v>
      </c>
      <c r="Q183" s="9" t="n">
        <v>0.7779</v>
      </c>
      <c r="R183" s="9">
        <f>AVERAGE(E183:Q183)</f>
        <v/>
      </c>
    </row>
    <row r="184">
      <c r="C184" s="1" t="n"/>
      <c r="D184" s="7" t="inlineStr">
        <is>
          <t>dif</t>
        </is>
      </c>
      <c r="E184" s="8">
        <f>E183-E182</f>
        <v/>
      </c>
      <c r="F184" s="8">
        <f>F183-F182</f>
        <v/>
      </c>
      <c r="G184" s="8">
        <f>G183-G182</f>
        <v/>
      </c>
      <c r="H184" s="8">
        <f>H183-H182</f>
        <v/>
      </c>
      <c r="I184" s="8">
        <f>I183-I182</f>
        <v/>
      </c>
      <c r="J184" s="8">
        <f>J183-J182</f>
        <v/>
      </c>
      <c r="K184" s="8">
        <f>K183-K182</f>
        <v/>
      </c>
      <c r="L184" s="8">
        <f>L183-L182</f>
        <v/>
      </c>
      <c r="M184" s="8">
        <f>M183-M182</f>
        <v/>
      </c>
      <c r="N184" s="8">
        <f>N183-N182</f>
        <v/>
      </c>
      <c r="O184" s="8">
        <f>O183-O182</f>
        <v/>
      </c>
      <c r="P184" s="8">
        <f>P183-P182</f>
        <v/>
      </c>
      <c r="Q184" s="8">
        <f>Q183-Q182</f>
        <v/>
      </c>
      <c r="R184" s="8">
        <f>R183-R182</f>
        <v/>
      </c>
    </row>
    <row r="185">
      <c r="C185" s="1" t="n"/>
      <c r="D185" s="7" t="inlineStr">
        <is>
          <t>ЭФ-т LSV, %</t>
        </is>
      </c>
      <c r="E185" s="8">
        <f>E184/0.03*0.01</f>
        <v/>
      </c>
      <c r="F185" s="8">
        <f>F184/0.03*0.01</f>
        <v/>
      </c>
      <c r="G185" s="8">
        <f>G184/0.03*0.01</f>
        <v/>
      </c>
      <c r="H185" s="8">
        <f>H184/0.03*0.01</f>
        <v/>
      </c>
      <c r="I185" s="8">
        <f>I184/0.03*0.01</f>
        <v/>
      </c>
      <c r="J185" s="8">
        <f>J184/0.03*0.01</f>
        <v/>
      </c>
      <c r="K185" s="8">
        <f>K184/0.03*0.01</f>
        <v/>
      </c>
      <c r="L185" s="8">
        <f>L184/0.03*0.01</f>
        <v/>
      </c>
      <c r="M185" s="8">
        <f>M184/0.03*0.01</f>
        <v/>
      </c>
      <c r="N185" s="8">
        <f>N184/0.03*0.01</f>
        <v/>
      </c>
      <c r="O185" s="8">
        <f>O184/0.03*0.01</f>
        <v/>
      </c>
      <c r="P185" s="8">
        <f>P184/0.03*0.01</f>
        <v/>
      </c>
      <c r="Q185" s="8">
        <f>Q184/0.03*0.01</f>
        <v/>
      </c>
      <c r="R185" s="8">
        <f>R184/0.03*0.01</f>
        <v/>
      </c>
    </row>
    <row r="186">
      <c r="C186" s="10" t="n"/>
      <c r="D186" s="10" t="inlineStr">
        <is>
          <t>ЭФ-т, млн руб Osa Base</t>
        </is>
      </c>
      <c r="E186" s="11">
        <f>E175*E185</f>
        <v/>
      </c>
      <c r="F186" s="11">
        <f>F175*F185</f>
        <v/>
      </c>
      <c r="G186" s="11">
        <f>G175*G185</f>
        <v/>
      </c>
      <c r="H186" s="11">
        <f>H175*H185</f>
        <v/>
      </c>
      <c r="I186" s="11">
        <f>I175*I185</f>
        <v/>
      </c>
      <c r="J186" s="11">
        <f>J175*J185</f>
        <v/>
      </c>
      <c r="K186" s="11">
        <f>K175*K185</f>
        <v/>
      </c>
      <c r="L186" s="11">
        <f>L175*L185</f>
        <v/>
      </c>
      <c r="M186" s="11">
        <f>M175*M185</f>
        <v/>
      </c>
      <c r="N186" s="11">
        <f>N175*N185</f>
        <v/>
      </c>
      <c r="O186" s="11">
        <f>O175*O185</f>
        <v/>
      </c>
      <c r="P186" s="11">
        <f>P175*P185</f>
        <v/>
      </c>
      <c r="Q186" s="11">
        <f>Q175*Q185</f>
        <v/>
      </c>
      <c r="R186" s="11">
        <f>SUM(E186:Q186)</f>
        <v/>
      </c>
    </row>
    <row r="187">
      <c r="C187" s="12" t="inlineStr">
        <is>
          <t>OSA</t>
        </is>
      </c>
      <c r="D187" s="4" t="inlineStr">
        <is>
          <t>total OSA 2026</t>
        </is>
      </c>
      <c r="E187" s="13">
        <f>MIN(E177+E182,1)</f>
        <v/>
      </c>
      <c r="F187" s="13">
        <f>MIN(F177+F182,1)</f>
        <v/>
      </c>
      <c r="G187" s="13">
        <f>MIN(G177+G182,1)</f>
        <v/>
      </c>
      <c r="H187" s="13">
        <f>MIN(H177+H182,1)</f>
        <v/>
      </c>
      <c r="I187" s="13">
        <f>MIN(I177+I182,1)</f>
        <v/>
      </c>
      <c r="J187" s="13">
        <f>MIN(J177+J182,1)</f>
        <v/>
      </c>
      <c r="K187" s="13">
        <f>MIN(K177+K182,1)</f>
        <v/>
      </c>
      <c r="L187" s="13">
        <f>MIN(L177+L182,1)</f>
        <v/>
      </c>
      <c r="M187" s="13">
        <f>MIN(M177+M182,1)</f>
        <v/>
      </c>
      <c r="N187" s="13">
        <f>MIN(N177+N182,1)</f>
        <v/>
      </c>
      <c r="O187" s="13">
        <f>MIN(O177+O182,1)</f>
        <v/>
      </c>
      <c r="P187" s="13">
        <f>MIN(P177+P182,1)</f>
        <v/>
      </c>
      <c r="Q187" s="13">
        <f>MIN(Q177+Q182,1)</f>
        <v/>
      </c>
      <c r="R187" s="13">
        <f>AVERAGE(E187:Q187)</f>
        <v/>
      </c>
    </row>
    <row r="188">
      <c r="C188" s="2" t="n"/>
      <c r="D188" s="4" t="inlineStr">
        <is>
          <t>total OSA 2027</t>
        </is>
      </c>
      <c r="E188" s="13">
        <f>MIN(E178+E183,1)</f>
        <v/>
      </c>
      <c r="F188" s="13">
        <f>MIN(F178+F183,1)</f>
        <v/>
      </c>
      <c r="G188" s="13">
        <f>MIN(G178+G183,1)</f>
        <v/>
      </c>
      <c r="H188" s="13">
        <f>MIN(H178+H183,1)</f>
        <v/>
      </c>
      <c r="I188" s="13">
        <f>MIN(I178+I183,1)</f>
        <v/>
      </c>
      <c r="J188" s="13">
        <f>MIN(J178+J183,1)</f>
        <v/>
      </c>
      <c r="K188" s="13">
        <f>MIN(K178+K183,1)</f>
        <v/>
      </c>
      <c r="L188" s="13">
        <f>MIN(L178+L183,1)</f>
        <v/>
      </c>
      <c r="M188" s="13">
        <f>MIN(M178+M183,1)</f>
        <v/>
      </c>
      <c r="N188" s="13">
        <f>MIN(N178+N183,1)</f>
        <v/>
      </c>
      <c r="O188" s="13">
        <f>MIN(O178+O183,1)</f>
        <v/>
      </c>
      <c r="P188" s="13">
        <f>MIN(P178+P183,1)</f>
        <v/>
      </c>
      <c r="Q188" s="13">
        <f>MIN(Q178+Q183,1)</f>
        <v/>
      </c>
      <c r="R188" s="13">
        <f>AVERAGE(E188:Q188)</f>
        <v/>
      </c>
    </row>
    <row r="189">
      <c r="C189" s="1" t="n"/>
      <c r="D189" s="7" t="inlineStr">
        <is>
          <t>dif</t>
        </is>
      </c>
      <c r="E189" s="8">
        <f>E188-E187</f>
        <v/>
      </c>
      <c r="F189" s="8">
        <f>F188-F187</f>
        <v/>
      </c>
      <c r="G189" s="8">
        <f>G188-G187</f>
        <v/>
      </c>
      <c r="H189" s="8">
        <f>H188-H187</f>
        <v/>
      </c>
      <c r="I189" s="8">
        <f>I188-I187</f>
        <v/>
      </c>
      <c r="J189" s="8">
        <f>J188-J187</f>
        <v/>
      </c>
      <c r="K189" s="8">
        <f>K188-K187</f>
        <v/>
      </c>
      <c r="L189" s="8">
        <f>L188-L187</f>
        <v/>
      </c>
      <c r="M189" s="8">
        <f>M188-M187</f>
        <v/>
      </c>
      <c r="N189" s="8">
        <f>N188-N187</f>
        <v/>
      </c>
      <c r="O189" s="8">
        <f>O188-O187</f>
        <v/>
      </c>
      <c r="P189" s="8">
        <f>P188-P187</f>
        <v/>
      </c>
      <c r="Q189" s="8">
        <f>Q188-Q187</f>
        <v/>
      </c>
      <c r="R189" s="8">
        <f>R188-R187</f>
        <v/>
      </c>
    </row>
    <row r="190">
      <c r="C190" s="10" t="n"/>
      <c r="D190" s="10" t="inlineStr">
        <is>
          <t>total 2027 млн руб</t>
        </is>
      </c>
      <c r="E190" s="11">
        <f>E181+E186</f>
        <v/>
      </c>
      <c r="F190" s="11">
        <f>F181+F186</f>
        <v/>
      </c>
      <c r="G190" s="11">
        <f>G181+G186</f>
        <v/>
      </c>
      <c r="H190" s="11">
        <f>H181+H186</f>
        <v/>
      </c>
      <c r="I190" s="11">
        <f>I181+I186</f>
        <v/>
      </c>
      <c r="J190" s="11">
        <f>J181+J186</f>
        <v/>
      </c>
      <c r="K190" s="11">
        <f>K181+K186</f>
        <v/>
      </c>
      <c r="L190" s="11">
        <f>L181+L186</f>
        <v/>
      </c>
      <c r="M190" s="11">
        <f>M181+M186</f>
        <v/>
      </c>
      <c r="N190" s="11">
        <f>N181+N186</f>
        <v/>
      </c>
      <c r="O190" s="11">
        <f>O181+O186</f>
        <v/>
      </c>
      <c r="P190" s="11">
        <f>P181+P186</f>
        <v/>
      </c>
      <c r="Q190" s="11">
        <f>Q181+Q186</f>
        <v/>
      </c>
      <c r="R190" s="11">
        <f>R181+R186</f>
        <v/>
      </c>
    </row>
    <row r="193">
      <c r="C193" s="1" t="n"/>
      <c r="D193" s="1" t="n"/>
      <c r="E193" s="2" t="inlineStr">
        <is>
          <t>P1</t>
        </is>
      </c>
      <c r="F193" s="2" t="inlineStr">
        <is>
          <t>P2</t>
        </is>
      </c>
      <c r="G193" s="2" t="inlineStr">
        <is>
          <t>P3</t>
        </is>
      </c>
      <c r="H193" s="2" t="inlineStr">
        <is>
          <t>P4</t>
        </is>
      </c>
      <c r="I193" s="2" t="inlineStr">
        <is>
          <t>P5</t>
        </is>
      </c>
      <c r="J193" s="2" t="inlineStr">
        <is>
          <t>P6</t>
        </is>
      </c>
      <c r="K193" s="2" t="inlineStr">
        <is>
          <t>P7</t>
        </is>
      </c>
      <c r="L193" s="2" t="inlineStr">
        <is>
          <t>P8</t>
        </is>
      </c>
      <c r="M193" s="2" t="inlineStr">
        <is>
          <t>P9</t>
        </is>
      </c>
      <c r="N193" s="2" t="inlineStr">
        <is>
          <t>P10</t>
        </is>
      </c>
      <c r="O193" s="2" t="inlineStr">
        <is>
          <t>P11</t>
        </is>
      </c>
      <c r="P193" s="2" t="inlineStr">
        <is>
          <t>P12</t>
        </is>
      </c>
      <c r="Q193" s="2" t="inlineStr">
        <is>
          <t>P13</t>
        </is>
      </c>
      <c r="R193" s="2" t="inlineStr">
        <is>
          <t>total</t>
        </is>
      </c>
    </row>
    <row r="194">
      <c r="C194" s="3" t="inlineStr">
        <is>
          <t>Экономыч</t>
        </is>
      </c>
      <c r="D194" s="4" t="inlineStr">
        <is>
          <t>DMR</t>
        </is>
      </c>
      <c r="E194" s="5" t="n">
        <v>9640321.339999966</v>
      </c>
      <c r="F194" s="5" t="n">
        <v>9971215.872500021</v>
      </c>
      <c r="G194" s="5" t="n">
        <v>11529239.99325001</v>
      </c>
      <c r="H194" s="5" t="n">
        <v>11463741.77499994</v>
      </c>
      <c r="I194" s="5" t="n">
        <v>10749662.00000004</v>
      </c>
      <c r="J194" s="5" t="n">
        <v>13578330.99</v>
      </c>
      <c r="K194" s="5" t="n">
        <v>12187297.87000005</v>
      </c>
      <c r="L194" s="5" t="n">
        <v>9987179.959999999</v>
      </c>
      <c r="M194" s="5" t="n">
        <v>11718116.94605451</v>
      </c>
      <c r="N194" s="5" t="n">
        <v>11957102.98092318</v>
      </c>
      <c r="O194" s="5" t="n">
        <v>12294133.41706358</v>
      </c>
      <c r="P194" s="5" t="n">
        <v>12420278.10154247</v>
      </c>
      <c r="Q194" s="5" t="n">
        <v>13226868.57396214</v>
      </c>
      <c r="R194" s="5">
        <f>SUM(E194:Q194)</f>
        <v/>
      </c>
    </row>
    <row r="195">
      <c r="C195" s="6" t="n"/>
      <c r="D195" s="7" t="inlineStr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</row>
    <row r="196">
      <c r="C196" s="1" t="n"/>
      <c r="D196" s="7" t="inlineStr">
        <is>
          <t>Merch Impact 2026</t>
        </is>
      </c>
      <c r="E196" s="8" t="n">
        <v>0.1972</v>
      </c>
      <c r="F196" s="8" t="n">
        <v>0.1736</v>
      </c>
      <c r="G196" s="8" t="n">
        <v>0.1707</v>
      </c>
      <c r="H196" s="8" t="n">
        <v>0.1569</v>
      </c>
      <c r="I196" s="8" t="n">
        <v>0.1681</v>
      </c>
      <c r="J196" s="8" t="n">
        <v>0.1646</v>
      </c>
      <c r="K196" s="8" t="n">
        <v>0.1849</v>
      </c>
      <c r="L196" s="8" t="n">
        <v>0.1803</v>
      </c>
      <c r="M196" s="9" t="n">
        <v>0.1857</v>
      </c>
      <c r="N196" s="9" t="n">
        <v>0.1897</v>
      </c>
      <c r="O196" s="9" t="n">
        <v>0.1944</v>
      </c>
      <c r="P196" s="9" t="n">
        <v>0.1983</v>
      </c>
      <c r="Q196" s="9" t="n">
        <v>0.2031</v>
      </c>
      <c r="R196" s="8">
        <f>AVERAGE(E196:Q196)</f>
        <v/>
      </c>
    </row>
    <row r="197">
      <c r="C197" s="1" t="n"/>
      <c r="D197" s="7" t="inlineStr">
        <is>
          <t>Merch Impact 2027</t>
        </is>
      </c>
      <c r="E197" s="9" t="n">
        <v>0.2073</v>
      </c>
      <c r="F197" s="9" t="n">
        <v>0.1823</v>
      </c>
      <c r="G197" s="9" t="n">
        <v>0.1888</v>
      </c>
      <c r="H197" s="9" t="n">
        <v>0.1672</v>
      </c>
      <c r="I197" s="9" t="n">
        <v>0.1768</v>
      </c>
      <c r="J197" s="9" t="n">
        <v>0.1764</v>
      </c>
      <c r="K197" s="9" t="n">
        <v>0.2015</v>
      </c>
      <c r="L197" s="9" t="n">
        <v>0.1908</v>
      </c>
      <c r="M197" s="9" t="n">
        <v>0.1941</v>
      </c>
      <c r="N197" s="9" t="n">
        <v>0.1987</v>
      </c>
      <c r="O197" s="9" t="n">
        <v>0.2095</v>
      </c>
      <c r="P197" s="9" t="n">
        <v>0.2034</v>
      </c>
      <c r="Q197" s="9" t="n">
        <v>0.2195</v>
      </c>
      <c r="R197" s="9">
        <f>AVERAGE(E197:Q197)</f>
        <v/>
      </c>
    </row>
    <row r="198">
      <c r="C198" s="1" t="n"/>
      <c r="D198" s="7" t="inlineStr">
        <is>
          <t>dif</t>
        </is>
      </c>
      <c r="E198" s="8">
        <f>E197-E196</f>
        <v/>
      </c>
      <c r="F198" s="8">
        <f>F197-F196</f>
        <v/>
      </c>
      <c r="G198" s="8">
        <f>G197-G196</f>
        <v/>
      </c>
      <c r="H198" s="8">
        <f>H197-H196</f>
        <v/>
      </c>
      <c r="I198" s="8">
        <f>I197-I196</f>
        <v/>
      </c>
      <c r="J198" s="8">
        <f>J197-J196</f>
        <v/>
      </c>
      <c r="K198" s="8">
        <f>K197-K196</f>
        <v/>
      </c>
      <c r="L198" s="8">
        <f>L197-L196</f>
        <v/>
      </c>
      <c r="M198" s="8">
        <f>M197-M196</f>
        <v/>
      </c>
      <c r="N198" s="8">
        <f>N197-N196</f>
        <v/>
      </c>
      <c r="O198" s="8">
        <f>O197-O196</f>
        <v/>
      </c>
      <c r="P198" s="8">
        <f>P197-P196</f>
        <v/>
      </c>
      <c r="Q198" s="8">
        <f>Q197-Q196</f>
        <v/>
      </c>
      <c r="R198" s="8">
        <f>R197-R196</f>
        <v/>
      </c>
    </row>
    <row r="199">
      <c r="C199" s="1" t="n"/>
      <c r="D199" s="7" t="inlineStr">
        <is>
          <t>ЭФ-т LSV, %</t>
        </is>
      </c>
      <c r="E199" s="8">
        <f>E198/0.03*0.01</f>
        <v/>
      </c>
      <c r="F199" s="8">
        <f>F198/0.03*0.01</f>
        <v/>
      </c>
      <c r="G199" s="8">
        <f>G198/0.03*0.01</f>
        <v/>
      </c>
      <c r="H199" s="8">
        <f>H198/0.03*0.01</f>
        <v/>
      </c>
      <c r="I199" s="8">
        <f>I198/0.03*0.01</f>
        <v/>
      </c>
      <c r="J199" s="8">
        <f>J198/0.03*0.01</f>
        <v/>
      </c>
      <c r="K199" s="8">
        <f>K198/0.03*0.01</f>
        <v/>
      </c>
      <c r="L199" s="8">
        <f>L198/0.03*0.01</f>
        <v/>
      </c>
      <c r="M199" s="8">
        <f>M198/0.03*0.01</f>
        <v/>
      </c>
      <c r="N199" s="8">
        <f>N198/0.03*0.01</f>
        <v/>
      </c>
      <c r="O199" s="8">
        <f>O198/0.03*0.01</f>
        <v/>
      </c>
      <c r="P199" s="8">
        <f>P198/0.03*0.01</f>
        <v/>
      </c>
      <c r="Q199" s="8">
        <f>Q198/0.03*0.01</f>
        <v/>
      </c>
      <c r="R199" s="8">
        <f>R198/0.03*0.01</f>
        <v/>
      </c>
    </row>
    <row r="200">
      <c r="C200" s="10" t="n"/>
      <c r="D200" s="10" t="inlineStr">
        <is>
          <t>ЭФ-т, млн руб Merch in</t>
        </is>
      </c>
      <c r="E200" s="11">
        <f>E194*E199</f>
        <v/>
      </c>
      <c r="F200" s="11">
        <f>F194*F199</f>
        <v/>
      </c>
      <c r="G200" s="11">
        <f>G194*G199</f>
        <v/>
      </c>
      <c r="H200" s="11">
        <f>H194*H199</f>
        <v/>
      </c>
      <c r="I200" s="11">
        <f>I194*I199</f>
        <v/>
      </c>
      <c r="J200" s="11">
        <f>J194*J199</f>
        <v/>
      </c>
      <c r="K200" s="11">
        <f>K194*K199</f>
        <v/>
      </c>
      <c r="L200" s="11">
        <f>L194*L199</f>
        <v/>
      </c>
      <c r="M200" s="11">
        <f>M194*M199</f>
        <v/>
      </c>
      <c r="N200" s="11">
        <f>N194*N199</f>
        <v/>
      </c>
      <c r="O200" s="11">
        <f>O194*O199</f>
        <v/>
      </c>
      <c r="P200" s="11">
        <f>P194*P199</f>
        <v/>
      </c>
      <c r="Q200" s="11">
        <f>Q194*Q199</f>
        <v/>
      </c>
      <c r="R200" s="11">
        <f>SUM(E200:Q200)</f>
        <v/>
      </c>
    </row>
    <row r="201">
      <c r="C201" s="12" t="inlineStr">
        <is>
          <t>OSA before</t>
        </is>
      </c>
      <c r="D201" s="7" t="inlineStr">
        <is>
          <t>osa before 2026</t>
        </is>
      </c>
      <c r="E201" s="8" t="n">
        <v>0.7148</v>
      </c>
      <c r="F201" s="8" t="n">
        <v>0.7385</v>
      </c>
      <c r="G201" s="8" t="n">
        <v>0.7798</v>
      </c>
      <c r="H201" s="8" t="n">
        <v>0.8065</v>
      </c>
      <c r="I201" s="8" t="n">
        <v>0.7915</v>
      </c>
      <c r="J201" s="8" t="n">
        <v>0.8114</v>
      </c>
      <c r="K201" s="8" t="n">
        <v>0.7903</v>
      </c>
      <c r="L201" s="8" t="n">
        <v>0.799</v>
      </c>
      <c r="M201" s="9" t="n">
        <v>0.799</v>
      </c>
      <c r="N201" s="9" t="n">
        <v>0.801</v>
      </c>
      <c r="O201" s="9" t="n">
        <v>0.804</v>
      </c>
      <c r="P201" s="9" t="n">
        <v>0.804</v>
      </c>
      <c r="Q201" s="9" t="n">
        <v>0.8061</v>
      </c>
      <c r="R201" s="8">
        <f>AVERAGE(E201:Q201)</f>
        <v/>
      </c>
    </row>
    <row r="202">
      <c r="C202" s="1" t="n"/>
      <c r="D202" s="7" t="inlineStr">
        <is>
          <t>osa before 2027</t>
        </is>
      </c>
      <c r="E202" s="9" t="n">
        <v>0.7148</v>
      </c>
      <c r="F202" s="9" t="n">
        <v>0.7426</v>
      </c>
      <c r="G202" s="9" t="n">
        <v>0.7798</v>
      </c>
      <c r="H202" s="9" t="n">
        <v>0.8109</v>
      </c>
      <c r="I202" s="9" t="n">
        <v>0.8013</v>
      </c>
      <c r="J202" s="9" t="n">
        <v>0.8214</v>
      </c>
      <c r="K202" s="9" t="n">
        <v>0.8053</v>
      </c>
      <c r="L202" s="9" t="n">
        <v>0.8132</v>
      </c>
      <c r="M202" s="9" t="n">
        <v>0.8139999999999999</v>
      </c>
      <c r="N202" s="9" t="n">
        <v>0.8110000000000001</v>
      </c>
      <c r="O202" s="9" t="n">
        <v>0.8139999999999999</v>
      </c>
      <c r="P202" s="9" t="n">
        <v>0.8139999999999999</v>
      </c>
      <c r="Q202" s="9" t="n">
        <v>0.8161</v>
      </c>
      <c r="R202" s="9">
        <f>AVERAGE(E202:Q202)</f>
        <v/>
      </c>
    </row>
    <row r="203">
      <c r="C203" s="1" t="n"/>
      <c r="D203" s="7" t="inlineStr">
        <is>
          <t>dif</t>
        </is>
      </c>
      <c r="E203" s="8">
        <f>E202-E201</f>
        <v/>
      </c>
      <c r="F203" s="8">
        <f>F202-F201</f>
        <v/>
      </c>
      <c r="G203" s="8">
        <f>G202-G201</f>
        <v/>
      </c>
      <c r="H203" s="8">
        <f>H202-H201</f>
        <v/>
      </c>
      <c r="I203" s="8">
        <f>I202-I201</f>
        <v/>
      </c>
      <c r="J203" s="8">
        <f>J202-J201</f>
        <v/>
      </c>
      <c r="K203" s="8">
        <f>K202-K201</f>
        <v/>
      </c>
      <c r="L203" s="8">
        <f>L202-L201</f>
        <v/>
      </c>
      <c r="M203" s="8">
        <f>M202-M201</f>
        <v/>
      </c>
      <c r="N203" s="8">
        <f>N202-N201</f>
        <v/>
      </c>
      <c r="O203" s="8">
        <f>O202-O201</f>
        <v/>
      </c>
      <c r="P203" s="8">
        <f>P202-P201</f>
        <v/>
      </c>
      <c r="Q203" s="8">
        <f>Q202-Q201</f>
        <v/>
      </c>
      <c r="R203" s="8">
        <f>R202-R201</f>
        <v/>
      </c>
    </row>
    <row r="204">
      <c r="C204" s="1" t="n"/>
      <c r="D204" s="7" t="inlineStr">
        <is>
          <t>ЭФ-т LSV, %</t>
        </is>
      </c>
      <c r="E204" s="8">
        <f>E203/0.03*0.01</f>
        <v/>
      </c>
      <c r="F204" s="8">
        <f>F203/0.03*0.01</f>
        <v/>
      </c>
      <c r="G204" s="8">
        <f>G203/0.03*0.01</f>
        <v/>
      </c>
      <c r="H204" s="8">
        <f>H203/0.03*0.01</f>
        <v/>
      </c>
      <c r="I204" s="8">
        <f>I203/0.03*0.01</f>
        <v/>
      </c>
      <c r="J204" s="8">
        <f>J203/0.03*0.01</f>
        <v/>
      </c>
      <c r="K204" s="8">
        <f>K203/0.03*0.01</f>
        <v/>
      </c>
      <c r="L204" s="8">
        <f>L203/0.03*0.01</f>
        <v/>
      </c>
      <c r="M204" s="8">
        <f>M203/0.03*0.01</f>
        <v/>
      </c>
      <c r="N204" s="8">
        <f>N203/0.03*0.01</f>
        <v/>
      </c>
      <c r="O204" s="8">
        <f>O203/0.03*0.01</f>
        <v/>
      </c>
      <c r="P204" s="8">
        <f>P203/0.03*0.01</f>
        <v/>
      </c>
      <c r="Q204" s="8">
        <f>Q203/0.03*0.01</f>
        <v/>
      </c>
      <c r="R204" s="8">
        <f>R203/0.03*0.01</f>
        <v/>
      </c>
    </row>
    <row r="205">
      <c r="C205" s="10" t="n"/>
      <c r="D205" s="10" t="inlineStr">
        <is>
          <t>ЭФ-т, млн руб Osa Base</t>
        </is>
      </c>
      <c r="E205" s="11">
        <f>E194*E204</f>
        <v/>
      </c>
      <c r="F205" s="11">
        <f>F194*F204</f>
        <v/>
      </c>
      <c r="G205" s="11">
        <f>G194*G204</f>
        <v/>
      </c>
      <c r="H205" s="11">
        <f>H194*H204</f>
        <v/>
      </c>
      <c r="I205" s="11">
        <f>I194*I204</f>
        <v/>
      </c>
      <c r="J205" s="11">
        <f>J194*J204</f>
        <v/>
      </c>
      <c r="K205" s="11">
        <f>K194*K204</f>
        <v/>
      </c>
      <c r="L205" s="11">
        <f>L194*L204</f>
        <v/>
      </c>
      <c r="M205" s="11">
        <f>M194*M204</f>
        <v/>
      </c>
      <c r="N205" s="11">
        <f>N194*N204</f>
        <v/>
      </c>
      <c r="O205" s="11">
        <f>O194*O204</f>
        <v/>
      </c>
      <c r="P205" s="11">
        <f>P194*P204</f>
        <v/>
      </c>
      <c r="Q205" s="11">
        <f>Q194*Q204</f>
        <v/>
      </c>
      <c r="R205" s="11">
        <f>SUM(E205:Q205)</f>
        <v/>
      </c>
    </row>
    <row r="206">
      <c r="C206" s="12" t="inlineStr">
        <is>
          <t>OSA</t>
        </is>
      </c>
      <c r="D206" s="4" t="inlineStr">
        <is>
          <t>total OSA 2026</t>
        </is>
      </c>
      <c r="E206" s="13">
        <f>MIN(E196+E201,1)</f>
        <v/>
      </c>
      <c r="F206" s="13">
        <f>MIN(F196+F201,1)</f>
        <v/>
      </c>
      <c r="G206" s="13">
        <f>MIN(G196+G201,1)</f>
        <v/>
      </c>
      <c r="H206" s="13">
        <f>MIN(H196+H201,1)</f>
        <v/>
      </c>
      <c r="I206" s="13">
        <f>MIN(I196+I201,1)</f>
        <v/>
      </c>
      <c r="J206" s="13">
        <f>MIN(J196+J201,1)</f>
        <v/>
      </c>
      <c r="K206" s="13">
        <f>MIN(K196+K201,1)</f>
        <v/>
      </c>
      <c r="L206" s="13">
        <f>MIN(L196+L201,1)</f>
        <v/>
      </c>
      <c r="M206" s="13">
        <f>MIN(M196+M201,1)</f>
        <v/>
      </c>
      <c r="N206" s="13">
        <f>MIN(N196+N201,1)</f>
        <v/>
      </c>
      <c r="O206" s="13">
        <f>MIN(O196+O201,1)</f>
        <v/>
      </c>
      <c r="P206" s="13">
        <f>MIN(P196+P201,1)</f>
        <v/>
      </c>
      <c r="Q206" s="13">
        <f>MIN(Q196+Q201,1)</f>
        <v/>
      </c>
      <c r="R206" s="13">
        <f>AVERAGE(E206:Q206)</f>
        <v/>
      </c>
    </row>
    <row r="207">
      <c r="C207" s="2" t="n"/>
      <c r="D207" s="4" t="inlineStr">
        <is>
          <t>total OSA 2027</t>
        </is>
      </c>
      <c r="E207" s="13">
        <f>MIN(E197+E202,1)</f>
        <v/>
      </c>
      <c r="F207" s="13">
        <f>MIN(F197+F202,1)</f>
        <v/>
      </c>
      <c r="G207" s="13">
        <f>MIN(G197+G202,1)</f>
        <v/>
      </c>
      <c r="H207" s="13">
        <f>MIN(H197+H202,1)</f>
        <v/>
      </c>
      <c r="I207" s="13">
        <f>MIN(I197+I202,1)</f>
        <v/>
      </c>
      <c r="J207" s="13">
        <f>MIN(J197+J202,1)</f>
        <v/>
      </c>
      <c r="K207" s="13">
        <f>MIN(K197+K202,1)</f>
        <v/>
      </c>
      <c r="L207" s="13">
        <f>MIN(L197+L202,1)</f>
        <v/>
      </c>
      <c r="M207" s="13">
        <f>MIN(M197+M202,1)</f>
        <v/>
      </c>
      <c r="N207" s="13">
        <f>MIN(N197+N202,1)</f>
        <v/>
      </c>
      <c r="O207" s="13">
        <f>MIN(O197+O202,1)</f>
        <v/>
      </c>
      <c r="P207" s="13">
        <f>MIN(P197+P202,1)</f>
        <v/>
      </c>
      <c r="Q207" s="13">
        <f>MIN(Q197+Q202,1)</f>
        <v/>
      </c>
      <c r="R207" s="13">
        <f>AVERAGE(E207:Q207)</f>
        <v/>
      </c>
    </row>
    <row r="208">
      <c r="C208" s="1" t="n"/>
      <c r="D208" s="7" t="inlineStr">
        <is>
          <t>dif</t>
        </is>
      </c>
      <c r="E208" s="8">
        <f>E207-E206</f>
        <v/>
      </c>
      <c r="F208" s="8">
        <f>F207-F206</f>
        <v/>
      </c>
      <c r="G208" s="8">
        <f>G207-G206</f>
        <v/>
      </c>
      <c r="H208" s="8">
        <f>H207-H206</f>
        <v/>
      </c>
      <c r="I208" s="8">
        <f>I207-I206</f>
        <v/>
      </c>
      <c r="J208" s="8">
        <f>J207-J206</f>
        <v/>
      </c>
      <c r="K208" s="8">
        <f>K207-K206</f>
        <v/>
      </c>
      <c r="L208" s="8">
        <f>L207-L206</f>
        <v/>
      </c>
      <c r="M208" s="8">
        <f>M207-M206</f>
        <v/>
      </c>
      <c r="N208" s="8">
        <f>N207-N206</f>
        <v/>
      </c>
      <c r="O208" s="8">
        <f>O207-O206</f>
        <v/>
      </c>
      <c r="P208" s="8">
        <f>P207-P206</f>
        <v/>
      </c>
      <c r="Q208" s="8">
        <f>Q207-Q206</f>
        <v/>
      </c>
      <c r="R208" s="8">
        <f>R207-R206</f>
        <v/>
      </c>
    </row>
    <row r="209">
      <c r="C209" s="10" t="n"/>
      <c r="D209" s="10" t="inlineStr">
        <is>
          <t>total 2027 млн руб</t>
        </is>
      </c>
      <c r="E209" s="11">
        <f>E200+E205</f>
        <v/>
      </c>
      <c r="F209" s="11">
        <f>F200+F205</f>
        <v/>
      </c>
      <c r="G209" s="11">
        <f>G200+G205</f>
        <v/>
      </c>
      <c r="H209" s="11">
        <f>H200+H205</f>
        <v/>
      </c>
      <c r="I209" s="11">
        <f>I200+I205</f>
        <v/>
      </c>
      <c r="J209" s="11">
        <f>J200+J205</f>
        <v/>
      </c>
      <c r="K209" s="11">
        <f>K200+K205</f>
        <v/>
      </c>
      <c r="L209" s="11">
        <f>L200+L205</f>
        <v/>
      </c>
      <c r="M209" s="11">
        <f>M200+M205</f>
        <v/>
      </c>
      <c r="N209" s="11">
        <f>N200+N205</f>
        <v/>
      </c>
      <c r="O209" s="11">
        <f>O200+O205</f>
        <v/>
      </c>
      <c r="P209" s="11">
        <f>P200+P205</f>
        <v/>
      </c>
      <c r="Q209" s="11">
        <f>Q200+Q205</f>
        <v/>
      </c>
      <c r="R209" s="11">
        <f>R200+R205</f>
        <v/>
      </c>
    </row>
    <row r="212">
      <c r="C212" s="1" t="n"/>
      <c r="D212" s="1" t="n"/>
      <c r="E212" s="2" t="inlineStr">
        <is>
          <t>P1</t>
        </is>
      </c>
      <c r="F212" s="2" t="inlineStr">
        <is>
          <t>P2</t>
        </is>
      </c>
      <c r="G212" s="2" t="inlineStr">
        <is>
          <t>P3</t>
        </is>
      </c>
      <c r="H212" s="2" t="inlineStr">
        <is>
          <t>P4</t>
        </is>
      </c>
      <c r="I212" s="2" t="inlineStr">
        <is>
          <t>P5</t>
        </is>
      </c>
      <c r="J212" s="2" t="inlineStr">
        <is>
          <t>P6</t>
        </is>
      </c>
      <c r="K212" s="2" t="inlineStr">
        <is>
          <t>P7</t>
        </is>
      </c>
      <c r="L212" s="2" t="inlineStr">
        <is>
          <t>P8</t>
        </is>
      </c>
      <c r="M212" s="2" t="inlineStr">
        <is>
          <t>P9</t>
        </is>
      </c>
      <c r="N212" s="2" t="inlineStr">
        <is>
          <t>P10</t>
        </is>
      </c>
      <c r="O212" s="2" t="inlineStr">
        <is>
          <t>P11</t>
        </is>
      </c>
      <c r="P212" s="2" t="inlineStr">
        <is>
          <t>P12</t>
        </is>
      </c>
      <c r="Q212" s="2" t="inlineStr">
        <is>
          <t>P13</t>
        </is>
      </c>
      <c r="R212" s="2" t="inlineStr">
        <is>
          <t>total</t>
        </is>
      </c>
    </row>
    <row r="213">
      <c r="C213" s="3" t="inlineStr">
        <is>
          <t>Макси</t>
        </is>
      </c>
      <c r="D213" s="4" t="inlineStr">
        <is>
          <t>DMR</t>
        </is>
      </c>
      <c r="E213" s="5" t="n">
        <v>23426958.65934627</v>
      </c>
      <c r="F213" s="5" t="n">
        <v>24174476.55465292</v>
      </c>
      <c r="G213" s="5" t="n">
        <v>24846471.79429721</v>
      </c>
      <c r="H213" s="5" t="n">
        <v>24752957.7408503</v>
      </c>
      <c r="I213" s="5" t="n">
        <v>24702974.81141315</v>
      </c>
      <c r="J213" s="5" t="n">
        <v>25877827.1343256</v>
      </c>
      <c r="K213" s="5" t="n">
        <v>24795449.69096522</v>
      </c>
      <c r="L213" s="5" t="n">
        <v>26112063.17784927</v>
      </c>
      <c r="M213" s="5" t="n">
        <v>27402310.18144981</v>
      </c>
      <c r="N213" s="5" t="n">
        <v>25591800.40160402</v>
      </c>
      <c r="O213" s="5" t="n">
        <v>24799090.71421208</v>
      </c>
      <c r="P213" s="5" t="n">
        <v>25582013.8622535</v>
      </c>
      <c r="Q213" s="5" t="n">
        <v>27020635.14677961</v>
      </c>
      <c r="R213" s="5">
        <f>SUM(E213:Q213)</f>
        <v/>
      </c>
    </row>
    <row r="214">
      <c r="C214" s="6" t="n"/>
      <c r="D214" s="7" t="inlineStr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</row>
    <row r="215">
      <c r="C215" s="1" t="n"/>
      <c r="D215" s="7" t="inlineStr">
        <is>
          <t>Merch Impact 2026</t>
        </is>
      </c>
      <c r="E215" s="8" t="n">
        <v>0.2121</v>
      </c>
      <c r="F215" s="8" t="n">
        <v>0.2163</v>
      </c>
      <c r="G215" s="8" t="n">
        <v>0.2232</v>
      </c>
      <c r="H215" s="8" t="n">
        <v>0.1782</v>
      </c>
      <c r="I215" s="8" t="n">
        <v>0.1541</v>
      </c>
      <c r="J215" s="8" t="n">
        <v>0.1625</v>
      </c>
      <c r="K215" s="8" t="n">
        <v>0.1723</v>
      </c>
      <c r="L215" s="8" t="n">
        <v>0.1873</v>
      </c>
      <c r="M215" s="9" t="n">
        <v>0.1928</v>
      </c>
      <c r="N215" s="9" t="n">
        <v>0.1965</v>
      </c>
      <c r="O215" s="9" t="n">
        <v>0.2013</v>
      </c>
      <c r="P215" s="9" t="n">
        <v>0.2065</v>
      </c>
      <c r="Q215" s="9" t="n">
        <v>0.2121</v>
      </c>
      <c r="R215" s="8">
        <f>AVERAGE(E215:Q215)</f>
        <v/>
      </c>
    </row>
    <row r="216">
      <c r="C216" s="1" t="n"/>
      <c r="D216" s="7" t="inlineStr">
        <is>
          <t>Merch Impact 2027</t>
        </is>
      </c>
      <c r="E216" s="9" t="n">
        <v>0.2221</v>
      </c>
      <c r="F216" s="9" t="n">
        <v>0.2337</v>
      </c>
      <c r="G216" s="9" t="n">
        <v>0.2432</v>
      </c>
      <c r="H216" s="9" t="n">
        <v>0.1904</v>
      </c>
      <c r="I216" s="9" t="n">
        <v>0.1663</v>
      </c>
      <c r="J216" s="9" t="n">
        <v>0.1722</v>
      </c>
      <c r="K216" s="9" t="n">
        <v>0.1846</v>
      </c>
      <c r="L216" s="9" t="n">
        <v>0.2005</v>
      </c>
      <c r="M216" s="9" t="n">
        <v>0.2094</v>
      </c>
      <c r="N216" s="9" t="n">
        <v>0.2165</v>
      </c>
      <c r="O216" s="9" t="n">
        <v>0.2145</v>
      </c>
      <c r="P216" s="9" t="n">
        <v>0.2164</v>
      </c>
      <c r="Q216" s="9" t="n">
        <v>0.2247</v>
      </c>
      <c r="R216" s="9">
        <f>AVERAGE(E216:Q216)</f>
        <v/>
      </c>
    </row>
    <row r="217">
      <c r="C217" s="1" t="n"/>
      <c r="D217" s="7" t="inlineStr">
        <is>
          <t>dif</t>
        </is>
      </c>
      <c r="E217" s="8">
        <f>E216-E215</f>
        <v/>
      </c>
      <c r="F217" s="8">
        <f>F216-F215</f>
        <v/>
      </c>
      <c r="G217" s="8">
        <f>G216-G215</f>
        <v/>
      </c>
      <c r="H217" s="8">
        <f>H216-H215</f>
        <v/>
      </c>
      <c r="I217" s="8">
        <f>I216-I215</f>
        <v/>
      </c>
      <c r="J217" s="8">
        <f>J216-J215</f>
        <v/>
      </c>
      <c r="K217" s="8">
        <f>K216-K215</f>
        <v/>
      </c>
      <c r="L217" s="8">
        <f>L216-L215</f>
        <v/>
      </c>
      <c r="M217" s="8">
        <f>M216-M215</f>
        <v/>
      </c>
      <c r="N217" s="8">
        <f>N216-N215</f>
        <v/>
      </c>
      <c r="O217" s="8">
        <f>O216-O215</f>
        <v/>
      </c>
      <c r="P217" s="8">
        <f>P216-P215</f>
        <v/>
      </c>
      <c r="Q217" s="8">
        <f>Q216-Q215</f>
        <v/>
      </c>
      <c r="R217" s="8">
        <f>R216-R215</f>
        <v/>
      </c>
    </row>
    <row r="218">
      <c r="C218" s="1" t="n"/>
      <c r="D218" s="7" t="inlineStr">
        <is>
          <t>ЭФ-т LSV, %</t>
        </is>
      </c>
      <c r="E218" s="8">
        <f>E217/0.03*0.01</f>
        <v/>
      </c>
      <c r="F218" s="8">
        <f>F217/0.03*0.01</f>
        <v/>
      </c>
      <c r="G218" s="8">
        <f>G217/0.03*0.01</f>
        <v/>
      </c>
      <c r="H218" s="8">
        <f>H217/0.03*0.01</f>
        <v/>
      </c>
      <c r="I218" s="8">
        <f>I217/0.03*0.01</f>
        <v/>
      </c>
      <c r="J218" s="8">
        <f>J217/0.03*0.01</f>
        <v/>
      </c>
      <c r="K218" s="8">
        <f>K217/0.03*0.01</f>
        <v/>
      </c>
      <c r="L218" s="8">
        <f>L217/0.03*0.01</f>
        <v/>
      </c>
      <c r="M218" s="8">
        <f>M217/0.03*0.01</f>
        <v/>
      </c>
      <c r="N218" s="8">
        <f>N217/0.03*0.01</f>
        <v/>
      </c>
      <c r="O218" s="8">
        <f>O217/0.03*0.01</f>
        <v/>
      </c>
      <c r="P218" s="8">
        <f>P217/0.03*0.01</f>
        <v/>
      </c>
      <c r="Q218" s="8">
        <f>Q217/0.03*0.01</f>
        <v/>
      </c>
      <c r="R218" s="8">
        <f>R217/0.03*0.01</f>
        <v/>
      </c>
    </row>
    <row r="219">
      <c r="C219" s="10" t="n"/>
      <c r="D219" s="10" t="inlineStr">
        <is>
          <t>ЭФ-т, млн руб Merch in</t>
        </is>
      </c>
      <c r="E219" s="11">
        <f>E213*E218</f>
        <v/>
      </c>
      <c r="F219" s="11">
        <f>F213*F218</f>
        <v/>
      </c>
      <c r="G219" s="11">
        <f>G213*G218</f>
        <v/>
      </c>
      <c r="H219" s="11">
        <f>H213*H218</f>
        <v/>
      </c>
      <c r="I219" s="11">
        <f>I213*I218</f>
        <v/>
      </c>
      <c r="J219" s="11">
        <f>J213*J218</f>
        <v/>
      </c>
      <c r="K219" s="11">
        <f>K213*K218</f>
        <v/>
      </c>
      <c r="L219" s="11">
        <f>L213*L218</f>
        <v/>
      </c>
      <c r="M219" s="11">
        <f>M213*M218</f>
        <v/>
      </c>
      <c r="N219" s="11">
        <f>N213*N218</f>
        <v/>
      </c>
      <c r="O219" s="11">
        <f>O213*O218</f>
        <v/>
      </c>
      <c r="P219" s="11">
        <f>P213*P218</f>
        <v/>
      </c>
      <c r="Q219" s="11">
        <f>Q213*Q218</f>
        <v/>
      </c>
      <c r="R219" s="11">
        <f>SUM(E219:Q219)</f>
        <v/>
      </c>
    </row>
    <row r="220">
      <c r="C220" s="12" t="inlineStr">
        <is>
          <t>OSA before</t>
        </is>
      </c>
      <c r="D220" s="7" t="inlineStr">
        <is>
          <t>osa before 2026</t>
        </is>
      </c>
      <c r="E220" s="8" t="n">
        <v>0.7188</v>
      </c>
      <c r="F220" s="8" t="n">
        <v>0.7205</v>
      </c>
      <c r="G220" s="8" t="n">
        <v>0.7383</v>
      </c>
      <c r="H220" s="8" t="n">
        <v>0.7852</v>
      </c>
      <c r="I220" s="8" t="n">
        <v>0.8062</v>
      </c>
      <c r="J220" s="8" t="n">
        <v>0.8021</v>
      </c>
      <c r="K220" s="8" t="n">
        <v>0.7897</v>
      </c>
      <c r="L220" s="8" t="n">
        <v>0.7625</v>
      </c>
      <c r="M220" s="9" t="n">
        <v>0.7653</v>
      </c>
      <c r="N220" s="9" t="n">
        <v>0.7653</v>
      </c>
      <c r="O220" s="9" t="n">
        <v>0.7667</v>
      </c>
      <c r="P220" s="9" t="n">
        <v>0.7667</v>
      </c>
      <c r="Q220" s="9" t="n">
        <v>0.7678</v>
      </c>
      <c r="R220" s="8">
        <f>AVERAGE(E220:Q220)</f>
        <v/>
      </c>
    </row>
    <row r="221">
      <c r="C221" s="1" t="n"/>
      <c r="D221" s="7" t="inlineStr">
        <is>
          <t>osa before 2027</t>
        </is>
      </c>
      <c r="E221" s="9" t="n">
        <v>0.7208</v>
      </c>
      <c r="F221" s="9" t="n">
        <v>0.7245</v>
      </c>
      <c r="G221" s="9" t="n">
        <v>0.7454</v>
      </c>
      <c r="H221" s="9" t="n">
        <v>0.7852</v>
      </c>
      <c r="I221" s="9" t="n">
        <v>0.8093</v>
      </c>
      <c r="J221" s="9" t="n">
        <v>0.8063</v>
      </c>
      <c r="K221" s="9" t="n">
        <v>0.7974</v>
      </c>
      <c r="L221" s="9" t="n">
        <v>0.7765</v>
      </c>
      <c r="M221" s="9" t="n">
        <v>0.7803</v>
      </c>
      <c r="N221" s="9" t="n">
        <v>0.7803</v>
      </c>
      <c r="O221" s="9" t="n">
        <v>0.7817</v>
      </c>
      <c r="P221" s="9" t="n">
        <v>0.7817</v>
      </c>
      <c r="Q221" s="9" t="n">
        <v>0.7828000000000001</v>
      </c>
      <c r="R221" s="9">
        <f>AVERAGE(E221:Q221)</f>
        <v/>
      </c>
    </row>
    <row r="222">
      <c r="C222" s="1" t="n"/>
      <c r="D222" s="7" t="inlineStr">
        <is>
          <t>dif</t>
        </is>
      </c>
      <c r="E222" s="8">
        <f>E221-E220</f>
        <v/>
      </c>
      <c r="F222" s="8">
        <f>F221-F220</f>
        <v/>
      </c>
      <c r="G222" s="8">
        <f>G221-G220</f>
        <v/>
      </c>
      <c r="H222" s="8">
        <f>H221-H220</f>
        <v/>
      </c>
      <c r="I222" s="8">
        <f>I221-I220</f>
        <v/>
      </c>
      <c r="J222" s="8">
        <f>J221-J220</f>
        <v/>
      </c>
      <c r="K222" s="8">
        <f>K221-K220</f>
        <v/>
      </c>
      <c r="L222" s="8">
        <f>L221-L220</f>
        <v/>
      </c>
      <c r="M222" s="8">
        <f>M221-M220</f>
        <v/>
      </c>
      <c r="N222" s="8">
        <f>N221-N220</f>
        <v/>
      </c>
      <c r="O222" s="8">
        <f>O221-O220</f>
        <v/>
      </c>
      <c r="P222" s="8">
        <f>P221-P220</f>
        <v/>
      </c>
      <c r="Q222" s="8">
        <f>Q221-Q220</f>
        <v/>
      </c>
      <c r="R222" s="8">
        <f>R221-R220</f>
        <v/>
      </c>
    </row>
    <row r="223">
      <c r="C223" s="1" t="n"/>
      <c r="D223" s="7" t="inlineStr">
        <is>
          <t>ЭФ-т LSV, %</t>
        </is>
      </c>
      <c r="E223" s="8">
        <f>E222/0.03*0.01</f>
        <v/>
      </c>
      <c r="F223" s="8">
        <f>F222/0.03*0.01</f>
        <v/>
      </c>
      <c r="G223" s="8">
        <f>G222/0.03*0.01</f>
        <v/>
      </c>
      <c r="H223" s="8">
        <f>H222/0.03*0.01</f>
        <v/>
      </c>
      <c r="I223" s="8">
        <f>I222/0.03*0.01</f>
        <v/>
      </c>
      <c r="J223" s="8">
        <f>J222/0.03*0.01</f>
        <v/>
      </c>
      <c r="K223" s="8">
        <f>K222/0.03*0.01</f>
        <v/>
      </c>
      <c r="L223" s="8">
        <f>L222/0.03*0.01</f>
        <v/>
      </c>
      <c r="M223" s="8">
        <f>M222/0.03*0.01</f>
        <v/>
      </c>
      <c r="N223" s="8">
        <f>N222/0.03*0.01</f>
        <v/>
      </c>
      <c r="O223" s="8">
        <f>O222/0.03*0.01</f>
        <v/>
      </c>
      <c r="P223" s="8">
        <f>P222/0.03*0.01</f>
        <v/>
      </c>
      <c r="Q223" s="8">
        <f>Q222/0.03*0.01</f>
        <v/>
      </c>
      <c r="R223" s="8">
        <f>R222/0.03*0.01</f>
        <v/>
      </c>
    </row>
    <row r="224">
      <c r="C224" s="10" t="n"/>
      <c r="D224" s="10" t="inlineStr">
        <is>
          <t>ЭФ-т, млн руб Osa Base</t>
        </is>
      </c>
      <c r="E224" s="11">
        <f>E213*E223</f>
        <v/>
      </c>
      <c r="F224" s="11">
        <f>F213*F223</f>
        <v/>
      </c>
      <c r="G224" s="11">
        <f>G213*G223</f>
        <v/>
      </c>
      <c r="H224" s="11">
        <f>H213*H223</f>
        <v/>
      </c>
      <c r="I224" s="11">
        <f>I213*I223</f>
        <v/>
      </c>
      <c r="J224" s="11">
        <f>J213*J223</f>
        <v/>
      </c>
      <c r="K224" s="11">
        <f>K213*K223</f>
        <v/>
      </c>
      <c r="L224" s="11">
        <f>L213*L223</f>
        <v/>
      </c>
      <c r="M224" s="11">
        <f>M213*M223</f>
        <v/>
      </c>
      <c r="N224" s="11">
        <f>N213*N223</f>
        <v/>
      </c>
      <c r="O224" s="11">
        <f>O213*O223</f>
        <v/>
      </c>
      <c r="P224" s="11">
        <f>P213*P223</f>
        <v/>
      </c>
      <c r="Q224" s="11">
        <f>Q213*Q223</f>
        <v/>
      </c>
      <c r="R224" s="11">
        <f>SUM(E224:Q224)</f>
        <v/>
      </c>
    </row>
    <row r="225">
      <c r="C225" s="12" t="inlineStr">
        <is>
          <t>OSA</t>
        </is>
      </c>
      <c r="D225" s="4" t="inlineStr">
        <is>
          <t>total OSA 2026</t>
        </is>
      </c>
      <c r="E225" s="13">
        <f>MIN(E215+E220,1)</f>
        <v/>
      </c>
      <c r="F225" s="13">
        <f>MIN(F215+F220,1)</f>
        <v/>
      </c>
      <c r="G225" s="13">
        <f>MIN(G215+G220,1)</f>
        <v/>
      </c>
      <c r="H225" s="13">
        <f>MIN(H215+H220,1)</f>
        <v/>
      </c>
      <c r="I225" s="13">
        <f>MIN(I215+I220,1)</f>
        <v/>
      </c>
      <c r="J225" s="13">
        <f>MIN(J215+J220,1)</f>
        <v/>
      </c>
      <c r="K225" s="13">
        <f>MIN(K215+K220,1)</f>
        <v/>
      </c>
      <c r="L225" s="13">
        <f>MIN(L215+L220,1)</f>
        <v/>
      </c>
      <c r="M225" s="13">
        <f>MIN(M215+M220,1)</f>
        <v/>
      </c>
      <c r="N225" s="13">
        <f>MIN(N215+N220,1)</f>
        <v/>
      </c>
      <c r="O225" s="13">
        <f>MIN(O215+O220,1)</f>
        <v/>
      </c>
      <c r="P225" s="13">
        <f>MIN(P215+P220,1)</f>
        <v/>
      </c>
      <c r="Q225" s="13">
        <f>MIN(Q215+Q220,1)</f>
        <v/>
      </c>
      <c r="R225" s="13">
        <f>AVERAGE(E225:Q225)</f>
        <v/>
      </c>
    </row>
    <row r="226">
      <c r="C226" s="2" t="n"/>
      <c r="D226" s="4" t="inlineStr">
        <is>
          <t>total OSA 2027</t>
        </is>
      </c>
      <c r="E226" s="13">
        <f>MIN(E216+E221,1)</f>
        <v/>
      </c>
      <c r="F226" s="13">
        <f>MIN(F216+F221,1)</f>
        <v/>
      </c>
      <c r="G226" s="13">
        <f>MIN(G216+G221,1)</f>
        <v/>
      </c>
      <c r="H226" s="13">
        <f>MIN(H216+H221,1)</f>
        <v/>
      </c>
      <c r="I226" s="13">
        <f>MIN(I216+I221,1)</f>
        <v/>
      </c>
      <c r="J226" s="13">
        <f>MIN(J216+J221,1)</f>
        <v/>
      </c>
      <c r="K226" s="13">
        <f>MIN(K216+K221,1)</f>
        <v/>
      </c>
      <c r="L226" s="13">
        <f>MIN(L216+L221,1)</f>
        <v/>
      </c>
      <c r="M226" s="13">
        <f>MIN(M216+M221,1)</f>
        <v/>
      </c>
      <c r="N226" s="13">
        <f>MIN(N216+N221,1)</f>
        <v/>
      </c>
      <c r="O226" s="13">
        <f>MIN(O216+O221,1)</f>
        <v/>
      </c>
      <c r="P226" s="13">
        <f>MIN(P216+P221,1)</f>
        <v/>
      </c>
      <c r="Q226" s="13">
        <f>MIN(Q216+Q221,1)</f>
        <v/>
      </c>
      <c r="R226" s="13">
        <f>AVERAGE(E226:Q226)</f>
        <v/>
      </c>
    </row>
    <row r="227">
      <c r="C227" s="1" t="n"/>
      <c r="D227" s="7" t="inlineStr">
        <is>
          <t>dif</t>
        </is>
      </c>
      <c r="E227" s="8">
        <f>E226-E225</f>
        <v/>
      </c>
      <c r="F227" s="8">
        <f>F226-F225</f>
        <v/>
      </c>
      <c r="G227" s="8">
        <f>G226-G225</f>
        <v/>
      </c>
      <c r="H227" s="8">
        <f>H226-H225</f>
        <v/>
      </c>
      <c r="I227" s="8">
        <f>I226-I225</f>
        <v/>
      </c>
      <c r="J227" s="8">
        <f>J226-J225</f>
        <v/>
      </c>
      <c r="K227" s="8">
        <f>K226-K225</f>
        <v/>
      </c>
      <c r="L227" s="8">
        <f>L226-L225</f>
        <v/>
      </c>
      <c r="M227" s="8">
        <f>M226-M225</f>
        <v/>
      </c>
      <c r="N227" s="8">
        <f>N226-N225</f>
        <v/>
      </c>
      <c r="O227" s="8">
        <f>O226-O225</f>
        <v/>
      </c>
      <c r="P227" s="8">
        <f>P226-P225</f>
        <v/>
      </c>
      <c r="Q227" s="8">
        <f>Q226-Q225</f>
        <v/>
      </c>
      <c r="R227" s="8">
        <f>R226-R225</f>
        <v/>
      </c>
    </row>
    <row r="228">
      <c r="C228" s="10" t="n"/>
      <c r="D228" s="10" t="inlineStr">
        <is>
          <t>total 2027 млн руб</t>
        </is>
      </c>
      <c r="E228" s="11">
        <f>E219+E224</f>
        <v/>
      </c>
      <c r="F228" s="11">
        <f>F219+F224</f>
        <v/>
      </c>
      <c r="G228" s="11">
        <f>G219+G224</f>
        <v/>
      </c>
      <c r="H228" s="11">
        <f>H219+H224</f>
        <v/>
      </c>
      <c r="I228" s="11">
        <f>I219+I224</f>
        <v/>
      </c>
      <c r="J228" s="11">
        <f>J219+J224</f>
        <v/>
      </c>
      <c r="K228" s="11">
        <f>K219+K224</f>
        <v/>
      </c>
      <c r="L228" s="11">
        <f>L219+L224</f>
        <v/>
      </c>
      <c r="M228" s="11">
        <f>M219+M224</f>
        <v/>
      </c>
      <c r="N228" s="11">
        <f>N219+N224</f>
        <v/>
      </c>
      <c r="O228" s="11">
        <f>O219+O224</f>
        <v/>
      </c>
      <c r="P228" s="11">
        <f>P219+P224</f>
        <v/>
      </c>
      <c r="Q228" s="11">
        <f>Q219+Q224</f>
        <v/>
      </c>
      <c r="R228" s="11">
        <f>R219+R224</f>
        <v/>
      </c>
    </row>
    <row r="231">
      <c r="C231" s="1" t="n"/>
      <c r="D231" s="1" t="n"/>
      <c r="E231" s="2" t="inlineStr">
        <is>
          <t>P1</t>
        </is>
      </c>
      <c r="F231" s="2" t="inlineStr">
        <is>
          <t>P2</t>
        </is>
      </c>
      <c r="G231" s="2" t="inlineStr">
        <is>
          <t>P3</t>
        </is>
      </c>
      <c r="H231" s="2" t="inlineStr">
        <is>
          <t>P4</t>
        </is>
      </c>
      <c r="I231" s="2" t="inlineStr">
        <is>
          <t>P5</t>
        </is>
      </c>
      <c r="J231" s="2" t="inlineStr">
        <is>
          <t>P6</t>
        </is>
      </c>
      <c r="K231" s="2" t="inlineStr">
        <is>
          <t>P7</t>
        </is>
      </c>
      <c r="L231" s="2" t="inlineStr">
        <is>
          <t>P8</t>
        </is>
      </c>
      <c r="M231" s="2" t="inlineStr">
        <is>
          <t>P9</t>
        </is>
      </c>
      <c r="N231" s="2" t="inlineStr">
        <is>
          <t>P10</t>
        </is>
      </c>
      <c r="O231" s="2" t="inlineStr">
        <is>
          <t>P11</t>
        </is>
      </c>
      <c r="P231" s="2" t="inlineStr">
        <is>
          <t>P12</t>
        </is>
      </c>
      <c r="Q231" s="2" t="inlineStr">
        <is>
          <t>P13</t>
        </is>
      </c>
      <c r="R231" s="2" t="inlineStr">
        <is>
          <t>total</t>
        </is>
      </c>
    </row>
    <row r="232">
      <c r="C232" s="3" t="inlineStr">
        <is>
          <t>SPAR Волга</t>
        </is>
      </c>
      <c r="D232" s="4" t="inlineStr">
        <is>
          <t>DMR</t>
        </is>
      </c>
      <c r="E232" s="5" t="n">
        <v>29005005.65999998</v>
      </c>
      <c r="F232" s="5" t="n">
        <v>26812692.09999996</v>
      </c>
      <c r="G232" s="5" t="n">
        <v>29068573.72999993</v>
      </c>
      <c r="H232" s="5" t="n">
        <v>28738730.46887125</v>
      </c>
      <c r="I232" s="5" t="n">
        <v>30057169.44999994</v>
      </c>
      <c r="J232" s="5" t="n">
        <v>34492516.61999995</v>
      </c>
      <c r="K232" s="5" t="n">
        <v>30203096.60999995</v>
      </c>
      <c r="L232" s="5" t="n">
        <v>30909099.40999997</v>
      </c>
      <c r="M232" s="5" t="n">
        <v>31699999.99950583</v>
      </c>
      <c r="N232" s="5" t="n">
        <v>35130065.70661666</v>
      </c>
      <c r="O232" s="5" t="n">
        <v>33454224.79622282</v>
      </c>
      <c r="P232" s="5" t="n">
        <v>30184370.27209476</v>
      </c>
      <c r="Q232" s="5" t="n">
        <v>34801177.63730203</v>
      </c>
      <c r="R232" s="5">
        <f>SUM(E232:Q232)</f>
        <v/>
      </c>
    </row>
    <row r="233">
      <c r="C233" s="6" t="n"/>
      <c r="D233" s="7" t="inlineStr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</row>
    <row r="234">
      <c r="C234" s="1" t="n"/>
      <c r="D234" s="7" t="inlineStr">
        <is>
          <t>Merch Impact 2026</t>
        </is>
      </c>
      <c r="E234" s="8" t="n">
        <v>0.1939</v>
      </c>
      <c r="F234" s="8" t="n">
        <v>0.1784</v>
      </c>
      <c r="G234" s="8" t="n">
        <v>0.142</v>
      </c>
      <c r="H234" s="8" t="n">
        <v>0.1623</v>
      </c>
      <c r="I234" s="8" t="n">
        <v>0.1572</v>
      </c>
      <c r="J234" s="8" t="n">
        <v>0.1672</v>
      </c>
      <c r="K234" s="8" t="n">
        <v>0.1638</v>
      </c>
      <c r="L234" s="8" t="n">
        <v>0.1763</v>
      </c>
      <c r="M234" s="9" t="n">
        <v>0.1797</v>
      </c>
      <c r="N234" s="9" t="n">
        <v>0.1862</v>
      </c>
      <c r="O234" s="9" t="n">
        <v>0.189</v>
      </c>
      <c r="P234" s="9" t="n">
        <v>0.1941</v>
      </c>
      <c r="Q234" s="9" t="n">
        <v>0.1973</v>
      </c>
      <c r="R234" s="8">
        <f>AVERAGE(E234:Q234)</f>
        <v/>
      </c>
    </row>
    <row r="235">
      <c r="C235" s="1" t="n"/>
      <c r="D235" s="7" t="inlineStr">
        <is>
          <t>Merch Impact 2027</t>
        </is>
      </c>
      <c r="E235" s="9" t="n">
        <v>0.2033</v>
      </c>
      <c r="F235" s="9" t="n">
        <v>0.1887</v>
      </c>
      <c r="G235" s="9" t="n">
        <v>0.146</v>
      </c>
      <c r="H235" s="9" t="n">
        <v>0.1727</v>
      </c>
      <c r="I235" s="9" t="n">
        <v>0.1684</v>
      </c>
      <c r="J235" s="9" t="n">
        <v>0.1775</v>
      </c>
      <c r="K235" s="9" t="n">
        <v>0.1676</v>
      </c>
      <c r="L235" s="9" t="n">
        <v>0.1819</v>
      </c>
      <c r="M235" s="9" t="n">
        <v>0.1869</v>
      </c>
      <c r="N235" s="9" t="n">
        <v>0.1967</v>
      </c>
      <c r="O235" s="9" t="n">
        <v>0.1966</v>
      </c>
      <c r="P235" s="9" t="n">
        <v>0.1987</v>
      </c>
      <c r="Q235" s="9" t="n">
        <v>0.2113</v>
      </c>
      <c r="R235" s="9">
        <f>AVERAGE(E235:Q235)</f>
        <v/>
      </c>
    </row>
    <row r="236">
      <c r="C236" s="1" t="n"/>
      <c r="D236" s="7" t="inlineStr">
        <is>
          <t>dif</t>
        </is>
      </c>
      <c r="E236" s="8">
        <f>E235-E234</f>
        <v/>
      </c>
      <c r="F236" s="8">
        <f>F235-F234</f>
        <v/>
      </c>
      <c r="G236" s="8">
        <f>G235-G234</f>
        <v/>
      </c>
      <c r="H236" s="8">
        <f>H235-H234</f>
        <v/>
      </c>
      <c r="I236" s="8">
        <f>I235-I234</f>
        <v/>
      </c>
      <c r="J236" s="8">
        <f>J235-J234</f>
        <v/>
      </c>
      <c r="K236" s="8">
        <f>K235-K234</f>
        <v/>
      </c>
      <c r="L236" s="8">
        <f>L235-L234</f>
        <v/>
      </c>
      <c r="M236" s="8">
        <f>M235-M234</f>
        <v/>
      </c>
      <c r="N236" s="8">
        <f>N235-N234</f>
        <v/>
      </c>
      <c r="O236" s="8">
        <f>O235-O234</f>
        <v/>
      </c>
      <c r="P236" s="8">
        <f>P235-P234</f>
        <v/>
      </c>
      <c r="Q236" s="8">
        <f>Q235-Q234</f>
        <v/>
      </c>
      <c r="R236" s="8">
        <f>R235-R234</f>
        <v/>
      </c>
    </row>
    <row r="237">
      <c r="C237" s="1" t="n"/>
      <c r="D237" s="7" t="inlineStr">
        <is>
          <t>ЭФ-т LSV, %</t>
        </is>
      </c>
      <c r="E237" s="8">
        <f>E236/0.03*0.01</f>
        <v/>
      </c>
      <c r="F237" s="8">
        <f>F236/0.03*0.01</f>
        <v/>
      </c>
      <c r="G237" s="8">
        <f>G236/0.03*0.01</f>
        <v/>
      </c>
      <c r="H237" s="8">
        <f>H236/0.03*0.01</f>
        <v/>
      </c>
      <c r="I237" s="8">
        <f>I236/0.03*0.01</f>
        <v/>
      </c>
      <c r="J237" s="8">
        <f>J236/0.03*0.01</f>
        <v/>
      </c>
      <c r="K237" s="8">
        <f>K236/0.03*0.01</f>
        <v/>
      </c>
      <c r="L237" s="8">
        <f>L236/0.03*0.01</f>
        <v/>
      </c>
      <c r="M237" s="8">
        <f>M236/0.03*0.01</f>
        <v/>
      </c>
      <c r="N237" s="8">
        <f>N236/0.03*0.01</f>
        <v/>
      </c>
      <c r="O237" s="8">
        <f>O236/0.03*0.01</f>
        <v/>
      </c>
      <c r="P237" s="8">
        <f>P236/0.03*0.01</f>
        <v/>
      </c>
      <c r="Q237" s="8">
        <f>Q236/0.03*0.01</f>
        <v/>
      </c>
      <c r="R237" s="8">
        <f>R236/0.03*0.01</f>
        <v/>
      </c>
    </row>
    <row r="238">
      <c r="C238" s="10" t="n"/>
      <c r="D238" s="10" t="inlineStr">
        <is>
          <t>ЭФ-т, млн руб Merch in</t>
        </is>
      </c>
      <c r="E238" s="11">
        <f>E232*E237</f>
        <v/>
      </c>
      <c r="F238" s="11">
        <f>F232*F237</f>
        <v/>
      </c>
      <c r="G238" s="11">
        <f>G232*G237</f>
        <v/>
      </c>
      <c r="H238" s="11">
        <f>H232*H237</f>
        <v/>
      </c>
      <c r="I238" s="11">
        <f>I232*I237</f>
        <v/>
      </c>
      <c r="J238" s="11">
        <f>J232*J237</f>
        <v/>
      </c>
      <c r="K238" s="11">
        <f>K232*K237</f>
        <v/>
      </c>
      <c r="L238" s="11">
        <f>L232*L237</f>
        <v/>
      </c>
      <c r="M238" s="11">
        <f>M232*M237</f>
        <v/>
      </c>
      <c r="N238" s="11">
        <f>N232*N237</f>
        <v/>
      </c>
      <c r="O238" s="11">
        <f>O232*O237</f>
        <v/>
      </c>
      <c r="P238" s="11">
        <f>P232*P237</f>
        <v/>
      </c>
      <c r="Q238" s="11">
        <f>Q232*Q237</f>
        <v/>
      </c>
      <c r="R238" s="11">
        <f>SUM(E238:Q238)</f>
        <v/>
      </c>
    </row>
    <row r="239">
      <c r="C239" s="12" t="inlineStr">
        <is>
          <t>OSA before</t>
        </is>
      </c>
      <c r="D239" s="7" t="inlineStr">
        <is>
          <t>osa before 2026</t>
        </is>
      </c>
      <c r="E239" s="8" t="n">
        <v>0.6803</v>
      </c>
      <c r="F239" s="8" t="n">
        <v>0.7155</v>
      </c>
      <c r="G239" s="8" t="n">
        <v>0.743</v>
      </c>
      <c r="H239" s="8" t="n">
        <v>0.7312</v>
      </c>
      <c r="I239" s="8" t="n">
        <v>0.7401</v>
      </c>
      <c r="J239" s="8" t="n">
        <v>0.7559</v>
      </c>
      <c r="K239" s="8" t="n">
        <v>0.7873</v>
      </c>
      <c r="L239" s="8" t="n">
        <v>0.7862</v>
      </c>
      <c r="M239" s="9" t="n">
        <v>0.7862</v>
      </c>
      <c r="N239" s="9" t="n">
        <v>0.7883</v>
      </c>
      <c r="O239" s="9" t="n">
        <v>0.7899</v>
      </c>
      <c r="P239" s="9" t="n">
        <v>0.7899</v>
      </c>
      <c r="Q239" s="9" t="n">
        <v>0.7913</v>
      </c>
      <c r="R239" s="8">
        <f>AVERAGE(E239:Q239)</f>
        <v/>
      </c>
    </row>
    <row r="240">
      <c r="C240" s="1" t="n"/>
      <c r="D240" s="7" t="inlineStr">
        <is>
          <t>osa before 2027</t>
        </is>
      </c>
      <c r="E240" s="9" t="n">
        <v>0.6828</v>
      </c>
      <c r="F240" s="9" t="n">
        <v>0.7157</v>
      </c>
      <c r="G240" s="9" t="n">
        <v>0.743</v>
      </c>
      <c r="H240" s="9" t="n">
        <v>0.738</v>
      </c>
      <c r="I240" s="9" t="n">
        <v>0.7482</v>
      </c>
      <c r="J240" s="9" t="n">
        <v>0.7593</v>
      </c>
      <c r="K240" s="9" t="n">
        <v>0.7931</v>
      </c>
      <c r="L240" s="9" t="n">
        <v>0.7932</v>
      </c>
      <c r="M240" s="9" t="n">
        <v>0.7944</v>
      </c>
      <c r="N240" s="9" t="n">
        <v>0.7983</v>
      </c>
      <c r="O240" s="9" t="n">
        <v>0.8012</v>
      </c>
      <c r="P240" s="9" t="n">
        <v>0.8035</v>
      </c>
      <c r="Q240" s="9" t="n">
        <v>0.8063</v>
      </c>
      <c r="R240" s="9">
        <f>AVERAGE(E240:Q240)</f>
        <v/>
      </c>
    </row>
    <row r="241">
      <c r="C241" s="1" t="n"/>
      <c r="D241" s="7" t="inlineStr">
        <is>
          <t>dif</t>
        </is>
      </c>
      <c r="E241" s="8">
        <f>E240-E239</f>
        <v/>
      </c>
      <c r="F241" s="8">
        <f>F240-F239</f>
        <v/>
      </c>
      <c r="G241" s="8">
        <f>G240-G239</f>
        <v/>
      </c>
      <c r="H241" s="8">
        <f>H240-H239</f>
        <v/>
      </c>
      <c r="I241" s="8">
        <f>I240-I239</f>
        <v/>
      </c>
      <c r="J241" s="8">
        <f>J240-J239</f>
        <v/>
      </c>
      <c r="K241" s="8">
        <f>K240-K239</f>
        <v/>
      </c>
      <c r="L241" s="8">
        <f>L240-L239</f>
        <v/>
      </c>
      <c r="M241" s="8">
        <f>M240-M239</f>
        <v/>
      </c>
      <c r="N241" s="8">
        <f>N240-N239</f>
        <v/>
      </c>
      <c r="O241" s="8">
        <f>O240-O239</f>
        <v/>
      </c>
      <c r="P241" s="8">
        <f>P240-P239</f>
        <v/>
      </c>
      <c r="Q241" s="8">
        <f>Q240-Q239</f>
        <v/>
      </c>
      <c r="R241" s="8">
        <f>R240-R239</f>
        <v/>
      </c>
    </row>
    <row r="242">
      <c r="C242" s="1" t="n"/>
      <c r="D242" s="7" t="inlineStr">
        <is>
          <t>ЭФ-т LSV, %</t>
        </is>
      </c>
      <c r="E242" s="8">
        <f>E241/0.03*0.01</f>
        <v/>
      </c>
      <c r="F242" s="8">
        <f>F241/0.03*0.01</f>
        <v/>
      </c>
      <c r="G242" s="8">
        <f>G241/0.03*0.01</f>
        <v/>
      </c>
      <c r="H242" s="8">
        <f>H241/0.03*0.01</f>
        <v/>
      </c>
      <c r="I242" s="8">
        <f>I241/0.03*0.01</f>
        <v/>
      </c>
      <c r="J242" s="8">
        <f>J241/0.03*0.01</f>
        <v/>
      </c>
      <c r="K242" s="8">
        <f>K241/0.03*0.01</f>
        <v/>
      </c>
      <c r="L242" s="8">
        <f>L241/0.03*0.01</f>
        <v/>
      </c>
      <c r="M242" s="8">
        <f>M241/0.03*0.01</f>
        <v/>
      </c>
      <c r="N242" s="8">
        <f>N241/0.03*0.01</f>
        <v/>
      </c>
      <c r="O242" s="8">
        <f>O241/0.03*0.01</f>
        <v/>
      </c>
      <c r="P242" s="8">
        <f>P241/0.03*0.01</f>
        <v/>
      </c>
      <c r="Q242" s="8">
        <f>Q241/0.03*0.01</f>
        <v/>
      </c>
      <c r="R242" s="8">
        <f>R241/0.03*0.01</f>
        <v/>
      </c>
    </row>
    <row r="243">
      <c r="C243" s="10" t="n"/>
      <c r="D243" s="10" t="inlineStr">
        <is>
          <t>ЭФ-т, млн руб Osa Base</t>
        </is>
      </c>
      <c r="E243" s="11">
        <f>E232*E242</f>
        <v/>
      </c>
      <c r="F243" s="11">
        <f>F232*F242</f>
        <v/>
      </c>
      <c r="G243" s="11">
        <f>G232*G242</f>
        <v/>
      </c>
      <c r="H243" s="11">
        <f>H232*H242</f>
        <v/>
      </c>
      <c r="I243" s="11">
        <f>I232*I242</f>
        <v/>
      </c>
      <c r="J243" s="11">
        <f>J232*J242</f>
        <v/>
      </c>
      <c r="K243" s="11">
        <f>K232*K242</f>
        <v/>
      </c>
      <c r="L243" s="11">
        <f>L232*L242</f>
        <v/>
      </c>
      <c r="M243" s="11">
        <f>M232*M242</f>
        <v/>
      </c>
      <c r="N243" s="11">
        <f>N232*N242</f>
        <v/>
      </c>
      <c r="O243" s="11">
        <f>O232*O242</f>
        <v/>
      </c>
      <c r="P243" s="11">
        <f>P232*P242</f>
        <v/>
      </c>
      <c r="Q243" s="11">
        <f>Q232*Q242</f>
        <v/>
      </c>
      <c r="R243" s="11">
        <f>SUM(E243:Q243)</f>
        <v/>
      </c>
    </row>
    <row r="244">
      <c r="C244" s="12" t="inlineStr">
        <is>
          <t>OSA</t>
        </is>
      </c>
      <c r="D244" s="4" t="inlineStr">
        <is>
          <t>total OSA 2026</t>
        </is>
      </c>
      <c r="E244" s="13">
        <f>MIN(E234+E239,1)</f>
        <v/>
      </c>
      <c r="F244" s="13">
        <f>MIN(F234+F239,1)</f>
        <v/>
      </c>
      <c r="G244" s="13">
        <f>MIN(G234+G239,1)</f>
        <v/>
      </c>
      <c r="H244" s="13">
        <f>MIN(H234+H239,1)</f>
        <v/>
      </c>
      <c r="I244" s="13">
        <f>MIN(I234+I239,1)</f>
        <v/>
      </c>
      <c r="J244" s="13">
        <f>MIN(J234+J239,1)</f>
        <v/>
      </c>
      <c r="K244" s="13">
        <f>MIN(K234+K239,1)</f>
        <v/>
      </c>
      <c r="L244" s="13">
        <f>MIN(L234+L239,1)</f>
        <v/>
      </c>
      <c r="M244" s="13">
        <f>MIN(M234+M239,1)</f>
        <v/>
      </c>
      <c r="N244" s="13">
        <f>MIN(N234+N239,1)</f>
        <v/>
      </c>
      <c r="O244" s="13">
        <f>MIN(O234+O239,1)</f>
        <v/>
      </c>
      <c r="P244" s="13">
        <f>MIN(P234+P239,1)</f>
        <v/>
      </c>
      <c r="Q244" s="13">
        <f>MIN(Q234+Q239,1)</f>
        <v/>
      </c>
      <c r="R244" s="13">
        <f>AVERAGE(E244:Q244)</f>
        <v/>
      </c>
    </row>
    <row r="245">
      <c r="C245" s="2" t="n"/>
      <c r="D245" s="4" t="inlineStr">
        <is>
          <t>total OSA 2027</t>
        </is>
      </c>
      <c r="E245" s="13">
        <f>MIN(E235+E240,1)</f>
        <v/>
      </c>
      <c r="F245" s="13">
        <f>MIN(F235+F240,1)</f>
        <v/>
      </c>
      <c r="G245" s="13">
        <f>MIN(G235+G240,1)</f>
        <v/>
      </c>
      <c r="H245" s="13">
        <f>MIN(H235+H240,1)</f>
        <v/>
      </c>
      <c r="I245" s="13">
        <f>MIN(I235+I240,1)</f>
        <v/>
      </c>
      <c r="J245" s="13">
        <f>MIN(J235+J240,1)</f>
        <v/>
      </c>
      <c r="K245" s="13">
        <f>MIN(K235+K240,1)</f>
        <v/>
      </c>
      <c r="L245" s="13">
        <f>MIN(L235+L240,1)</f>
        <v/>
      </c>
      <c r="M245" s="13">
        <f>MIN(M235+M240,1)</f>
        <v/>
      </c>
      <c r="N245" s="13">
        <f>MIN(N235+N240,1)</f>
        <v/>
      </c>
      <c r="O245" s="13">
        <f>MIN(O235+O240,1)</f>
        <v/>
      </c>
      <c r="P245" s="13">
        <f>MIN(P235+P240,1)</f>
        <v/>
      </c>
      <c r="Q245" s="13">
        <f>MIN(Q235+Q240,1)</f>
        <v/>
      </c>
      <c r="R245" s="13">
        <f>AVERAGE(E245:Q245)</f>
        <v/>
      </c>
    </row>
    <row r="246">
      <c r="C246" s="1" t="n"/>
      <c r="D246" s="7" t="inlineStr">
        <is>
          <t>dif</t>
        </is>
      </c>
      <c r="E246" s="8">
        <f>E245-E244</f>
        <v/>
      </c>
      <c r="F246" s="8">
        <f>F245-F244</f>
        <v/>
      </c>
      <c r="G246" s="8">
        <f>G245-G244</f>
        <v/>
      </c>
      <c r="H246" s="8">
        <f>H245-H244</f>
        <v/>
      </c>
      <c r="I246" s="8">
        <f>I245-I244</f>
        <v/>
      </c>
      <c r="J246" s="8">
        <f>J245-J244</f>
        <v/>
      </c>
      <c r="K246" s="8">
        <f>K245-K244</f>
        <v/>
      </c>
      <c r="L246" s="8">
        <f>L245-L244</f>
        <v/>
      </c>
      <c r="M246" s="8">
        <f>M245-M244</f>
        <v/>
      </c>
      <c r="N246" s="8">
        <f>N245-N244</f>
        <v/>
      </c>
      <c r="O246" s="8">
        <f>O245-O244</f>
        <v/>
      </c>
      <c r="P246" s="8">
        <f>P245-P244</f>
        <v/>
      </c>
      <c r="Q246" s="8">
        <f>Q245-Q244</f>
        <v/>
      </c>
      <c r="R246" s="8">
        <f>R245-R244</f>
        <v/>
      </c>
    </row>
    <row r="247">
      <c r="C247" s="10" t="n"/>
      <c r="D247" s="10" t="inlineStr">
        <is>
          <t>total 2027 млн руб</t>
        </is>
      </c>
      <c r="E247" s="11">
        <f>E238+E243</f>
        <v/>
      </c>
      <c r="F247" s="11">
        <f>F238+F243</f>
        <v/>
      </c>
      <c r="G247" s="11">
        <f>G238+G243</f>
        <v/>
      </c>
      <c r="H247" s="11">
        <f>H238+H243</f>
        <v/>
      </c>
      <c r="I247" s="11">
        <f>I238+I243</f>
        <v/>
      </c>
      <c r="J247" s="11">
        <f>J238+J243</f>
        <v/>
      </c>
      <c r="K247" s="11">
        <f>K238+K243</f>
        <v/>
      </c>
      <c r="L247" s="11">
        <f>L238+L243</f>
        <v/>
      </c>
      <c r="M247" s="11">
        <f>M238+M243</f>
        <v/>
      </c>
      <c r="N247" s="11">
        <f>N238+N243</f>
        <v/>
      </c>
      <c r="O247" s="11">
        <f>O238+O243</f>
        <v/>
      </c>
      <c r="P247" s="11">
        <f>P238+P243</f>
        <v/>
      </c>
      <c r="Q247" s="11">
        <f>Q238+Q243</f>
        <v/>
      </c>
      <c r="R247" s="11">
        <f>R238+R243</f>
        <v/>
      </c>
    </row>
    <row r="250">
      <c r="C250" s="1" t="n"/>
      <c r="D250" s="1" t="n"/>
      <c r="E250" s="2" t="inlineStr">
        <is>
          <t>P1</t>
        </is>
      </c>
      <c r="F250" s="2" t="inlineStr">
        <is>
          <t>P2</t>
        </is>
      </c>
      <c r="G250" s="2" t="inlineStr">
        <is>
          <t>P3</t>
        </is>
      </c>
      <c r="H250" s="2" t="inlineStr">
        <is>
          <t>P4</t>
        </is>
      </c>
      <c r="I250" s="2" t="inlineStr">
        <is>
          <t>P5</t>
        </is>
      </c>
      <c r="J250" s="2" t="inlineStr">
        <is>
          <t>P6</t>
        </is>
      </c>
      <c r="K250" s="2" t="inlineStr">
        <is>
          <t>P7</t>
        </is>
      </c>
      <c r="L250" s="2" t="inlineStr">
        <is>
          <t>P8</t>
        </is>
      </c>
      <c r="M250" s="2" t="inlineStr">
        <is>
          <t>P9</t>
        </is>
      </c>
      <c r="N250" s="2" t="inlineStr">
        <is>
          <t>P10</t>
        </is>
      </c>
      <c r="O250" s="2" t="inlineStr">
        <is>
          <t>P11</t>
        </is>
      </c>
      <c r="P250" s="2" t="inlineStr">
        <is>
          <t>P12</t>
        </is>
      </c>
      <c r="Q250" s="2" t="inlineStr">
        <is>
          <t>P13</t>
        </is>
      </c>
      <c r="R250" s="2" t="inlineStr">
        <is>
          <t>total</t>
        </is>
      </c>
    </row>
    <row r="251">
      <c r="C251" s="3" t="inlineStr">
        <is>
          <t>Реми</t>
        </is>
      </c>
      <c r="D251" s="4" t="inlineStr">
        <is>
          <t>DMR</t>
        </is>
      </c>
      <c r="E251" s="5" t="n">
        <v>18449905.7300002</v>
      </c>
      <c r="F251" s="5" t="n">
        <v>18766805.37500014</v>
      </c>
      <c r="G251" s="5" t="n">
        <v>21880158.48200103</v>
      </c>
      <c r="H251" s="5" t="n">
        <v>23178460.30650019</v>
      </c>
      <c r="I251" s="5" t="n">
        <v>20566080.5900005</v>
      </c>
      <c r="J251" s="5" t="n">
        <v>24107938.97000096</v>
      </c>
      <c r="K251" s="5" t="n">
        <v>23593345.43999999</v>
      </c>
      <c r="L251" s="5" t="n">
        <v>20460461.72000074</v>
      </c>
      <c r="M251" s="5" t="n">
        <v>21718041.04219121</v>
      </c>
      <c r="N251" s="5" t="n">
        <v>22147469.25048083</v>
      </c>
      <c r="O251" s="5" t="n">
        <v>22294873.60551923</v>
      </c>
      <c r="P251" s="5" t="n">
        <v>23047085.74008423</v>
      </c>
      <c r="Q251" s="5" t="n">
        <v>24238092.71934278</v>
      </c>
      <c r="R251" s="5">
        <f>SUM(E251:Q251)</f>
        <v/>
      </c>
    </row>
    <row r="252">
      <c r="C252" s="6" t="n"/>
      <c r="D252" s="7" t="inlineStr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</row>
    <row r="253">
      <c r="C253" s="1" t="n"/>
      <c r="D253" s="7" t="inlineStr">
        <is>
          <t>Merch Impact 2026</t>
        </is>
      </c>
      <c r="E253" s="8" t="n">
        <v>0.1797</v>
      </c>
      <c r="F253" s="8" t="n">
        <v>0.1696</v>
      </c>
      <c r="G253" s="8" t="n">
        <v>0.167</v>
      </c>
      <c r="H253" s="8" t="n">
        <v>0.1522</v>
      </c>
      <c r="I253" s="8" t="n">
        <v>0.1606</v>
      </c>
      <c r="J253" s="8" t="n">
        <v>0.1714</v>
      </c>
      <c r="K253" s="8" t="n">
        <v>0.1738</v>
      </c>
      <c r="L253" s="8" t="n">
        <v>0.1629</v>
      </c>
      <c r="M253" s="9" t="n">
        <v>0.1656</v>
      </c>
      <c r="N253" s="9" t="n">
        <v>0.1682</v>
      </c>
      <c r="O253" s="9" t="n">
        <v>0.1718</v>
      </c>
      <c r="P253" s="9" t="n">
        <v>0.174</v>
      </c>
      <c r="Q253" s="9" t="n">
        <v>0.1784</v>
      </c>
      <c r="R253" s="8">
        <f>AVERAGE(E253:Q253)</f>
        <v/>
      </c>
    </row>
    <row r="254">
      <c r="C254" s="1" t="n"/>
      <c r="D254" s="7" t="inlineStr">
        <is>
          <t>Merch Impact 2027</t>
        </is>
      </c>
      <c r="E254" s="9" t="n">
        <v>0.1892</v>
      </c>
      <c r="F254" s="9" t="n">
        <v>0.1757</v>
      </c>
      <c r="G254" s="9" t="n">
        <v>0.1806</v>
      </c>
      <c r="H254" s="9" t="n">
        <v>0.1658</v>
      </c>
      <c r="I254" s="9" t="n">
        <v>0.1742</v>
      </c>
      <c r="J254" s="9" t="n">
        <v>0.1814</v>
      </c>
      <c r="K254" s="9" t="n">
        <v>0.1838</v>
      </c>
      <c r="L254" s="9" t="n">
        <v>0.167</v>
      </c>
      <c r="M254" s="9" t="n">
        <v>0.1765</v>
      </c>
      <c r="N254" s="9" t="n">
        <v>0.1808</v>
      </c>
      <c r="O254" s="9" t="n">
        <v>0.1877</v>
      </c>
      <c r="P254" s="9" t="n">
        <v>0.1909</v>
      </c>
      <c r="Q254" s="9" t="n">
        <v>0.1913</v>
      </c>
      <c r="R254" s="9">
        <f>AVERAGE(E254:Q254)</f>
        <v/>
      </c>
    </row>
    <row r="255">
      <c r="C255" s="1" t="n"/>
      <c r="D255" s="7" t="inlineStr">
        <is>
          <t>dif</t>
        </is>
      </c>
      <c r="E255" s="8">
        <f>E254-E253</f>
        <v/>
      </c>
      <c r="F255" s="8">
        <f>F254-F253</f>
        <v/>
      </c>
      <c r="G255" s="8">
        <f>G254-G253</f>
        <v/>
      </c>
      <c r="H255" s="8">
        <f>H254-H253</f>
        <v/>
      </c>
      <c r="I255" s="8">
        <f>I254-I253</f>
        <v/>
      </c>
      <c r="J255" s="8">
        <f>J254-J253</f>
        <v/>
      </c>
      <c r="K255" s="8">
        <f>K254-K253</f>
        <v/>
      </c>
      <c r="L255" s="8">
        <f>L254-L253</f>
        <v/>
      </c>
      <c r="M255" s="8">
        <f>M254-M253</f>
        <v/>
      </c>
      <c r="N255" s="8">
        <f>N254-N253</f>
        <v/>
      </c>
      <c r="O255" s="8">
        <f>O254-O253</f>
        <v/>
      </c>
      <c r="P255" s="8">
        <f>P254-P253</f>
        <v/>
      </c>
      <c r="Q255" s="8">
        <f>Q254-Q253</f>
        <v/>
      </c>
      <c r="R255" s="8">
        <f>R254-R253</f>
        <v/>
      </c>
    </row>
    <row r="256">
      <c r="C256" s="1" t="n"/>
      <c r="D256" s="7" t="inlineStr">
        <is>
          <t>ЭФ-т LSV, %</t>
        </is>
      </c>
      <c r="E256" s="8">
        <f>E255/0.03*0.01</f>
        <v/>
      </c>
      <c r="F256" s="8">
        <f>F255/0.03*0.01</f>
        <v/>
      </c>
      <c r="G256" s="8">
        <f>G255/0.03*0.01</f>
        <v/>
      </c>
      <c r="H256" s="8">
        <f>H255/0.03*0.01</f>
        <v/>
      </c>
      <c r="I256" s="8">
        <f>I255/0.03*0.01</f>
        <v/>
      </c>
      <c r="J256" s="8">
        <f>J255/0.03*0.01</f>
        <v/>
      </c>
      <c r="K256" s="8">
        <f>K255/0.03*0.01</f>
        <v/>
      </c>
      <c r="L256" s="8">
        <f>L255/0.03*0.01</f>
        <v/>
      </c>
      <c r="M256" s="8">
        <f>M255/0.03*0.01</f>
        <v/>
      </c>
      <c r="N256" s="8">
        <f>N255/0.03*0.01</f>
        <v/>
      </c>
      <c r="O256" s="8">
        <f>O255/0.03*0.01</f>
        <v/>
      </c>
      <c r="P256" s="8">
        <f>P255/0.03*0.01</f>
        <v/>
      </c>
      <c r="Q256" s="8">
        <f>Q255/0.03*0.01</f>
        <v/>
      </c>
      <c r="R256" s="8">
        <f>R255/0.03*0.01</f>
        <v/>
      </c>
    </row>
    <row r="257">
      <c r="C257" s="10" t="n"/>
      <c r="D257" s="10" t="inlineStr">
        <is>
          <t>ЭФ-т, млн руб Merch in</t>
        </is>
      </c>
      <c r="E257" s="11">
        <f>E251*E256</f>
        <v/>
      </c>
      <c r="F257" s="11">
        <f>F251*F256</f>
        <v/>
      </c>
      <c r="G257" s="11">
        <f>G251*G256</f>
        <v/>
      </c>
      <c r="H257" s="11">
        <f>H251*H256</f>
        <v/>
      </c>
      <c r="I257" s="11">
        <f>I251*I256</f>
        <v/>
      </c>
      <c r="J257" s="11">
        <f>J251*J256</f>
        <v/>
      </c>
      <c r="K257" s="11">
        <f>K251*K256</f>
        <v/>
      </c>
      <c r="L257" s="11">
        <f>L251*L256</f>
        <v/>
      </c>
      <c r="M257" s="11">
        <f>M251*M256</f>
        <v/>
      </c>
      <c r="N257" s="11">
        <f>N251*N256</f>
        <v/>
      </c>
      <c r="O257" s="11">
        <f>O251*O256</f>
        <v/>
      </c>
      <c r="P257" s="11">
        <f>P251*P256</f>
        <v/>
      </c>
      <c r="Q257" s="11">
        <f>Q251*Q256</f>
        <v/>
      </c>
      <c r="R257" s="11">
        <f>SUM(E257:Q257)</f>
        <v/>
      </c>
    </row>
    <row r="258">
      <c r="C258" s="12" t="inlineStr">
        <is>
          <t>OSA before</t>
        </is>
      </c>
      <c r="D258" s="7" t="inlineStr">
        <is>
          <t>osa before 2026</t>
        </is>
      </c>
      <c r="E258" s="8" t="n">
        <v>0.6584</v>
      </c>
      <c r="F258" s="8" t="n">
        <v>0.6887</v>
      </c>
      <c r="G258" s="8" t="n">
        <v>0.7269</v>
      </c>
      <c r="H258" s="8" t="n">
        <v>0.76</v>
      </c>
      <c r="I258" s="8" t="n">
        <v>0.7521</v>
      </c>
      <c r="J258" s="8" t="n">
        <v>0.7642</v>
      </c>
      <c r="K258" s="8" t="n">
        <v>0.7625</v>
      </c>
      <c r="L258" s="8" t="n">
        <v>0.7715</v>
      </c>
      <c r="M258" s="9" t="n">
        <v>0.7715</v>
      </c>
      <c r="N258" s="9" t="n">
        <v>0.7715</v>
      </c>
      <c r="O258" s="9" t="n">
        <v>0.7715</v>
      </c>
      <c r="P258" s="9" t="n">
        <v>0.7738</v>
      </c>
      <c r="Q258" s="9" t="n">
        <v>0.7748</v>
      </c>
      <c r="R258" s="8">
        <f>AVERAGE(E258:Q258)</f>
        <v/>
      </c>
    </row>
    <row r="259">
      <c r="C259" s="1" t="n"/>
      <c r="D259" s="7" t="inlineStr">
        <is>
          <t>osa before 2027</t>
        </is>
      </c>
      <c r="E259" s="9" t="n">
        <v>0.6584</v>
      </c>
      <c r="F259" s="9" t="n">
        <v>0.6947</v>
      </c>
      <c r="G259" s="9" t="n">
        <v>0.7269</v>
      </c>
      <c r="H259" s="9" t="n">
        <v>0.76</v>
      </c>
      <c r="I259" s="9" t="n">
        <v>0.753</v>
      </c>
      <c r="J259" s="9" t="n">
        <v>0.7659</v>
      </c>
      <c r="K259" s="9" t="n">
        <v>0.7655</v>
      </c>
      <c r="L259" s="9" t="n">
        <v>0.775</v>
      </c>
      <c r="M259" s="9" t="n">
        <v>0.7747000000000001</v>
      </c>
      <c r="N259" s="9" t="n">
        <v>0.7765</v>
      </c>
      <c r="O259" s="9" t="n">
        <v>0.778</v>
      </c>
      <c r="P259" s="9" t="n">
        <v>0.7814</v>
      </c>
      <c r="Q259" s="9" t="n">
        <v>0.7828000000000001</v>
      </c>
      <c r="R259" s="9">
        <f>AVERAGE(E259:Q259)</f>
        <v/>
      </c>
    </row>
    <row r="260">
      <c r="C260" s="1" t="n"/>
      <c r="D260" s="7" t="inlineStr">
        <is>
          <t>dif</t>
        </is>
      </c>
      <c r="E260" s="8">
        <f>E259-E258</f>
        <v/>
      </c>
      <c r="F260" s="8">
        <f>F259-F258</f>
        <v/>
      </c>
      <c r="G260" s="8">
        <f>G259-G258</f>
        <v/>
      </c>
      <c r="H260" s="8">
        <f>H259-H258</f>
        <v/>
      </c>
      <c r="I260" s="8">
        <f>I259-I258</f>
        <v/>
      </c>
      <c r="J260" s="8">
        <f>J259-J258</f>
        <v/>
      </c>
      <c r="K260" s="8">
        <f>K259-K258</f>
        <v/>
      </c>
      <c r="L260" s="8">
        <f>L259-L258</f>
        <v/>
      </c>
      <c r="M260" s="8">
        <f>M259-M258</f>
        <v/>
      </c>
      <c r="N260" s="8">
        <f>N259-N258</f>
        <v/>
      </c>
      <c r="O260" s="8">
        <f>O259-O258</f>
        <v/>
      </c>
      <c r="P260" s="8">
        <f>P259-P258</f>
        <v/>
      </c>
      <c r="Q260" s="8">
        <f>Q259-Q258</f>
        <v/>
      </c>
      <c r="R260" s="8">
        <f>R259-R258</f>
        <v/>
      </c>
    </row>
    <row r="261">
      <c r="C261" s="1" t="n"/>
      <c r="D261" s="7" t="inlineStr">
        <is>
          <t>ЭФ-т LSV, %</t>
        </is>
      </c>
      <c r="E261" s="8">
        <f>E260/0.03*0.01</f>
        <v/>
      </c>
      <c r="F261" s="8">
        <f>F260/0.03*0.01</f>
        <v/>
      </c>
      <c r="G261" s="8">
        <f>G260/0.03*0.01</f>
        <v/>
      </c>
      <c r="H261" s="8">
        <f>H260/0.03*0.01</f>
        <v/>
      </c>
      <c r="I261" s="8">
        <f>I260/0.03*0.01</f>
        <v/>
      </c>
      <c r="J261" s="8">
        <f>J260/0.03*0.01</f>
        <v/>
      </c>
      <c r="K261" s="8">
        <f>K260/0.03*0.01</f>
        <v/>
      </c>
      <c r="L261" s="8">
        <f>L260/0.03*0.01</f>
        <v/>
      </c>
      <c r="M261" s="8">
        <f>M260/0.03*0.01</f>
        <v/>
      </c>
      <c r="N261" s="8">
        <f>N260/0.03*0.01</f>
        <v/>
      </c>
      <c r="O261" s="8">
        <f>O260/0.03*0.01</f>
        <v/>
      </c>
      <c r="P261" s="8">
        <f>P260/0.03*0.01</f>
        <v/>
      </c>
      <c r="Q261" s="8">
        <f>Q260/0.03*0.01</f>
        <v/>
      </c>
      <c r="R261" s="8">
        <f>R260/0.03*0.01</f>
        <v/>
      </c>
    </row>
    <row r="262">
      <c r="C262" s="10" t="n"/>
      <c r="D262" s="10" t="inlineStr">
        <is>
          <t>ЭФ-т, млн руб Osa Base</t>
        </is>
      </c>
      <c r="E262" s="11">
        <f>E251*E261</f>
        <v/>
      </c>
      <c r="F262" s="11">
        <f>F251*F261</f>
        <v/>
      </c>
      <c r="G262" s="11">
        <f>G251*G261</f>
        <v/>
      </c>
      <c r="H262" s="11">
        <f>H251*H261</f>
        <v/>
      </c>
      <c r="I262" s="11">
        <f>I251*I261</f>
        <v/>
      </c>
      <c r="J262" s="11">
        <f>J251*J261</f>
        <v/>
      </c>
      <c r="K262" s="11">
        <f>K251*K261</f>
        <v/>
      </c>
      <c r="L262" s="11">
        <f>L251*L261</f>
        <v/>
      </c>
      <c r="M262" s="11">
        <f>M251*M261</f>
        <v/>
      </c>
      <c r="N262" s="11">
        <f>N251*N261</f>
        <v/>
      </c>
      <c r="O262" s="11">
        <f>O251*O261</f>
        <v/>
      </c>
      <c r="P262" s="11">
        <f>P251*P261</f>
        <v/>
      </c>
      <c r="Q262" s="11">
        <f>Q251*Q261</f>
        <v/>
      </c>
      <c r="R262" s="11">
        <f>SUM(E262:Q262)</f>
        <v/>
      </c>
    </row>
    <row r="263">
      <c r="C263" s="12" t="inlineStr">
        <is>
          <t>OSA</t>
        </is>
      </c>
      <c r="D263" s="4" t="inlineStr">
        <is>
          <t>total OSA 2026</t>
        </is>
      </c>
      <c r="E263" s="13">
        <f>MIN(E253+E258,1)</f>
        <v/>
      </c>
      <c r="F263" s="13">
        <f>MIN(F253+F258,1)</f>
        <v/>
      </c>
      <c r="G263" s="13">
        <f>MIN(G253+G258,1)</f>
        <v/>
      </c>
      <c r="H263" s="13">
        <f>MIN(H253+H258,1)</f>
        <v/>
      </c>
      <c r="I263" s="13">
        <f>MIN(I253+I258,1)</f>
        <v/>
      </c>
      <c r="J263" s="13">
        <f>MIN(J253+J258,1)</f>
        <v/>
      </c>
      <c r="K263" s="13">
        <f>MIN(K253+K258,1)</f>
        <v/>
      </c>
      <c r="L263" s="13">
        <f>MIN(L253+L258,1)</f>
        <v/>
      </c>
      <c r="M263" s="13">
        <f>MIN(M253+M258,1)</f>
        <v/>
      </c>
      <c r="N263" s="13">
        <f>MIN(N253+N258,1)</f>
        <v/>
      </c>
      <c r="O263" s="13">
        <f>MIN(O253+O258,1)</f>
        <v/>
      </c>
      <c r="P263" s="13">
        <f>MIN(P253+P258,1)</f>
        <v/>
      </c>
      <c r="Q263" s="13">
        <f>MIN(Q253+Q258,1)</f>
        <v/>
      </c>
      <c r="R263" s="13">
        <f>AVERAGE(E263:Q263)</f>
        <v/>
      </c>
    </row>
    <row r="264">
      <c r="C264" s="2" t="n"/>
      <c r="D264" s="4" t="inlineStr">
        <is>
          <t>total OSA 2027</t>
        </is>
      </c>
      <c r="E264" s="13">
        <f>MIN(E254+E259,1)</f>
        <v/>
      </c>
      <c r="F264" s="13">
        <f>MIN(F254+F259,1)</f>
        <v/>
      </c>
      <c r="G264" s="13">
        <f>MIN(G254+G259,1)</f>
        <v/>
      </c>
      <c r="H264" s="13">
        <f>MIN(H254+H259,1)</f>
        <v/>
      </c>
      <c r="I264" s="13">
        <f>MIN(I254+I259,1)</f>
        <v/>
      </c>
      <c r="J264" s="13">
        <f>MIN(J254+J259,1)</f>
        <v/>
      </c>
      <c r="K264" s="13">
        <f>MIN(K254+K259,1)</f>
        <v/>
      </c>
      <c r="L264" s="13">
        <f>MIN(L254+L259,1)</f>
        <v/>
      </c>
      <c r="M264" s="13">
        <f>MIN(M254+M259,1)</f>
        <v/>
      </c>
      <c r="N264" s="13">
        <f>MIN(N254+N259,1)</f>
        <v/>
      </c>
      <c r="O264" s="13">
        <f>MIN(O254+O259,1)</f>
        <v/>
      </c>
      <c r="P264" s="13">
        <f>MIN(P254+P259,1)</f>
        <v/>
      </c>
      <c r="Q264" s="13">
        <f>MIN(Q254+Q259,1)</f>
        <v/>
      </c>
      <c r="R264" s="13">
        <f>AVERAGE(E264:Q264)</f>
        <v/>
      </c>
    </row>
    <row r="265">
      <c r="C265" s="1" t="n"/>
      <c r="D265" s="7" t="inlineStr">
        <is>
          <t>dif</t>
        </is>
      </c>
      <c r="E265" s="8">
        <f>E264-E263</f>
        <v/>
      </c>
      <c r="F265" s="8">
        <f>F264-F263</f>
        <v/>
      </c>
      <c r="G265" s="8">
        <f>G264-G263</f>
        <v/>
      </c>
      <c r="H265" s="8">
        <f>H264-H263</f>
        <v/>
      </c>
      <c r="I265" s="8">
        <f>I264-I263</f>
        <v/>
      </c>
      <c r="J265" s="8">
        <f>J264-J263</f>
        <v/>
      </c>
      <c r="K265" s="8">
        <f>K264-K263</f>
        <v/>
      </c>
      <c r="L265" s="8">
        <f>L264-L263</f>
        <v/>
      </c>
      <c r="M265" s="8">
        <f>M264-M263</f>
        <v/>
      </c>
      <c r="N265" s="8">
        <f>N264-N263</f>
        <v/>
      </c>
      <c r="O265" s="8">
        <f>O264-O263</f>
        <v/>
      </c>
      <c r="P265" s="8">
        <f>P264-P263</f>
        <v/>
      </c>
      <c r="Q265" s="8">
        <f>Q264-Q263</f>
        <v/>
      </c>
      <c r="R265" s="8">
        <f>R264-R263</f>
        <v/>
      </c>
    </row>
    <row r="266">
      <c r="C266" s="10" t="n"/>
      <c r="D266" s="10" t="inlineStr">
        <is>
          <t>total 2027 млн руб</t>
        </is>
      </c>
      <c r="E266" s="11">
        <f>E257+E262</f>
        <v/>
      </c>
      <c r="F266" s="11">
        <f>F257+F262</f>
        <v/>
      </c>
      <c r="G266" s="11">
        <f>G257+G262</f>
        <v/>
      </c>
      <c r="H266" s="11">
        <f>H257+H262</f>
        <v/>
      </c>
      <c r="I266" s="11">
        <f>I257+I262</f>
        <v/>
      </c>
      <c r="J266" s="11">
        <f>J257+J262</f>
        <v/>
      </c>
      <c r="K266" s="11">
        <f>K257+K262</f>
        <v/>
      </c>
      <c r="L266" s="11">
        <f>L257+L262</f>
        <v/>
      </c>
      <c r="M266" s="11">
        <f>M257+M262</f>
        <v/>
      </c>
      <c r="N266" s="11">
        <f>N257+N262</f>
        <v/>
      </c>
      <c r="O266" s="11">
        <f>O257+O262</f>
        <v/>
      </c>
      <c r="P266" s="11">
        <f>P257+P262</f>
        <v/>
      </c>
      <c r="Q266" s="11">
        <f>Q257+Q262</f>
        <v/>
      </c>
      <c r="R266" s="11">
        <f>R257+R262</f>
        <v/>
      </c>
    </row>
    <row r="269">
      <c r="C269" s="1" t="n"/>
      <c r="D269" s="1" t="n"/>
      <c r="E269" s="2" t="inlineStr">
        <is>
          <t>P1</t>
        </is>
      </c>
      <c r="F269" s="2" t="inlineStr">
        <is>
          <t>P2</t>
        </is>
      </c>
      <c r="G269" s="2" t="inlineStr">
        <is>
          <t>P3</t>
        </is>
      </c>
      <c r="H269" s="2" t="inlineStr">
        <is>
          <t>P4</t>
        </is>
      </c>
      <c r="I269" s="2" t="inlineStr">
        <is>
          <t>P5</t>
        </is>
      </c>
      <c r="J269" s="2" t="inlineStr">
        <is>
          <t>P6</t>
        </is>
      </c>
      <c r="K269" s="2" t="inlineStr">
        <is>
          <t>P7</t>
        </is>
      </c>
      <c r="L269" s="2" t="inlineStr">
        <is>
          <t>P8</t>
        </is>
      </c>
      <c r="M269" s="2" t="inlineStr">
        <is>
          <t>P9</t>
        </is>
      </c>
      <c r="N269" s="2" t="inlineStr">
        <is>
          <t>P10</t>
        </is>
      </c>
      <c r="O269" s="2" t="inlineStr">
        <is>
          <t>P11</t>
        </is>
      </c>
      <c r="P269" s="2" t="inlineStr">
        <is>
          <t>P12</t>
        </is>
      </c>
      <c r="Q269" s="2" t="inlineStr">
        <is>
          <t>P13</t>
        </is>
      </c>
      <c r="R269" s="2" t="inlineStr">
        <is>
          <t>total</t>
        </is>
      </c>
    </row>
    <row r="270">
      <c r="C270" s="3" t="inlineStr">
        <is>
          <t>Магнолия</t>
        </is>
      </c>
      <c r="D270" s="4" t="inlineStr">
        <is>
          <t>DMR</t>
        </is>
      </c>
      <c r="E270" s="5" t="n">
        <v>0</v>
      </c>
      <c r="F270" s="5" t="n">
        <v>7325478.940000001</v>
      </c>
      <c r="G270" s="5" t="n">
        <v>9348179.800000003</v>
      </c>
      <c r="H270" s="5" t="n">
        <v>1361567.32</v>
      </c>
      <c r="I270" s="5" t="n">
        <v>5336143.14</v>
      </c>
      <c r="J270" s="5" t="n">
        <v>10331810.3</v>
      </c>
      <c r="K270" s="5" t="n">
        <v>2241642.72</v>
      </c>
      <c r="L270" s="5" t="n">
        <v>6056373.900319693</v>
      </c>
      <c r="M270" s="5" t="n">
        <v>5908885.408515281</v>
      </c>
      <c r="N270" s="5" t="n">
        <v>5911832.321029629</v>
      </c>
      <c r="O270" s="5" t="n">
        <v>5788510.512806541</v>
      </c>
      <c r="P270" s="5" t="n">
        <v>5344582.730219371</v>
      </c>
      <c r="Q270" s="5" t="n">
        <v>5178657.877819951</v>
      </c>
      <c r="R270" s="5">
        <f>SUM(E270:Q270)</f>
        <v/>
      </c>
    </row>
    <row r="271">
      <c r="C271" s="6" t="n"/>
      <c r="D271" s="7" t="inlineStr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</row>
    <row r="272">
      <c r="C272" s="1" t="n"/>
      <c r="D272" s="7" t="inlineStr">
        <is>
          <t>Merch Impact 2026</t>
        </is>
      </c>
      <c r="E272" s="8" t="n">
        <v>0.1447</v>
      </c>
      <c r="F272" s="8" t="n">
        <v>0.07049999999999999</v>
      </c>
      <c r="G272" s="8" t="n">
        <v>0.07480000000000001</v>
      </c>
      <c r="H272" s="8" t="n">
        <v>0.1023</v>
      </c>
      <c r="I272" s="8" t="n">
        <v>0.0809</v>
      </c>
      <c r="J272" s="8" t="n">
        <v>0.1188</v>
      </c>
      <c r="K272" s="8" t="n">
        <v>0.1146</v>
      </c>
      <c r="L272" s="8" t="n">
        <v>0.1012</v>
      </c>
      <c r="M272" s="9" t="n">
        <v>0.1059</v>
      </c>
      <c r="N272" s="9" t="n">
        <v>0.1097</v>
      </c>
      <c r="O272" s="9" t="n">
        <v>0.1135</v>
      </c>
      <c r="P272" s="9" t="n">
        <v>0.1151</v>
      </c>
      <c r="Q272" s="9" t="n">
        <v>0.1172</v>
      </c>
      <c r="R272" s="8">
        <f>AVERAGE(E272:Q272)</f>
        <v/>
      </c>
    </row>
    <row r="273">
      <c r="C273" s="1" t="n"/>
      <c r="D273" s="7" t="inlineStr">
        <is>
          <t>Merch Impact 2027</t>
        </is>
      </c>
      <c r="E273" s="9" t="n">
        <v>0.1545</v>
      </c>
      <c r="F273" s="9" t="n">
        <v>0.07049999999999999</v>
      </c>
      <c r="G273" s="9" t="n">
        <v>0.0842</v>
      </c>
      <c r="H273" s="9" t="n">
        <v>0.1095</v>
      </c>
      <c r="I273" s="9" t="n">
        <v>0.0856</v>
      </c>
      <c r="J273" s="9" t="n">
        <v>0.1193</v>
      </c>
      <c r="K273" s="9" t="n">
        <v>0.1237</v>
      </c>
      <c r="L273" s="9" t="n">
        <v>0.1111</v>
      </c>
      <c r="M273" s="9" t="n">
        <v>0.1099</v>
      </c>
      <c r="N273" s="9" t="n">
        <v>0.1152</v>
      </c>
      <c r="O273" s="9" t="n">
        <v>0.121</v>
      </c>
      <c r="P273" s="9" t="n">
        <v>0.1196</v>
      </c>
      <c r="Q273" s="9" t="n">
        <v>0.1218</v>
      </c>
      <c r="R273" s="9">
        <f>AVERAGE(E273:Q273)</f>
        <v/>
      </c>
    </row>
    <row r="274">
      <c r="C274" s="1" t="n"/>
      <c r="D274" s="7" t="inlineStr">
        <is>
          <t>dif</t>
        </is>
      </c>
      <c r="E274" s="8">
        <f>E273-E272</f>
        <v/>
      </c>
      <c r="F274" s="8">
        <f>F273-F272</f>
        <v/>
      </c>
      <c r="G274" s="8">
        <f>G273-G272</f>
        <v/>
      </c>
      <c r="H274" s="8">
        <f>H273-H272</f>
        <v/>
      </c>
      <c r="I274" s="8">
        <f>I273-I272</f>
        <v/>
      </c>
      <c r="J274" s="8">
        <f>J273-J272</f>
        <v/>
      </c>
      <c r="K274" s="8">
        <f>K273-K272</f>
        <v/>
      </c>
      <c r="L274" s="8">
        <f>L273-L272</f>
        <v/>
      </c>
      <c r="M274" s="8">
        <f>M273-M272</f>
        <v/>
      </c>
      <c r="N274" s="8">
        <f>N273-N272</f>
        <v/>
      </c>
      <c r="O274" s="8">
        <f>O273-O272</f>
        <v/>
      </c>
      <c r="P274" s="8">
        <f>P273-P272</f>
        <v/>
      </c>
      <c r="Q274" s="8">
        <f>Q273-Q272</f>
        <v/>
      </c>
      <c r="R274" s="8">
        <f>R273-R272</f>
        <v/>
      </c>
    </row>
    <row r="275">
      <c r="C275" s="1" t="n"/>
      <c r="D275" s="7" t="inlineStr">
        <is>
          <t>ЭФ-т LSV, %</t>
        </is>
      </c>
      <c r="E275" s="8">
        <f>E274/0.03*0.01</f>
        <v/>
      </c>
      <c r="F275" s="8">
        <f>F274/0.03*0.01</f>
        <v/>
      </c>
      <c r="G275" s="8">
        <f>G274/0.03*0.01</f>
        <v/>
      </c>
      <c r="H275" s="8">
        <f>H274/0.03*0.01</f>
        <v/>
      </c>
      <c r="I275" s="8">
        <f>I274/0.03*0.01</f>
        <v/>
      </c>
      <c r="J275" s="8">
        <f>J274/0.03*0.01</f>
        <v/>
      </c>
      <c r="K275" s="8">
        <f>K274/0.03*0.01</f>
        <v/>
      </c>
      <c r="L275" s="8">
        <f>L274/0.03*0.01</f>
        <v/>
      </c>
      <c r="M275" s="8">
        <f>M274/0.03*0.01</f>
        <v/>
      </c>
      <c r="N275" s="8">
        <f>N274/0.03*0.01</f>
        <v/>
      </c>
      <c r="O275" s="8">
        <f>O274/0.03*0.01</f>
        <v/>
      </c>
      <c r="P275" s="8">
        <f>P274/0.03*0.01</f>
        <v/>
      </c>
      <c r="Q275" s="8">
        <f>Q274/0.03*0.01</f>
        <v/>
      </c>
      <c r="R275" s="8">
        <f>R274/0.03*0.01</f>
        <v/>
      </c>
    </row>
    <row r="276">
      <c r="C276" s="10" t="n"/>
      <c r="D276" s="10" t="inlineStr">
        <is>
          <t>ЭФ-т, млн руб Merch in</t>
        </is>
      </c>
      <c r="E276" s="11">
        <f>E270*E275</f>
        <v/>
      </c>
      <c r="F276" s="11">
        <f>F270*F275</f>
        <v/>
      </c>
      <c r="G276" s="11">
        <f>G270*G275</f>
        <v/>
      </c>
      <c r="H276" s="11">
        <f>H270*H275</f>
        <v/>
      </c>
      <c r="I276" s="11">
        <f>I270*I275</f>
        <v/>
      </c>
      <c r="J276" s="11">
        <f>J270*J275</f>
        <v/>
      </c>
      <c r="K276" s="11">
        <f>K270*K275</f>
        <v/>
      </c>
      <c r="L276" s="11">
        <f>L270*L275</f>
        <v/>
      </c>
      <c r="M276" s="11">
        <f>M270*M275</f>
        <v/>
      </c>
      <c r="N276" s="11">
        <f>N270*N275</f>
        <v/>
      </c>
      <c r="O276" s="11">
        <f>O270*O275</f>
        <v/>
      </c>
      <c r="P276" s="11">
        <f>P270*P275</f>
        <v/>
      </c>
      <c r="Q276" s="11">
        <f>Q270*Q275</f>
        <v/>
      </c>
      <c r="R276" s="11">
        <f>SUM(E276:Q276)</f>
        <v/>
      </c>
    </row>
    <row r="277">
      <c r="C277" s="12" t="inlineStr">
        <is>
          <t>OSA before</t>
        </is>
      </c>
      <c r="D277" s="7" t="inlineStr">
        <is>
          <t>osa before 2026</t>
        </is>
      </c>
      <c r="E277" s="8" t="n">
        <v>0.7188</v>
      </c>
      <c r="F277" s="8" t="n">
        <v>0.7379</v>
      </c>
      <c r="G277" s="8" t="n">
        <v>0.6379</v>
      </c>
      <c r="H277" s="8" t="n">
        <v>0.7268</v>
      </c>
      <c r="I277" s="8" t="n">
        <v>0.7493</v>
      </c>
      <c r="J277" s="8" t="n">
        <v>0.7408</v>
      </c>
      <c r="K277" s="8" t="n">
        <v>0.7427</v>
      </c>
      <c r="L277" s="8" t="n">
        <v>0.7466</v>
      </c>
      <c r="M277" s="9" t="n">
        <v>0.7466</v>
      </c>
      <c r="N277" s="9" t="n">
        <v>0.7466</v>
      </c>
      <c r="O277" s="9" t="n">
        <v>0.7466</v>
      </c>
      <c r="P277" s="9" t="n">
        <v>0.7481</v>
      </c>
      <c r="Q277" s="9" t="n">
        <v>0.7509</v>
      </c>
      <c r="R277" s="8">
        <f>AVERAGE(E277:Q277)</f>
        <v/>
      </c>
    </row>
    <row r="278">
      <c r="C278" s="1" t="n"/>
      <c r="D278" s="7" t="inlineStr">
        <is>
          <t>osa before 2027</t>
        </is>
      </c>
      <c r="E278" s="9" t="n">
        <v>0.7188</v>
      </c>
      <c r="F278" s="9" t="n">
        <v>0.7379</v>
      </c>
      <c r="G278" s="9" t="n">
        <v>0.6379</v>
      </c>
      <c r="H278" s="9" t="n">
        <v>0.7361</v>
      </c>
      <c r="I278" s="9" t="n">
        <v>0.7526</v>
      </c>
      <c r="J278" s="9" t="n">
        <v>0.7445000000000001</v>
      </c>
      <c r="K278" s="9" t="n">
        <v>0.7483</v>
      </c>
      <c r="L278" s="9" t="n">
        <v>0.7544</v>
      </c>
      <c r="M278" s="9" t="n">
        <v>0.7561</v>
      </c>
      <c r="N278" s="9" t="n">
        <v>0.7568</v>
      </c>
      <c r="O278" s="9" t="n">
        <v>0.7576000000000001</v>
      </c>
      <c r="P278" s="9" t="n">
        <v>0.7593</v>
      </c>
      <c r="Q278" s="9" t="n">
        <v>0.7618</v>
      </c>
      <c r="R278" s="9">
        <f>AVERAGE(E278:Q278)</f>
        <v/>
      </c>
    </row>
    <row r="279">
      <c r="C279" s="1" t="n"/>
      <c r="D279" s="7" t="inlineStr">
        <is>
          <t>dif</t>
        </is>
      </c>
      <c r="E279" s="8">
        <f>E278-E277</f>
        <v/>
      </c>
      <c r="F279" s="8">
        <f>F278-F277</f>
        <v/>
      </c>
      <c r="G279" s="8">
        <f>G278-G277</f>
        <v/>
      </c>
      <c r="H279" s="8">
        <f>H278-H277</f>
        <v/>
      </c>
      <c r="I279" s="8">
        <f>I278-I277</f>
        <v/>
      </c>
      <c r="J279" s="8">
        <f>J278-J277</f>
        <v/>
      </c>
      <c r="K279" s="8">
        <f>K278-K277</f>
        <v/>
      </c>
      <c r="L279" s="8">
        <f>L278-L277</f>
        <v/>
      </c>
      <c r="M279" s="8">
        <f>M278-M277</f>
        <v/>
      </c>
      <c r="N279" s="8">
        <f>N278-N277</f>
        <v/>
      </c>
      <c r="O279" s="8">
        <f>O278-O277</f>
        <v/>
      </c>
      <c r="P279" s="8">
        <f>P278-P277</f>
        <v/>
      </c>
      <c r="Q279" s="8">
        <f>Q278-Q277</f>
        <v/>
      </c>
      <c r="R279" s="8">
        <f>R278-R277</f>
        <v/>
      </c>
    </row>
    <row r="280">
      <c r="C280" s="1" t="n"/>
      <c r="D280" s="7" t="inlineStr">
        <is>
          <t>ЭФ-т LSV, %</t>
        </is>
      </c>
      <c r="E280" s="8">
        <f>E279/0.03*0.01</f>
        <v/>
      </c>
      <c r="F280" s="8">
        <f>F279/0.03*0.01</f>
        <v/>
      </c>
      <c r="G280" s="8">
        <f>G279/0.03*0.01</f>
        <v/>
      </c>
      <c r="H280" s="8">
        <f>H279/0.03*0.01</f>
        <v/>
      </c>
      <c r="I280" s="8">
        <f>I279/0.03*0.01</f>
        <v/>
      </c>
      <c r="J280" s="8">
        <f>J279/0.03*0.01</f>
        <v/>
      </c>
      <c r="K280" s="8">
        <f>K279/0.03*0.01</f>
        <v/>
      </c>
      <c r="L280" s="8">
        <f>L279/0.03*0.01</f>
        <v/>
      </c>
      <c r="M280" s="8">
        <f>M279/0.03*0.01</f>
        <v/>
      </c>
      <c r="N280" s="8">
        <f>N279/0.03*0.01</f>
        <v/>
      </c>
      <c r="O280" s="8">
        <f>O279/0.03*0.01</f>
        <v/>
      </c>
      <c r="P280" s="8">
        <f>P279/0.03*0.01</f>
        <v/>
      </c>
      <c r="Q280" s="8">
        <f>Q279/0.03*0.01</f>
        <v/>
      </c>
      <c r="R280" s="8">
        <f>R279/0.03*0.01</f>
        <v/>
      </c>
    </row>
    <row r="281">
      <c r="C281" s="10" t="n"/>
      <c r="D281" s="10" t="inlineStr">
        <is>
          <t>ЭФ-т, млн руб Osa Base</t>
        </is>
      </c>
      <c r="E281" s="11">
        <f>E270*E280</f>
        <v/>
      </c>
      <c r="F281" s="11">
        <f>F270*F280</f>
        <v/>
      </c>
      <c r="G281" s="11">
        <f>G270*G280</f>
        <v/>
      </c>
      <c r="H281" s="11">
        <f>H270*H280</f>
        <v/>
      </c>
      <c r="I281" s="11">
        <f>I270*I280</f>
        <v/>
      </c>
      <c r="J281" s="11">
        <f>J270*J280</f>
        <v/>
      </c>
      <c r="K281" s="11">
        <f>K270*K280</f>
        <v/>
      </c>
      <c r="L281" s="11">
        <f>L270*L280</f>
        <v/>
      </c>
      <c r="M281" s="11">
        <f>M270*M280</f>
        <v/>
      </c>
      <c r="N281" s="11">
        <f>N270*N280</f>
        <v/>
      </c>
      <c r="O281" s="11">
        <f>O270*O280</f>
        <v/>
      </c>
      <c r="P281" s="11">
        <f>P270*P280</f>
        <v/>
      </c>
      <c r="Q281" s="11">
        <f>Q270*Q280</f>
        <v/>
      </c>
      <c r="R281" s="11">
        <f>SUM(E281:Q281)</f>
        <v/>
      </c>
    </row>
    <row r="282">
      <c r="C282" s="12" t="inlineStr">
        <is>
          <t>OSA</t>
        </is>
      </c>
      <c r="D282" s="4" t="inlineStr">
        <is>
          <t>total OSA 2026</t>
        </is>
      </c>
      <c r="E282" s="13">
        <f>MIN(E272+E277,1)</f>
        <v/>
      </c>
      <c r="F282" s="13">
        <f>MIN(F272+F277,1)</f>
        <v/>
      </c>
      <c r="G282" s="13">
        <f>MIN(G272+G277,1)</f>
        <v/>
      </c>
      <c r="H282" s="13">
        <f>MIN(H272+H277,1)</f>
        <v/>
      </c>
      <c r="I282" s="13">
        <f>MIN(I272+I277,1)</f>
        <v/>
      </c>
      <c r="J282" s="13">
        <f>MIN(J272+J277,1)</f>
        <v/>
      </c>
      <c r="K282" s="13">
        <f>MIN(K272+K277,1)</f>
        <v/>
      </c>
      <c r="L282" s="13">
        <f>MIN(L272+L277,1)</f>
        <v/>
      </c>
      <c r="M282" s="13">
        <f>MIN(M272+M277,1)</f>
        <v/>
      </c>
      <c r="N282" s="13">
        <f>MIN(N272+N277,1)</f>
        <v/>
      </c>
      <c r="O282" s="13">
        <f>MIN(O272+O277,1)</f>
        <v/>
      </c>
      <c r="P282" s="13">
        <f>MIN(P272+P277,1)</f>
        <v/>
      </c>
      <c r="Q282" s="13">
        <f>MIN(Q272+Q277,1)</f>
        <v/>
      </c>
      <c r="R282" s="13">
        <f>AVERAGE(E282:Q282)</f>
        <v/>
      </c>
    </row>
    <row r="283">
      <c r="C283" s="2" t="n"/>
      <c r="D283" s="4" t="inlineStr">
        <is>
          <t>total OSA 2027</t>
        </is>
      </c>
      <c r="E283" s="13">
        <f>MIN(E273+E278,1)</f>
        <v/>
      </c>
      <c r="F283" s="13">
        <f>MIN(F273+F278,1)</f>
        <v/>
      </c>
      <c r="G283" s="13">
        <f>MIN(G273+G278,1)</f>
        <v/>
      </c>
      <c r="H283" s="13">
        <f>MIN(H273+H278,1)</f>
        <v/>
      </c>
      <c r="I283" s="13">
        <f>MIN(I273+I278,1)</f>
        <v/>
      </c>
      <c r="J283" s="13">
        <f>MIN(J273+J278,1)</f>
        <v/>
      </c>
      <c r="K283" s="13">
        <f>MIN(K273+K278,1)</f>
        <v/>
      </c>
      <c r="L283" s="13">
        <f>MIN(L273+L278,1)</f>
        <v/>
      </c>
      <c r="M283" s="13">
        <f>MIN(M273+M278,1)</f>
        <v/>
      </c>
      <c r="N283" s="13">
        <f>MIN(N273+N278,1)</f>
        <v/>
      </c>
      <c r="O283" s="13">
        <f>MIN(O273+O278,1)</f>
        <v/>
      </c>
      <c r="P283" s="13">
        <f>MIN(P273+P278,1)</f>
        <v/>
      </c>
      <c r="Q283" s="13">
        <f>MIN(Q273+Q278,1)</f>
        <v/>
      </c>
      <c r="R283" s="13">
        <f>AVERAGE(E283:Q283)</f>
        <v/>
      </c>
    </row>
    <row r="284">
      <c r="C284" s="1" t="n"/>
      <c r="D284" s="7" t="inlineStr">
        <is>
          <t>dif</t>
        </is>
      </c>
      <c r="E284" s="8">
        <f>E283-E282</f>
        <v/>
      </c>
      <c r="F284" s="8">
        <f>F283-F282</f>
        <v/>
      </c>
      <c r="G284" s="8">
        <f>G283-G282</f>
        <v/>
      </c>
      <c r="H284" s="8">
        <f>H283-H282</f>
        <v/>
      </c>
      <c r="I284" s="8">
        <f>I283-I282</f>
        <v/>
      </c>
      <c r="J284" s="8">
        <f>J283-J282</f>
        <v/>
      </c>
      <c r="K284" s="8">
        <f>K283-K282</f>
        <v/>
      </c>
      <c r="L284" s="8">
        <f>L283-L282</f>
        <v/>
      </c>
      <c r="M284" s="8">
        <f>M283-M282</f>
        <v/>
      </c>
      <c r="N284" s="8">
        <f>N283-N282</f>
        <v/>
      </c>
      <c r="O284" s="8">
        <f>O283-O282</f>
        <v/>
      </c>
      <c r="P284" s="8">
        <f>P283-P282</f>
        <v/>
      </c>
      <c r="Q284" s="8">
        <f>Q283-Q282</f>
        <v/>
      </c>
      <c r="R284" s="8">
        <f>R283-R282</f>
        <v/>
      </c>
    </row>
    <row r="285">
      <c r="C285" s="10" t="n"/>
      <c r="D285" s="10" t="inlineStr">
        <is>
          <t>total 2027 млн руб</t>
        </is>
      </c>
      <c r="E285" s="11">
        <f>E276+E281</f>
        <v/>
      </c>
      <c r="F285" s="11">
        <f>F276+F281</f>
        <v/>
      </c>
      <c r="G285" s="11">
        <f>G276+G281</f>
        <v/>
      </c>
      <c r="H285" s="11">
        <f>H276+H281</f>
        <v/>
      </c>
      <c r="I285" s="11">
        <f>I276+I281</f>
        <v/>
      </c>
      <c r="J285" s="11">
        <f>J276+J281</f>
        <v/>
      </c>
      <c r="K285" s="11">
        <f>K276+K281</f>
        <v/>
      </c>
      <c r="L285" s="11">
        <f>L276+L281</f>
        <v/>
      </c>
      <c r="M285" s="11">
        <f>M276+M281</f>
        <v/>
      </c>
      <c r="N285" s="11">
        <f>N276+N281</f>
        <v/>
      </c>
      <c r="O285" s="11">
        <f>O276+O281</f>
        <v/>
      </c>
      <c r="P285" s="11">
        <f>P276+P281</f>
        <v/>
      </c>
      <c r="Q285" s="11">
        <f>Q276+Q281</f>
        <v/>
      </c>
      <c r="R285" s="11">
        <f>R276+R281</f>
        <v/>
      </c>
    </row>
    <row r="288">
      <c r="C288" s="1" t="n"/>
      <c r="D288" s="1" t="n"/>
      <c r="E288" s="2" t="inlineStr">
        <is>
          <t>P1</t>
        </is>
      </c>
      <c r="F288" s="2" t="inlineStr">
        <is>
          <t>P2</t>
        </is>
      </c>
      <c r="G288" s="2" t="inlineStr">
        <is>
          <t>P3</t>
        </is>
      </c>
      <c r="H288" s="2" t="inlineStr">
        <is>
          <t>P4</t>
        </is>
      </c>
      <c r="I288" s="2" t="inlineStr">
        <is>
          <t>P5</t>
        </is>
      </c>
      <c r="J288" s="2" t="inlineStr">
        <is>
          <t>P6</t>
        </is>
      </c>
      <c r="K288" s="2" t="inlineStr">
        <is>
          <t>P7</t>
        </is>
      </c>
      <c r="L288" s="2" t="inlineStr">
        <is>
          <t>P8</t>
        </is>
      </c>
      <c r="M288" s="2" t="inlineStr">
        <is>
          <t>P9</t>
        </is>
      </c>
      <c r="N288" s="2" t="inlineStr">
        <is>
          <t>P10</t>
        </is>
      </c>
      <c r="O288" s="2" t="inlineStr">
        <is>
          <t>P11</t>
        </is>
      </c>
      <c r="P288" s="2" t="inlineStr">
        <is>
          <t>P12</t>
        </is>
      </c>
      <c r="Q288" s="2" t="inlineStr">
        <is>
          <t>P13</t>
        </is>
      </c>
      <c r="R288" s="2" t="inlineStr">
        <is>
          <t>total</t>
        </is>
      </c>
    </row>
    <row r="289">
      <c r="C289" s="3" t="inlineStr">
        <is>
          <t>Монетка Урал</t>
        </is>
      </c>
      <c r="D289" s="4" t="inlineStr">
        <is>
          <t>DMR</t>
        </is>
      </c>
      <c r="E289" s="5" t="n">
        <v>248180056.6478075</v>
      </c>
      <c r="F289" s="5" t="n">
        <v>218240409.0538318</v>
      </c>
      <c r="G289" s="5" t="n">
        <v>164275704.5550451</v>
      </c>
      <c r="H289" s="5" t="n">
        <v>115597483.2799874</v>
      </c>
      <c r="I289" s="5" t="n">
        <v>147291690.8899941</v>
      </c>
      <c r="J289" s="5" t="n">
        <v>190412045.9700161</v>
      </c>
      <c r="K289" s="5" t="n">
        <v>198983281.2799287</v>
      </c>
      <c r="L289" s="5" t="n">
        <v>238169107.3401408</v>
      </c>
      <c r="M289" s="5" t="n">
        <v>220000000</v>
      </c>
      <c r="N289" s="5" t="n">
        <v>247489172.621403</v>
      </c>
      <c r="O289" s="5" t="n">
        <v>270326275.919872</v>
      </c>
      <c r="P289" s="5" t="n">
        <v>278225849.526571</v>
      </c>
      <c r="Q289" s="5" t="n">
        <v>284870000</v>
      </c>
      <c r="R289" s="5">
        <f>SUM(E289:Q289)</f>
        <v/>
      </c>
    </row>
    <row r="290">
      <c r="C290" s="6" t="n"/>
      <c r="D290" s="7" t="inlineStr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</row>
    <row r="291">
      <c r="C291" s="1" t="n"/>
      <c r="D291" s="7" t="inlineStr">
        <is>
          <t>Merch Impact 2026</t>
        </is>
      </c>
      <c r="E291" s="8" t="n">
        <v>0.2047</v>
      </c>
      <c r="F291" s="8" t="n">
        <v>0.2114</v>
      </c>
      <c r="G291" s="8" t="n">
        <v>0.2129</v>
      </c>
      <c r="H291" s="8" t="n">
        <v>0.219</v>
      </c>
      <c r="I291" s="8" t="n">
        <v>0.2047</v>
      </c>
      <c r="J291" s="8" t="n">
        <v>0.2135</v>
      </c>
      <c r="K291" s="8" t="n">
        <v>0.2056</v>
      </c>
      <c r="L291" s="8" t="n">
        <v>0.1999</v>
      </c>
      <c r="M291" s="9" t="n">
        <v>0.2044</v>
      </c>
      <c r="N291" s="9" t="n">
        <v>0.2106</v>
      </c>
      <c r="O291" s="9" t="n">
        <v>0.2151</v>
      </c>
      <c r="P291" s="9" t="n">
        <v>0.2191</v>
      </c>
      <c r="Q291" s="9" t="n">
        <v>0.2251</v>
      </c>
      <c r="R291" s="8">
        <f>AVERAGE(E291:Q291)</f>
        <v/>
      </c>
    </row>
    <row r="292">
      <c r="C292" s="1" t="n"/>
      <c r="D292" s="7" t="inlineStr">
        <is>
          <t>Merch Impact 2027</t>
        </is>
      </c>
      <c r="E292" s="9" t="n">
        <v>0.2188</v>
      </c>
      <c r="F292" s="9" t="n">
        <v>0.2188</v>
      </c>
      <c r="G292" s="9" t="n">
        <v>0.2245</v>
      </c>
      <c r="H292" s="9" t="n">
        <v>0.2289</v>
      </c>
      <c r="I292" s="9" t="n">
        <v>0.2138</v>
      </c>
      <c r="J292" s="9" t="n">
        <v>0.2239</v>
      </c>
      <c r="K292" s="9" t="n">
        <v>0.2216</v>
      </c>
      <c r="L292" s="9" t="n">
        <v>0.2087</v>
      </c>
      <c r="M292" s="9" t="n">
        <v>0.2151</v>
      </c>
      <c r="N292" s="9" t="n">
        <v>0.2237</v>
      </c>
      <c r="O292" s="9" t="n">
        <v>0.2334</v>
      </c>
      <c r="P292" s="9" t="n">
        <v>0.2339</v>
      </c>
      <c r="Q292" s="9" t="n">
        <v>0.2358</v>
      </c>
      <c r="R292" s="9">
        <f>AVERAGE(E292:Q292)</f>
        <v/>
      </c>
    </row>
    <row r="293">
      <c r="C293" s="1" t="n"/>
      <c r="D293" s="7" t="inlineStr">
        <is>
          <t>dif</t>
        </is>
      </c>
      <c r="E293" s="8">
        <f>E292-E291</f>
        <v/>
      </c>
      <c r="F293" s="8">
        <f>F292-F291</f>
        <v/>
      </c>
      <c r="G293" s="8">
        <f>G292-G291</f>
        <v/>
      </c>
      <c r="H293" s="8">
        <f>H292-H291</f>
        <v/>
      </c>
      <c r="I293" s="8">
        <f>I292-I291</f>
        <v/>
      </c>
      <c r="J293" s="8">
        <f>J292-J291</f>
        <v/>
      </c>
      <c r="K293" s="8">
        <f>K292-K291</f>
        <v/>
      </c>
      <c r="L293" s="8">
        <f>L292-L291</f>
        <v/>
      </c>
      <c r="M293" s="8">
        <f>M292-M291</f>
        <v/>
      </c>
      <c r="N293" s="8">
        <f>N292-N291</f>
        <v/>
      </c>
      <c r="O293" s="8">
        <f>O292-O291</f>
        <v/>
      </c>
      <c r="P293" s="8">
        <f>P292-P291</f>
        <v/>
      </c>
      <c r="Q293" s="8">
        <f>Q292-Q291</f>
        <v/>
      </c>
      <c r="R293" s="8">
        <f>R292-R291</f>
        <v/>
      </c>
    </row>
    <row r="294">
      <c r="C294" s="1" t="n"/>
      <c r="D294" s="7" t="inlineStr">
        <is>
          <t>ЭФ-т LSV, %</t>
        </is>
      </c>
      <c r="E294" s="8">
        <f>E293/0.03*0.01</f>
        <v/>
      </c>
      <c r="F294" s="8">
        <f>F293/0.03*0.01</f>
        <v/>
      </c>
      <c r="G294" s="8">
        <f>G293/0.03*0.01</f>
        <v/>
      </c>
      <c r="H294" s="8">
        <f>H293/0.03*0.01</f>
        <v/>
      </c>
      <c r="I294" s="8">
        <f>I293/0.03*0.01</f>
        <v/>
      </c>
      <c r="J294" s="8">
        <f>J293/0.03*0.01</f>
        <v/>
      </c>
      <c r="K294" s="8">
        <f>K293/0.03*0.01</f>
        <v/>
      </c>
      <c r="L294" s="8">
        <f>L293/0.03*0.01</f>
        <v/>
      </c>
      <c r="M294" s="8">
        <f>M293/0.03*0.01</f>
        <v/>
      </c>
      <c r="N294" s="8">
        <f>N293/0.03*0.01</f>
        <v/>
      </c>
      <c r="O294" s="8">
        <f>O293/0.03*0.01</f>
        <v/>
      </c>
      <c r="P294" s="8">
        <f>P293/0.03*0.01</f>
        <v/>
      </c>
      <c r="Q294" s="8">
        <f>Q293/0.03*0.01</f>
        <v/>
      </c>
      <c r="R294" s="8">
        <f>R293/0.03*0.01</f>
        <v/>
      </c>
    </row>
    <row r="295">
      <c r="C295" s="10" t="n"/>
      <c r="D295" s="10" t="inlineStr">
        <is>
          <t>ЭФ-т, млн руб Merch in</t>
        </is>
      </c>
      <c r="E295" s="11">
        <f>E289*E294</f>
        <v/>
      </c>
      <c r="F295" s="11">
        <f>F289*F294</f>
        <v/>
      </c>
      <c r="G295" s="11">
        <f>G289*G294</f>
        <v/>
      </c>
      <c r="H295" s="11">
        <f>H289*H294</f>
        <v/>
      </c>
      <c r="I295" s="11">
        <f>I289*I294</f>
        <v/>
      </c>
      <c r="J295" s="11">
        <f>J289*J294</f>
        <v/>
      </c>
      <c r="K295" s="11">
        <f>K289*K294</f>
        <v/>
      </c>
      <c r="L295" s="11">
        <f>L289*L294</f>
        <v/>
      </c>
      <c r="M295" s="11">
        <f>M289*M294</f>
        <v/>
      </c>
      <c r="N295" s="11">
        <f>N289*N294</f>
        <v/>
      </c>
      <c r="O295" s="11">
        <f>O289*O294</f>
        <v/>
      </c>
      <c r="P295" s="11">
        <f>P289*P294</f>
        <v/>
      </c>
      <c r="Q295" s="11">
        <f>Q289*Q294</f>
        <v/>
      </c>
      <c r="R295" s="11">
        <f>SUM(E295:Q295)</f>
        <v/>
      </c>
    </row>
    <row r="296">
      <c r="C296" s="12" t="inlineStr">
        <is>
          <t>OSA before</t>
        </is>
      </c>
      <c r="D296" s="7" t="inlineStr">
        <is>
          <t>osa before 2026</t>
        </is>
      </c>
      <c r="E296" s="8" t="n">
        <v>0.7068</v>
      </c>
      <c r="F296" s="8" t="n">
        <v>0.7075</v>
      </c>
      <c r="G296" s="8" t="n">
        <v>0.7099</v>
      </c>
      <c r="H296" s="8" t="n">
        <v>0.7088</v>
      </c>
      <c r="I296" s="8" t="n">
        <v>0.726</v>
      </c>
      <c r="J296" s="8" t="n">
        <v>0.72</v>
      </c>
      <c r="K296" s="8" t="n">
        <v>0.7393</v>
      </c>
      <c r="L296" s="8" t="n">
        <v>0.7477</v>
      </c>
      <c r="M296" s="9" t="n">
        <v>0.7486</v>
      </c>
      <c r="N296" s="9" t="n">
        <v>0.7495000000000001</v>
      </c>
      <c r="O296" s="9" t="n">
        <v>0.7495000000000001</v>
      </c>
      <c r="P296" s="9" t="n">
        <v>0.7495000000000001</v>
      </c>
      <c r="Q296" s="9" t="n">
        <v>0.7517</v>
      </c>
      <c r="R296" s="8">
        <f>AVERAGE(E296:Q296)</f>
        <v/>
      </c>
    </row>
    <row r="297">
      <c r="C297" s="1" t="n"/>
      <c r="D297" s="7" t="inlineStr">
        <is>
          <t>osa before 2027</t>
        </is>
      </c>
      <c r="E297" s="9" t="n">
        <v>0.7069</v>
      </c>
      <c r="F297" s="9" t="n">
        <v>0.7091</v>
      </c>
      <c r="G297" s="9" t="n">
        <v>0.7129</v>
      </c>
      <c r="H297" s="9" t="n">
        <v>0.7143</v>
      </c>
      <c r="I297" s="9" t="n">
        <v>0.7338</v>
      </c>
      <c r="J297" s="9" t="n">
        <v>0.7292999999999999</v>
      </c>
      <c r="K297" s="9" t="n">
        <v>0.7466</v>
      </c>
      <c r="L297" s="9" t="n">
        <v>0.7543</v>
      </c>
      <c r="M297" s="9" t="n">
        <v>0.7552</v>
      </c>
      <c r="N297" s="9" t="n">
        <v>0.7568</v>
      </c>
      <c r="O297" s="9" t="n">
        <v>0.7593</v>
      </c>
      <c r="P297" s="9" t="n">
        <v>0.7608</v>
      </c>
      <c r="Q297" s="9" t="n">
        <v>0.7627</v>
      </c>
      <c r="R297" s="9">
        <f>AVERAGE(E297:Q297)</f>
        <v/>
      </c>
    </row>
    <row r="298">
      <c r="C298" s="1" t="n"/>
      <c r="D298" s="7" t="inlineStr">
        <is>
          <t>dif</t>
        </is>
      </c>
      <c r="E298" s="8">
        <f>E297-E296</f>
        <v/>
      </c>
      <c r="F298" s="8">
        <f>F297-F296</f>
        <v/>
      </c>
      <c r="G298" s="8">
        <f>G297-G296</f>
        <v/>
      </c>
      <c r="H298" s="8">
        <f>H297-H296</f>
        <v/>
      </c>
      <c r="I298" s="8">
        <f>I297-I296</f>
        <v/>
      </c>
      <c r="J298" s="8">
        <f>J297-J296</f>
        <v/>
      </c>
      <c r="K298" s="8">
        <f>K297-K296</f>
        <v/>
      </c>
      <c r="L298" s="8">
        <f>L297-L296</f>
        <v/>
      </c>
      <c r="M298" s="8">
        <f>M297-M296</f>
        <v/>
      </c>
      <c r="N298" s="8">
        <f>N297-N296</f>
        <v/>
      </c>
      <c r="O298" s="8">
        <f>O297-O296</f>
        <v/>
      </c>
      <c r="P298" s="8">
        <f>P297-P296</f>
        <v/>
      </c>
      <c r="Q298" s="8">
        <f>Q297-Q296</f>
        <v/>
      </c>
      <c r="R298" s="8">
        <f>R297-R296</f>
        <v/>
      </c>
    </row>
    <row r="299">
      <c r="C299" s="1" t="n"/>
      <c r="D299" s="7" t="inlineStr">
        <is>
          <t>ЭФ-т LSV, %</t>
        </is>
      </c>
      <c r="E299" s="8">
        <f>E298/0.03*0.01</f>
        <v/>
      </c>
      <c r="F299" s="8">
        <f>F298/0.03*0.01</f>
        <v/>
      </c>
      <c r="G299" s="8">
        <f>G298/0.03*0.01</f>
        <v/>
      </c>
      <c r="H299" s="8">
        <f>H298/0.03*0.01</f>
        <v/>
      </c>
      <c r="I299" s="8">
        <f>I298/0.03*0.01</f>
        <v/>
      </c>
      <c r="J299" s="8">
        <f>J298/0.03*0.01</f>
        <v/>
      </c>
      <c r="K299" s="8">
        <f>K298/0.03*0.01</f>
        <v/>
      </c>
      <c r="L299" s="8">
        <f>L298/0.03*0.01</f>
        <v/>
      </c>
      <c r="M299" s="8">
        <f>M298/0.03*0.01</f>
        <v/>
      </c>
      <c r="N299" s="8">
        <f>N298/0.03*0.01</f>
        <v/>
      </c>
      <c r="O299" s="8">
        <f>O298/0.03*0.01</f>
        <v/>
      </c>
      <c r="P299" s="8">
        <f>P298/0.03*0.01</f>
        <v/>
      </c>
      <c r="Q299" s="8">
        <f>Q298/0.03*0.01</f>
        <v/>
      </c>
      <c r="R299" s="8">
        <f>R298/0.03*0.01</f>
        <v/>
      </c>
    </row>
    <row r="300">
      <c r="C300" s="10" t="n"/>
      <c r="D300" s="10" t="inlineStr">
        <is>
          <t>ЭФ-т, млн руб Osa Base</t>
        </is>
      </c>
      <c r="E300" s="11">
        <f>E289*E299</f>
        <v/>
      </c>
      <c r="F300" s="11">
        <f>F289*F299</f>
        <v/>
      </c>
      <c r="G300" s="11">
        <f>G289*G299</f>
        <v/>
      </c>
      <c r="H300" s="11">
        <f>H289*H299</f>
        <v/>
      </c>
      <c r="I300" s="11">
        <f>I289*I299</f>
        <v/>
      </c>
      <c r="J300" s="11">
        <f>J289*J299</f>
        <v/>
      </c>
      <c r="K300" s="11">
        <f>K289*K299</f>
        <v/>
      </c>
      <c r="L300" s="11">
        <f>L289*L299</f>
        <v/>
      </c>
      <c r="M300" s="11">
        <f>M289*M299</f>
        <v/>
      </c>
      <c r="N300" s="11">
        <f>N289*N299</f>
        <v/>
      </c>
      <c r="O300" s="11">
        <f>O289*O299</f>
        <v/>
      </c>
      <c r="P300" s="11">
        <f>P289*P299</f>
        <v/>
      </c>
      <c r="Q300" s="11">
        <f>Q289*Q299</f>
        <v/>
      </c>
      <c r="R300" s="11">
        <f>SUM(E300:Q300)</f>
        <v/>
      </c>
    </row>
    <row r="301">
      <c r="C301" s="12" t="inlineStr">
        <is>
          <t>OSA</t>
        </is>
      </c>
      <c r="D301" s="4" t="inlineStr">
        <is>
          <t>total OSA 2026</t>
        </is>
      </c>
      <c r="E301" s="13">
        <f>MIN(E291+E296,1)</f>
        <v/>
      </c>
      <c r="F301" s="13">
        <f>MIN(F291+F296,1)</f>
        <v/>
      </c>
      <c r="G301" s="13">
        <f>MIN(G291+G296,1)</f>
        <v/>
      </c>
      <c r="H301" s="13">
        <f>MIN(H291+H296,1)</f>
        <v/>
      </c>
      <c r="I301" s="13">
        <f>MIN(I291+I296,1)</f>
        <v/>
      </c>
      <c r="J301" s="13">
        <f>MIN(J291+J296,1)</f>
        <v/>
      </c>
      <c r="K301" s="13">
        <f>MIN(K291+K296,1)</f>
        <v/>
      </c>
      <c r="L301" s="13">
        <f>MIN(L291+L296,1)</f>
        <v/>
      </c>
      <c r="M301" s="13">
        <f>MIN(M291+M296,1)</f>
        <v/>
      </c>
      <c r="N301" s="13">
        <f>MIN(N291+N296,1)</f>
        <v/>
      </c>
      <c r="O301" s="13">
        <f>MIN(O291+O296,1)</f>
        <v/>
      </c>
      <c r="P301" s="13">
        <f>MIN(P291+P296,1)</f>
        <v/>
      </c>
      <c r="Q301" s="13">
        <f>MIN(Q291+Q296,1)</f>
        <v/>
      </c>
      <c r="R301" s="13">
        <f>AVERAGE(E301:Q301)</f>
        <v/>
      </c>
    </row>
    <row r="302">
      <c r="C302" s="2" t="n"/>
      <c r="D302" s="4" t="inlineStr">
        <is>
          <t>total OSA 2027</t>
        </is>
      </c>
      <c r="E302" s="13">
        <f>MIN(E292+E297,1)</f>
        <v/>
      </c>
      <c r="F302" s="13">
        <f>MIN(F292+F297,1)</f>
        <v/>
      </c>
      <c r="G302" s="13">
        <f>MIN(G292+G297,1)</f>
        <v/>
      </c>
      <c r="H302" s="13">
        <f>MIN(H292+H297,1)</f>
        <v/>
      </c>
      <c r="I302" s="13">
        <f>MIN(I292+I297,1)</f>
        <v/>
      </c>
      <c r="J302" s="13">
        <f>MIN(J292+J297,1)</f>
        <v/>
      </c>
      <c r="K302" s="13">
        <f>MIN(K292+K297,1)</f>
        <v/>
      </c>
      <c r="L302" s="13">
        <f>MIN(L292+L297,1)</f>
        <v/>
      </c>
      <c r="M302" s="13">
        <f>MIN(M292+M297,1)</f>
        <v/>
      </c>
      <c r="N302" s="13">
        <f>MIN(N292+N297,1)</f>
        <v/>
      </c>
      <c r="O302" s="13">
        <f>MIN(O292+O297,1)</f>
        <v/>
      </c>
      <c r="P302" s="13">
        <f>MIN(P292+P297,1)</f>
        <v/>
      </c>
      <c r="Q302" s="13">
        <f>MIN(Q292+Q297,1)</f>
        <v/>
      </c>
      <c r="R302" s="13">
        <f>AVERAGE(E302:Q302)</f>
        <v/>
      </c>
    </row>
    <row r="303">
      <c r="C303" s="1" t="n"/>
      <c r="D303" s="7" t="inlineStr">
        <is>
          <t>dif</t>
        </is>
      </c>
      <c r="E303" s="8">
        <f>E302-E301</f>
        <v/>
      </c>
      <c r="F303" s="8">
        <f>F302-F301</f>
        <v/>
      </c>
      <c r="G303" s="8">
        <f>G302-G301</f>
        <v/>
      </c>
      <c r="H303" s="8">
        <f>H302-H301</f>
        <v/>
      </c>
      <c r="I303" s="8">
        <f>I302-I301</f>
        <v/>
      </c>
      <c r="J303" s="8">
        <f>J302-J301</f>
        <v/>
      </c>
      <c r="K303" s="8">
        <f>K302-K301</f>
        <v/>
      </c>
      <c r="L303" s="8">
        <f>L302-L301</f>
        <v/>
      </c>
      <c r="M303" s="8">
        <f>M302-M301</f>
        <v/>
      </c>
      <c r="N303" s="8">
        <f>N302-N301</f>
        <v/>
      </c>
      <c r="O303" s="8">
        <f>O302-O301</f>
        <v/>
      </c>
      <c r="P303" s="8">
        <f>P302-P301</f>
        <v/>
      </c>
      <c r="Q303" s="8">
        <f>Q302-Q301</f>
        <v/>
      </c>
      <c r="R303" s="8">
        <f>R302-R301</f>
        <v/>
      </c>
    </row>
    <row r="304">
      <c r="C304" s="10" t="n"/>
      <c r="D304" s="10" t="inlineStr">
        <is>
          <t>total 2027 млн руб</t>
        </is>
      </c>
      <c r="E304" s="11">
        <f>E295+E300</f>
        <v/>
      </c>
      <c r="F304" s="11">
        <f>F295+F300</f>
        <v/>
      </c>
      <c r="G304" s="11">
        <f>G295+G300</f>
        <v/>
      </c>
      <c r="H304" s="11">
        <f>H295+H300</f>
        <v/>
      </c>
      <c r="I304" s="11">
        <f>I295+I300</f>
        <v/>
      </c>
      <c r="J304" s="11">
        <f>J295+J300</f>
        <v/>
      </c>
      <c r="K304" s="11">
        <f>K295+K300</f>
        <v/>
      </c>
      <c r="L304" s="11">
        <f>L295+L300</f>
        <v/>
      </c>
      <c r="M304" s="11">
        <f>M295+M300</f>
        <v/>
      </c>
      <c r="N304" s="11">
        <f>N295+N300</f>
        <v/>
      </c>
      <c r="O304" s="11">
        <f>O295+O300</f>
        <v/>
      </c>
      <c r="P304" s="11">
        <f>P295+P300</f>
        <v/>
      </c>
      <c r="Q304" s="11">
        <f>Q295+Q300</f>
        <v/>
      </c>
      <c r="R304" s="11">
        <f>R295+R300</f>
        <v/>
      </c>
    </row>
    <row r="307">
      <c r="C307" s="1" t="n"/>
      <c r="D307" s="1" t="n"/>
      <c r="E307" s="2" t="inlineStr">
        <is>
          <t>P1</t>
        </is>
      </c>
      <c r="F307" s="2" t="inlineStr">
        <is>
          <t>P2</t>
        </is>
      </c>
      <c r="G307" s="2" t="inlineStr">
        <is>
          <t>P3</t>
        </is>
      </c>
      <c r="H307" s="2" t="inlineStr">
        <is>
          <t>P4</t>
        </is>
      </c>
      <c r="I307" s="2" t="inlineStr">
        <is>
          <t>P5</t>
        </is>
      </c>
      <c r="J307" s="2" t="inlineStr">
        <is>
          <t>P6</t>
        </is>
      </c>
      <c r="K307" s="2" t="inlineStr">
        <is>
          <t>P7</t>
        </is>
      </c>
      <c r="L307" s="2" t="inlineStr">
        <is>
          <t>P8</t>
        </is>
      </c>
      <c r="M307" s="2" t="inlineStr">
        <is>
          <t>P9</t>
        </is>
      </c>
      <c r="N307" s="2" t="inlineStr">
        <is>
          <t>P10</t>
        </is>
      </c>
      <c r="O307" s="2" t="inlineStr">
        <is>
          <t>P11</t>
        </is>
      </c>
      <c r="P307" s="2" t="inlineStr">
        <is>
          <t>P12</t>
        </is>
      </c>
      <c r="Q307" s="2" t="inlineStr">
        <is>
          <t>P13</t>
        </is>
      </c>
      <c r="R307" s="2" t="inlineStr">
        <is>
          <t>total</t>
        </is>
      </c>
    </row>
    <row r="308">
      <c r="C308" s="3" t="inlineStr">
        <is>
          <t>Близкий</t>
        </is>
      </c>
      <c r="D308" s="4" t="inlineStr">
        <is>
          <t>DMR</t>
        </is>
      </c>
      <c r="E308" s="5" t="n">
        <v>29569196.19000104</v>
      </c>
      <c r="F308" s="5" t="n">
        <v>32681295.57999919</v>
      </c>
      <c r="G308" s="5" t="n">
        <v>35179164.91999668</v>
      </c>
      <c r="H308" s="5" t="n">
        <v>40469003.1499978</v>
      </c>
      <c r="I308" s="5" t="n">
        <v>39017390.34999709</v>
      </c>
      <c r="J308" s="5" t="n">
        <v>37292937.29999587</v>
      </c>
      <c r="K308" s="5" t="n">
        <v>40595467.74999945</v>
      </c>
      <c r="L308" s="5" t="n">
        <v>38683537.04999926</v>
      </c>
      <c r="M308" s="5" t="n">
        <v>36266505.53052653</v>
      </c>
      <c r="N308" s="5" t="n">
        <v>35861785.79553507</v>
      </c>
      <c r="O308" s="5" t="n">
        <v>35582112.67861975</v>
      </c>
      <c r="P308" s="5" t="n">
        <v>35464023.25720692</v>
      </c>
      <c r="Q308" s="5" t="n">
        <v>38571892.20506713</v>
      </c>
      <c r="R308" s="5">
        <f>SUM(E308:Q308)</f>
        <v/>
      </c>
    </row>
    <row r="309">
      <c r="C309" s="6" t="n"/>
      <c r="D309" s="7" t="inlineStr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</row>
    <row r="310">
      <c r="C310" s="1" t="n"/>
      <c r="D310" s="7" t="inlineStr">
        <is>
          <t>Merch Impact 2026</t>
        </is>
      </c>
      <c r="E310" s="8" t="n">
        <v>0.2586</v>
      </c>
      <c r="F310" s="8" t="n">
        <v>0.2156</v>
      </c>
      <c r="G310" s="8" t="n">
        <v>0.2054</v>
      </c>
      <c r="H310" s="8" t="n">
        <v>0.2015</v>
      </c>
      <c r="I310" s="8" t="n">
        <v>0.2278</v>
      </c>
      <c r="J310" s="8" t="n">
        <v>0.2587</v>
      </c>
      <c r="K310" s="8" t="n">
        <v>0.2263</v>
      </c>
      <c r="L310" s="8" t="n">
        <v>0.2289</v>
      </c>
      <c r="M310" s="9" t="n">
        <v>0.2347</v>
      </c>
      <c r="N310" s="9" t="n">
        <v>0.2393</v>
      </c>
      <c r="O310" s="9" t="n">
        <v>0.2429</v>
      </c>
      <c r="P310" s="9" t="n">
        <v>0.2471</v>
      </c>
      <c r="Q310" s="9" t="n">
        <v>0.2504</v>
      </c>
      <c r="R310" s="8">
        <f>AVERAGE(E310:Q310)</f>
        <v/>
      </c>
    </row>
    <row r="311">
      <c r="C311" s="1" t="n"/>
      <c r="D311" s="7" t="inlineStr">
        <is>
          <t>Merch Impact 2027</t>
        </is>
      </c>
      <c r="E311" s="9" t="n">
        <v>0.2715</v>
      </c>
      <c r="F311" s="9" t="n">
        <v>0.2278</v>
      </c>
      <c r="G311" s="9" t="n">
        <v>0.2247</v>
      </c>
      <c r="H311" s="9" t="n">
        <v>0.2124</v>
      </c>
      <c r="I311" s="9" t="n">
        <v>0.2406</v>
      </c>
      <c r="J311" s="9" t="n">
        <v>0.2786</v>
      </c>
      <c r="K311" s="9" t="n">
        <v>0.2397</v>
      </c>
      <c r="L311" s="9" t="n">
        <v>0.2437</v>
      </c>
      <c r="M311" s="9" t="n">
        <v>0.249</v>
      </c>
      <c r="N311" s="9" t="n">
        <v>0.254</v>
      </c>
      <c r="O311" s="9" t="n">
        <v>0.2613</v>
      </c>
      <c r="P311" s="9" t="n">
        <v>0.2587</v>
      </c>
      <c r="Q311" s="9" t="n">
        <v>0.2592</v>
      </c>
      <c r="R311" s="9">
        <f>AVERAGE(E311:Q311)</f>
        <v/>
      </c>
    </row>
    <row r="312">
      <c r="C312" s="1" t="n"/>
      <c r="D312" s="7" t="inlineStr">
        <is>
          <t>dif</t>
        </is>
      </c>
      <c r="E312" s="8">
        <f>E311-E310</f>
        <v/>
      </c>
      <c r="F312" s="8">
        <f>F311-F310</f>
        <v/>
      </c>
      <c r="G312" s="8">
        <f>G311-G310</f>
        <v/>
      </c>
      <c r="H312" s="8">
        <f>H311-H310</f>
        <v/>
      </c>
      <c r="I312" s="8">
        <f>I311-I310</f>
        <v/>
      </c>
      <c r="J312" s="8">
        <f>J311-J310</f>
        <v/>
      </c>
      <c r="K312" s="8">
        <f>K311-K310</f>
        <v/>
      </c>
      <c r="L312" s="8">
        <f>L311-L310</f>
        <v/>
      </c>
      <c r="M312" s="8">
        <f>M311-M310</f>
        <v/>
      </c>
      <c r="N312" s="8">
        <f>N311-N310</f>
        <v/>
      </c>
      <c r="O312" s="8">
        <f>O311-O310</f>
        <v/>
      </c>
      <c r="P312" s="8">
        <f>P311-P310</f>
        <v/>
      </c>
      <c r="Q312" s="8">
        <f>Q311-Q310</f>
        <v/>
      </c>
      <c r="R312" s="8">
        <f>R311-R310</f>
        <v/>
      </c>
    </row>
    <row r="313">
      <c r="C313" s="1" t="n"/>
      <c r="D313" s="7" t="inlineStr">
        <is>
          <t>ЭФ-т LSV, %</t>
        </is>
      </c>
      <c r="E313" s="8">
        <f>E312/0.03*0.01</f>
        <v/>
      </c>
      <c r="F313" s="8">
        <f>F312/0.03*0.01</f>
        <v/>
      </c>
      <c r="G313" s="8">
        <f>G312/0.03*0.01</f>
        <v/>
      </c>
      <c r="H313" s="8">
        <f>H312/0.03*0.01</f>
        <v/>
      </c>
      <c r="I313" s="8">
        <f>I312/0.03*0.01</f>
        <v/>
      </c>
      <c r="J313" s="8">
        <f>J312/0.03*0.01</f>
        <v/>
      </c>
      <c r="K313" s="8">
        <f>K312/0.03*0.01</f>
        <v/>
      </c>
      <c r="L313" s="8">
        <f>L312/0.03*0.01</f>
        <v/>
      </c>
      <c r="M313" s="8">
        <f>M312/0.03*0.01</f>
        <v/>
      </c>
      <c r="N313" s="8">
        <f>N312/0.03*0.01</f>
        <v/>
      </c>
      <c r="O313" s="8">
        <f>O312/0.03*0.01</f>
        <v/>
      </c>
      <c r="P313" s="8">
        <f>P312/0.03*0.01</f>
        <v/>
      </c>
      <c r="Q313" s="8">
        <f>Q312/0.03*0.01</f>
        <v/>
      </c>
      <c r="R313" s="8">
        <f>R312/0.03*0.01</f>
        <v/>
      </c>
    </row>
    <row r="314">
      <c r="C314" s="10" t="n"/>
      <c r="D314" s="10" t="inlineStr">
        <is>
          <t>ЭФ-т, млн руб Merch in</t>
        </is>
      </c>
      <c r="E314" s="11">
        <f>E308*E313</f>
        <v/>
      </c>
      <c r="F314" s="11">
        <f>F308*F313</f>
        <v/>
      </c>
      <c r="G314" s="11">
        <f>G308*G313</f>
        <v/>
      </c>
      <c r="H314" s="11">
        <f>H308*H313</f>
        <v/>
      </c>
      <c r="I314" s="11">
        <f>I308*I313</f>
        <v/>
      </c>
      <c r="J314" s="11">
        <f>J308*J313</f>
        <v/>
      </c>
      <c r="K314" s="11">
        <f>K308*K313</f>
        <v/>
      </c>
      <c r="L314" s="11">
        <f>L308*L313</f>
        <v/>
      </c>
      <c r="M314" s="11">
        <f>M308*M313</f>
        <v/>
      </c>
      <c r="N314" s="11">
        <f>N308*N313</f>
        <v/>
      </c>
      <c r="O314" s="11">
        <f>O308*O313</f>
        <v/>
      </c>
      <c r="P314" s="11">
        <f>P308*P313</f>
        <v/>
      </c>
      <c r="Q314" s="11">
        <f>Q308*Q313</f>
        <v/>
      </c>
      <c r="R314" s="11">
        <f>SUM(E314:Q314)</f>
        <v/>
      </c>
    </row>
    <row r="315">
      <c r="C315" s="12" t="inlineStr">
        <is>
          <t>OSA before</t>
        </is>
      </c>
      <c r="D315" s="7" t="inlineStr">
        <is>
          <t>osa before 2026</t>
        </is>
      </c>
      <c r="E315" s="8" t="n">
        <v>0.6469</v>
      </c>
      <c r="F315" s="8" t="n">
        <v>0.6919999999999999</v>
      </c>
      <c r="G315" s="8" t="n">
        <v>0.6965</v>
      </c>
      <c r="H315" s="8" t="n">
        <v>0.7225</v>
      </c>
      <c r="I315" s="8" t="n">
        <v>0.6889</v>
      </c>
      <c r="J315" s="8" t="n">
        <v>0.6704</v>
      </c>
      <c r="K315" s="8" t="n">
        <v>0.7119</v>
      </c>
      <c r="L315" s="8" t="n">
        <v>0.7239</v>
      </c>
      <c r="M315" s="9" t="n">
        <v>0.7256</v>
      </c>
      <c r="N315" s="9" t="n">
        <v>0.7259</v>
      </c>
      <c r="O315" s="9" t="n">
        <v>0.7279</v>
      </c>
      <c r="P315" s="9" t="n">
        <v>0.7298</v>
      </c>
      <c r="Q315" s="9" t="n">
        <v>0.7335</v>
      </c>
      <c r="R315" s="8">
        <f>AVERAGE(E315:Q315)</f>
        <v/>
      </c>
    </row>
    <row r="316">
      <c r="C316" s="1" t="n"/>
      <c r="D316" s="7" t="inlineStr">
        <is>
          <t>osa before 2027</t>
        </is>
      </c>
      <c r="E316" s="9" t="n">
        <v>0.6469</v>
      </c>
      <c r="F316" s="9" t="n">
        <v>0.6919999999999999</v>
      </c>
      <c r="G316" s="9" t="n">
        <v>0.6971000000000001</v>
      </c>
      <c r="H316" s="9" t="n">
        <v>0.7278</v>
      </c>
      <c r="I316" s="9" t="n">
        <v>0.7065</v>
      </c>
      <c r="J316" s="9" t="n">
        <v>0.6888</v>
      </c>
      <c r="K316" s="9" t="n">
        <v>0.7245</v>
      </c>
      <c r="L316" s="9" t="n">
        <v>0.7354000000000001</v>
      </c>
      <c r="M316" s="9" t="n">
        <v>0.7377</v>
      </c>
      <c r="N316" s="9" t="n">
        <v>0.738</v>
      </c>
      <c r="O316" s="9" t="n">
        <v>0.7413</v>
      </c>
      <c r="P316" s="9" t="n">
        <v>0.7446</v>
      </c>
      <c r="Q316" s="9" t="n">
        <v>0.7476</v>
      </c>
      <c r="R316" s="9">
        <f>AVERAGE(E316:Q316)</f>
        <v/>
      </c>
    </row>
    <row r="317">
      <c r="C317" s="1" t="n"/>
      <c r="D317" s="7" t="inlineStr">
        <is>
          <t>dif</t>
        </is>
      </c>
      <c r="E317" s="8">
        <f>E316-E315</f>
        <v/>
      </c>
      <c r="F317" s="8">
        <f>F316-F315</f>
        <v/>
      </c>
      <c r="G317" s="8">
        <f>G316-G315</f>
        <v/>
      </c>
      <c r="H317" s="8">
        <f>H316-H315</f>
        <v/>
      </c>
      <c r="I317" s="8">
        <f>I316-I315</f>
        <v/>
      </c>
      <c r="J317" s="8">
        <f>J316-J315</f>
        <v/>
      </c>
      <c r="K317" s="8">
        <f>K316-K315</f>
        <v/>
      </c>
      <c r="L317" s="8">
        <f>L316-L315</f>
        <v/>
      </c>
      <c r="M317" s="8">
        <f>M316-M315</f>
        <v/>
      </c>
      <c r="N317" s="8">
        <f>N316-N315</f>
        <v/>
      </c>
      <c r="O317" s="8">
        <f>O316-O315</f>
        <v/>
      </c>
      <c r="P317" s="8">
        <f>P316-P315</f>
        <v/>
      </c>
      <c r="Q317" s="8">
        <f>Q316-Q315</f>
        <v/>
      </c>
      <c r="R317" s="8">
        <f>R316-R315</f>
        <v/>
      </c>
    </row>
    <row r="318">
      <c r="C318" s="1" t="n"/>
      <c r="D318" s="7" t="inlineStr">
        <is>
          <t>ЭФ-т LSV, %</t>
        </is>
      </c>
      <c r="E318" s="8">
        <f>E317/0.03*0.01</f>
        <v/>
      </c>
      <c r="F318" s="8">
        <f>F317/0.03*0.01</f>
        <v/>
      </c>
      <c r="G318" s="8">
        <f>G317/0.03*0.01</f>
        <v/>
      </c>
      <c r="H318" s="8">
        <f>H317/0.03*0.01</f>
        <v/>
      </c>
      <c r="I318" s="8">
        <f>I317/0.03*0.01</f>
        <v/>
      </c>
      <c r="J318" s="8">
        <f>J317/0.03*0.01</f>
        <v/>
      </c>
      <c r="K318" s="8">
        <f>K317/0.03*0.01</f>
        <v/>
      </c>
      <c r="L318" s="8">
        <f>L317/0.03*0.01</f>
        <v/>
      </c>
      <c r="M318" s="8">
        <f>M317/0.03*0.01</f>
        <v/>
      </c>
      <c r="N318" s="8">
        <f>N317/0.03*0.01</f>
        <v/>
      </c>
      <c r="O318" s="8">
        <f>O317/0.03*0.01</f>
        <v/>
      </c>
      <c r="P318" s="8">
        <f>P317/0.03*0.01</f>
        <v/>
      </c>
      <c r="Q318" s="8">
        <f>Q317/0.03*0.01</f>
        <v/>
      </c>
      <c r="R318" s="8">
        <f>R317/0.03*0.01</f>
        <v/>
      </c>
    </row>
    <row r="319">
      <c r="C319" s="10" t="n"/>
      <c r="D319" s="10" t="inlineStr">
        <is>
          <t>ЭФ-т, млн руб Osa Base</t>
        </is>
      </c>
      <c r="E319" s="11">
        <f>E308*E318</f>
        <v/>
      </c>
      <c r="F319" s="11">
        <f>F308*F318</f>
        <v/>
      </c>
      <c r="G319" s="11">
        <f>G308*G318</f>
        <v/>
      </c>
      <c r="H319" s="11">
        <f>H308*H318</f>
        <v/>
      </c>
      <c r="I319" s="11">
        <f>I308*I318</f>
        <v/>
      </c>
      <c r="J319" s="11">
        <f>J308*J318</f>
        <v/>
      </c>
      <c r="K319" s="11">
        <f>K308*K318</f>
        <v/>
      </c>
      <c r="L319" s="11">
        <f>L308*L318</f>
        <v/>
      </c>
      <c r="M319" s="11">
        <f>M308*M318</f>
        <v/>
      </c>
      <c r="N319" s="11">
        <f>N308*N318</f>
        <v/>
      </c>
      <c r="O319" s="11">
        <f>O308*O318</f>
        <v/>
      </c>
      <c r="P319" s="11">
        <f>P308*P318</f>
        <v/>
      </c>
      <c r="Q319" s="11">
        <f>Q308*Q318</f>
        <v/>
      </c>
      <c r="R319" s="11">
        <f>SUM(E319:Q319)</f>
        <v/>
      </c>
    </row>
    <row r="320">
      <c r="C320" s="12" t="inlineStr">
        <is>
          <t>OSA</t>
        </is>
      </c>
      <c r="D320" s="4" t="inlineStr">
        <is>
          <t>total OSA 2026</t>
        </is>
      </c>
      <c r="E320" s="13">
        <f>MIN(E310+E315,1)</f>
        <v/>
      </c>
      <c r="F320" s="13">
        <f>MIN(F310+F315,1)</f>
        <v/>
      </c>
      <c r="G320" s="13">
        <f>MIN(G310+G315,1)</f>
        <v/>
      </c>
      <c r="H320" s="13">
        <f>MIN(H310+H315,1)</f>
        <v/>
      </c>
      <c r="I320" s="13">
        <f>MIN(I310+I315,1)</f>
        <v/>
      </c>
      <c r="J320" s="13">
        <f>MIN(J310+J315,1)</f>
        <v/>
      </c>
      <c r="K320" s="13">
        <f>MIN(K310+K315,1)</f>
        <v/>
      </c>
      <c r="L320" s="13">
        <f>MIN(L310+L315,1)</f>
        <v/>
      </c>
      <c r="M320" s="13">
        <f>MIN(M310+M315,1)</f>
        <v/>
      </c>
      <c r="N320" s="13">
        <f>MIN(N310+N315,1)</f>
        <v/>
      </c>
      <c r="O320" s="13">
        <f>MIN(O310+O315,1)</f>
        <v/>
      </c>
      <c r="P320" s="13">
        <f>MIN(P310+P315,1)</f>
        <v/>
      </c>
      <c r="Q320" s="13">
        <f>MIN(Q310+Q315,1)</f>
        <v/>
      </c>
      <c r="R320" s="13">
        <f>AVERAGE(E320:Q320)</f>
        <v/>
      </c>
    </row>
    <row r="321">
      <c r="C321" s="2" t="n"/>
      <c r="D321" s="4" t="inlineStr">
        <is>
          <t>total OSA 2027</t>
        </is>
      </c>
      <c r="E321" s="13">
        <f>MIN(E311+E316,1)</f>
        <v/>
      </c>
      <c r="F321" s="13">
        <f>MIN(F311+F316,1)</f>
        <v/>
      </c>
      <c r="G321" s="13">
        <f>MIN(G311+G316,1)</f>
        <v/>
      </c>
      <c r="H321" s="13">
        <f>MIN(H311+H316,1)</f>
        <v/>
      </c>
      <c r="I321" s="13">
        <f>MIN(I311+I316,1)</f>
        <v/>
      </c>
      <c r="J321" s="13">
        <f>MIN(J311+J316,1)</f>
        <v/>
      </c>
      <c r="K321" s="13">
        <f>MIN(K311+K316,1)</f>
        <v/>
      </c>
      <c r="L321" s="13">
        <f>MIN(L311+L316,1)</f>
        <v/>
      </c>
      <c r="M321" s="13">
        <f>MIN(M311+M316,1)</f>
        <v/>
      </c>
      <c r="N321" s="13">
        <f>MIN(N311+N316,1)</f>
        <v/>
      </c>
      <c r="O321" s="13">
        <f>MIN(O311+O316,1)</f>
        <v/>
      </c>
      <c r="P321" s="13">
        <f>MIN(P311+P316,1)</f>
        <v/>
      </c>
      <c r="Q321" s="13">
        <f>MIN(Q311+Q316,1)</f>
        <v/>
      </c>
      <c r="R321" s="13">
        <f>AVERAGE(E321:Q321)</f>
        <v/>
      </c>
    </row>
    <row r="322">
      <c r="C322" s="1" t="n"/>
      <c r="D322" s="7" t="inlineStr">
        <is>
          <t>dif</t>
        </is>
      </c>
      <c r="E322" s="8">
        <f>E321-E320</f>
        <v/>
      </c>
      <c r="F322" s="8">
        <f>F321-F320</f>
        <v/>
      </c>
      <c r="G322" s="8">
        <f>G321-G320</f>
        <v/>
      </c>
      <c r="H322" s="8">
        <f>H321-H320</f>
        <v/>
      </c>
      <c r="I322" s="8">
        <f>I321-I320</f>
        <v/>
      </c>
      <c r="J322" s="8">
        <f>J321-J320</f>
        <v/>
      </c>
      <c r="K322" s="8">
        <f>K321-K320</f>
        <v/>
      </c>
      <c r="L322" s="8">
        <f>L321-L320</f>
        <v/>
      </c>
      <c r="M322" s="8">
        <f>M321-M320</f>
        <v/>
      </c>
      <c r="N322" s="8">
        <f>N321-N320</f>
        <v/>
      </c>
      <c r="O322" s="8">
        <f>O321-O320</f>
        <v/>
      </c>
      <c r="P322" s="8">
        <f>P321-P320</f>
        <v/>
      </c>
      <c r="Q322" s="8">
        <f>Q321-Q320</f>
        <v/>
      </c>
      <c r="R322" s="8">
        <f>R321-R320</f>
        <v/>
      </c>
    </row>
    <row r="323">
      <c r="C323" s="10" t="n"/>
      <c r="D323" s="10" t="inlineStr">
        <is>
          <t>total 2027 млн руб</t>
        </is>
      </c>
      <c r="E323" s="11">
        <f>E314+E319</f>
        <v/>
      </c>
      <c r="F323" s="11">
        <f>F314+F319</f>
        <v/>
      </c>
      <c r="G323" s="11">
        <f>G314+G319</f>
        <v/>
      </c>
      <c r="H323" s="11">
        <f>H314+H319</f>
        <v/>
      </c>
      <c r="I323" s="11">
        <f>I314+I319</f>
        <v/>
      </c>
      <c r="J323" s="11">
        <f>J314+J319</f>
        <v/>
      </c>
      <c r="K323" s="11">
        <f>K314+K319</f>
        <v/>
      </c>
      <c r="L323" s="11">
        <f>L314+L319</f>
        <v/>
      </c>
      <c r="M323" s="11">
        <f>M314+M319</f>
        <v/>
      </c>
      <c r="N323" s="11">
        <f>N314+N319</f>
        <v/>
      </c>
      <c r="O323" s="11">
        <f>O314+O319</f>
        <v/>
      </c>
      <c r="P323" s="11">
        <f>P314+P319</f>
        <v/>
      </c>
      <c r="Q323" s="11">
        <f>Q314+Q319</f>
        <v/>
      </c>
      <c r="R323" s="11">
        <f>R314+R319</f>
        <v/>
      </c>
    </row>
    <row r="326">
      <c r="C326" s="1" t="n"/>
      <c r="D326" s="1" t="n"/>
      <c r="E326" s="2" t="inlineStr">
        <is>
          <t>P1</t>
        </is>
      </c>
      <c r="F326" s="2" t="inlineStr">
        <is>
          <t>P2</t>
        </is>
      </c>
      <c r="G326" s="2" t="inlineStr">
        <is>
          <t>P3</t>
        </is>
      </c>
      <c r="H326" s="2" t="inlineStr">
        <is>
          <t>P4</t>
        </is>
      </c>
      <c r="I326" s="2" t="inlineStr">
        <is>
          <t>P5</t>
        </is>
      </c>
      <c r="J326" s="2" t="inlineStr">
        <is>
          <t>P6</t>
        </is>
      </c>
      <c r="K326" s="2" t="inlineStr">
        <is>
          <t>P7</t>
        </is>
      </c>
      <c r="L326" s="2" t="inlineStr">
        <is>
          <t>P8</t>
        </is>
      </c>
      <c r="M326" s="2" t="inlineStr">
        <is>
          <t>P9</t>
        </is>
      </c>
      <c r="N326" s="2" t="inlineStr">
        <is>
          <t>P10</t>
        </is>
      </c>
      <c r="O326" s="2" t="inlineStr">
        <is>
          <t>P11</t>
        </is>
      </c>
      <c r="P326" s="2" t="inlineStr">
        <is>
          <t>P12</t>
        </is>
      </c>
      <c r="Q326" s="2" t="inlineStr">
        <is>
          <t>P13</t>
        </is>
      </c>
      <c r="R326" s="2" t="inlineStr">
        <is>
          <t>total</t>
        </is>
      </c>
    </row>
    <row r="327">
      <c r="C327" s="3" t="inlineStr">
        <is>
          <t>Любимчик 2.0</t>
        </is>
      </c>
      <c r="D327" s="4" t="inlineStr">
        <is>
          <t>DMR</t>
        </is>
      </c>
      <c r="E327" s="5" t="n">
        <v>2782132.19769</v>
      </c>
      <c r="F327" s="5" t="n">
        <v>2635118.904550001</v>
      </c>
      <c r="G327" s="5" t="n">
        <v>3509226.14576</v>
      </c>
      <c r="H327" s="5" t="n">
        <v>2390723.91</v>
      </c>
      <c r="I327" s="5" t="n">
        <v>4563028.169999998</v>
      </c>
      <c r="J327" s="5" t="n">
        <v>2942846.599999999</v>
      </c>
      <c r="K327" s="5" t="n">
        <v>2510036.510000001</v>
      </c>
      <c r="L327" s="5" t="n">
        <v>2824807.21</v>
      </c>
      <c r="M327" s="5" t="n">
        <v>2000000</v>
      </c>
      <c r="N327" s="5" t="n">
        <v>2569422.58</v>
      </c>
      <c r="O327" s="5" t="n">
        <v>2569422.58</v>
      </c>
      <c r="P327" s="5" t="n">
        <v>2569422.58</v>
      </c>
      <c r="Q327" s="5" t="n">
        <v>2569422.58</v>
      </c>
      <c r="R327" s="5">
        <f>SUM(E327:Q327)</f>
        <v/>
      </c>
    </row>
    <row r="328">
      <c r="C328" s="6" t="n"/>
      <c r="D328" s="7" t="inlineStr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</row>
    <row r="329">
      <c r="C329" s="1" t="n"/>
      <c r="D329" s="7" t="inlineStr">
        <is>
          <t>Merch Impact 2026</t>
        </is>
      </c>
      <c r="E329" s="8" t="n">
        <v>0.0591</v>
      </c>
      <c r="F329" s="8" t="n">
        <v>0.0682</v>
      </c>
      <c r="G329" s="8" t="n">
        <v>0.0566</v>
      </c>
      <c r="H329" s="8" t="n">
        <v>0.1013</v>
      </c>
      <c r="I329" s="8" t="n">
        <v>0.1139</v>
      </c>
      <c r="J329" s="8" t="n">
        <v>0.1468</v>
      </c>
      <c r="K329" s="8" t="n">
        <v>0.1976</v>
      </c>
      <c r="L329" s="8" t="n">
        <v>0.1657</v>
      </c>
      <c r="M329" s="9" t="n">
        <v>0.1681</v>
      </c>
      <c r="N329" s="9" t="n">
        <v>0.172</v>
      </c>
      <c r="O329" s="9" t="n">
        <v>0.176</v>
      </c>
      <c r="P329" s="9" t="n">
        <v>0.1793</v>
      </c>
      <c r="Q329" s="9" t="n">
        <v>0.1816</v>
      </c>
      <c r="R329" s="8">
        <f>AVERAGE(E329:Q329)</f>
        <v/>
      </c>
    </row>
    <row r="330">
      <c r="C330" s="1" t="n"/>
      <c r="D330" s="7" t="inlineStr">
        <is>
          <t>Merch Impact 2027</t>
        </is>
      </c>
      <c r="E330" s="9" t="n">
        <v>0.0646</v>
      </c>
      <c r="F330" s="9" t="n">
        <v>0.07539999999999999</v>
      </c>
      <c r="G330" s="9" t="n">
        <v>0.0589</v>
      </c>
      <c r="H330" s="9" t="n">
        <v>0.106</v>
      </c>
      <c r="I330" s="9" t="n">
        <v>0.1189</v>
      </c>
      <c r="J330" s="9" t="n">
        <v>0.1569</v>
      </c>
      <c r="K330" s="9" t="n">
        <v>0.2123</v>
      </c>
      <c r="L330" s="9" t="n">
        <v>0.1733</v>
      </c>
      <c r="M330" s="9" t="n">
        <v>0.1796</v>
      </c>
      <c r="N330" s="9" t="n">
        <v>0.1763</v>
      </c>
      <c r="O330" s="9" t="n">
        <v>0.1799</v>
      </c>
      <c r="P330" s="9" t="n">
        <v>0.1933</v>
      </c>
      <c r="Q330" s="9" t="n">
        <v>0.1965</v>
      </c>
      <c r="R330" s="9">
        <f>AVERAGE(E330:Q330)</f>
        <v/>
      </c>
    </row>
    <row r="331">
      <c r="C331" s="1" t="n"/>
      <c r="D331" s="7" t="inlineStr">
        <is>
          <t>dif</t>
        </is>
      </c>
      <c r="E331" s="8">
        <f>E330-E329</f>
        <v/>
      </c>
      <c r="F331" s="8">
        <f>F330-F329</f>
        <v/>
      </c>
      <c r="G331" s="8">
        <f>G330-G329</f>
        <v/>
      </c>
      <c r="H331" s="8">
        <f>H330-H329</f>
        <v/>
      </c>
      <c r="I331" s="8">
        <f>I330-I329</f>
        <v/>
      </c>
      <c r="J331" s="8">
        <f>J330-J329</f>
        <v/>
      </c>
      <c r="K331" s="8">
        <f>K330-K329</f>
        <v/>
      </c>
      <c r="L331" s="8">
        <f>L330-L329</f>
        <v/>
      </c>
      <c r="M331" s="8">
        <f>M330-M329</f>
        <v/>
      </c>
      <c r="N331" s="8">
        <f>N330-N329</f>
        <v/>
      </c>
      <c r="O331" s="8">
        <f>O330-O329</f>
        <v/>
      </c>
      <c r="P331" s="8">
        <f>P330-P329</f>
        <v/>
      </c>
      <c r="Q331" s="8">
        <f>Q330-Q329</f>
        <v/>
      </c>
      <c r="R331" s="8">
        <f>R330-R329</f>
        <v/>
      </c>
    </row>
    <row r="332">
      <c r="C332" s="1" t="n"/>
      <c r="D332" s="7" t="inlineStr">
        <is>
          <t>ЭФ-т LSV, %</t>
        </is>
      </c>
      <c r="E332" s="8">
        <f>E331/0.03*0.01</f>
        <v/>
      </c>
      <c r="F332" s="8">
        <f>F331/0.03*0.01</f>
        <v/>
      </c>
      <c r="G332" s="8">
        <f>G331/0.03*0.01</f>
        <v/>
      </c>
      <c r="H332" s="8">
        <f>H331/0.03*0.01</f>
        <v/>
      </c>
      <c r="I332" s="8">
        <f>I331/0.03*0.01</f>
        <v/>
      </c>
      <c r="J332" s="8">
        <f>J331/0.03*0.01</f>
        <v/>
      </c>
      <c r="K332" s="8">
        <f>K331/0.03*0.01</f>
        <v/>
      </c>
      <c r="L332" s="8">
        <f>L331/0.03*0.01</f>
        <v/>
      </c>
      <c r="M332" s="8">
        <f>M331/0.03*0.01</f>
        <v/>
      </c>
      <c r="N332" s="8">
        <f>N331/0.03*0.01</f>
        <v/>
      </c>
      <c r="O332" s="8">
        <f>O331/0.03*0.01</f>
        <v/>
      </c>
      <c r="P332" s="8">
        <f>P331/0.03*0.01</f>
        <v/>
      </c>
      <c r="Q332" s="8">
        <f>Q331/0.03*0.01</f>
        <v/>
      </c>
      <c r="R332" s="8">
        <f>R331/0.03*0.01</f>
        <v/>
      </c>
    </row>
    <row r="333">
      <c r="C333" s="10" t="n"/>
      <c r="D333" s="10" t="inlineStr">
        <is>
          <t>ЭФ-т, млн руб Merch in</t>
        </is>
      </c>
      <c r="E333" s="11">
        <f>E327*E332</f>
        <v/>
      </c>
      <c r="F333" s="11">
        <f>F327*F332</f>
        <v/>
      </c>
      <c r="G333" s="11">
        <f>G327*G332</f>
        <v/>
      </c>
      <c r="H333" s="11">
        <f>H327*H332</f>
        <v/>
      </c>
      <c r="I333" s="11">
        <f>I327*I332</f>
        <v/>
      </c>
      <c r="J333" s="11">
        <f>J327*J332</f>
        <v/>
      </c>
      <c r="K333" s="11">
        <f>K327*K332</f>
        <v/>
      </c>
      <c r="L333" s="11">
        <f>L327*L332</f>
        <v/>
      </c>
      <c r="M333" s="11">
        <f>M327*M332</f>
        <v/>
      </c>
      <c r="N333" s="11">
        <f>N327*N332</f>
        <v/>
      </c>
      <c r="O333" s="11">
        <f>O327*O332</f>
        <v/>
      </c>
      <c r="P333" s="11">
        <f>P327*P332</f>
        <v/>
      </c>
      <c r="Q333" s="11">
        <f>Q327*Q332</f>
        <v/>
      </c>
      <c r="R333" s="11">
        <f>SUM(E333:Q333)</f>
        <v/>
      </c>
    </row>
    <row r="334">
      <c r="C334" s="12" t="inlineStr">
        <is>
          <t>OSA before</t>
        </is>
      </c>
      <c r="D334" s="7" t="inlineStr">
        <is>
          <t>osa before 2026</t>
        </is>
      </c>
      <c r="E334" s="8" t="n">
        <v>0.7015</v>
      </c>
      <c r="F334" s="8" t="n">
        <v>0.5491</v>
      </c>
      <c r="G334" s="8" t="n">
        <v>0.6415999999999999</v>
      </c>
      <c r="H334" s="8" t="n">
        <v>0.6124000000000001</v>
      </c>
      <c r="I334" s="8" t="n">
        <v>0.6334</v>
      </c>
      <c r="J334" s="8" t="n">
        <v>0.6132</v>
      </c>
      <c r="K334" s="8" t="n">
        <v>0.5497</v>
      </c>
      <c r="L334" s="8" t="n">
        <v>0.6667</v>
      </c>
      <c r="M334" s="9" t="n">
        <v>0.6682</v>
      </c>
      <c r="N334" s="9" t="n">
        <v>0.6688</v>
      </c>
      <c r="O334" s="9" t="n">
        <v>0.6694</v>
      </c>
      <c r="P334" s="9" t="n">
        <v>0.6718</v>
      </c>
      <c r="Q334" s="9" t="n">
        <v>0.6718</v>
      </c>
      <c r="R334" s="8">
        <f>AVERAGE(E334:Q334)</f>
        <v/>
      </c>
    </row>
    <row r="335">
      <c r="C335" s="1" t="n"/>
      <c r="D335" s="7" t="inlineStr">
        <is>
          <t>osa before 2027</t>
        </is>
      </c>
      <c r="E335" s="9" t="n">
        <v>0.7015</v>
      </c>
      <c r="F335" s="9" t="n">
        <v>0.5491</v>
      </c>
      <c r="G335" s="9" t="n">
        <v>0.6494</v>
      </c>
      <c r="H335" s="9" t="n">
        <v>0.6315</v>
      </c>
      <c r="I335" s="9" t="n">
        <v>0.6534</v>
      </c>
      <c r="J335" s="9" t="n">
        <v>0.6307</v>
      </c>
      <c r="K335" s="9" t="n">
        <v>0.5593</v>
      </c>
      <c r="L335" s="9" t="n">
        <v>0.6814</v>
      </c>
      <c r="M335" s="9" t="n">
        <v>0.6840000000000001</v>
      </c>
      <c r="N335" s="9" t="n">
        <v>0.6855</v>
      </c>
      <c r="O335" s="9" t="n">
        <v>0.6876</v>
      </c>
      <c r="P335" s="9" t="n">
        <v>0.6908</v>
      </c>
      <c r="Q335" s="9" t="n">
        <v>0.6918</v>
      </c>
      <c r="R335" s="9">
        <f>AVERAGE(E335:Q335)</f>
        <v/>
      </c>
    </row>
    <row r="336">
      <c r="C336" s="1" t="n"/>
      <c r="D336" s="7" t="inlineStr">
        <is>
          <t>dif</t>
        </is>
      </c>
      <c r="E336" s="8">
        <f>E335-E334</f>
        <v/>
      </c>
      <c r="F336" s="8">
        <f>F335-F334</f>
        <v/>
      </c>
      <c r="G336" s="8">
        <f>G335-G334</f>
        <v/>
      </c>
      <c r="H336" s="8">
        <f>H335-H334</f>
        <v/>
      </c>
      <c r="I336" s="8">
        <f>I335-I334</f>
        <v/>
      </c>
      <c r="J336" s="8">
        <f>J335-J334</f>
        <v/>
      </c>
      <c r="K336" s="8">
        <f>K335-K334</f>
        <v/>
      </c>
      <c r="L336" s="8">
        <f>L335-L334</f>
        <v/>
      </c>
      <c r="M336" s="8">
        <f>M335-M334</f>
        <v/>
      </c>
      <c r="N336" s="8">
        <f>N335-N334</f>
        <v/>
      </c>
      <c r="O336" s="8">
        <f>O335-O334</f>
        <v/>
      </c>
      <c r="P336" s="8">
        <f>P335-P334</f>
        <v/>
      </c>
      <c r="Q336" s="8">
        <f>Q335-Q334</f>
        <v/>
      </c>
      <c r="R336" s="8">
        <f>R335-R334</f>
        <v/>
      </c>
    </row>
    <row r="337">
      <c r="C337" s="1" t="n"/>
      <c r="D337" s="7" t="inlineStr">
        <is>
          <t>ЭФ-т LSV, %</t>
        </is>
      </c>
      <c r="E337" s="8">
        <f>E336/0.03*0.01</f>
        <v/>
      </c>
      <c r="F337" s="8">
        <f>F336/0.03*0.01</f>
        <v/>
      </c>
      <c r="G337" s="8">
        <f>G336/0.03*0.01</f>
        <v/>
      </c>
      <c r="H337" s="8">
        <f>H336/0.03*0.01</f>
        <v/>
      </c>
      <c r="I337" s="8">
        <f>I336/0.03*0.01</f>
        <v/>
      </c>
      <c r="J337" s="8">
        <f>J336/0.03*0.01</f>
        <v/>
      </c>
      <c r="K337" s="8">
        <f>K336/0.03*0.01</f>
        <v/>
      </c>
      <c r="L337" s="8">
        <f>L336/0.03*0.01</f>
        <v/>
      </c>
      <c r="M337" s="8">
        <f>M336/0.03*0.01</f>
        <v/>
      </c>
      <c r="N337" s="8">
        <f>N336/0.03*0.01</f>
        <v/>
      </c>
      <c r="O337" s="8">
        <f>O336/0.03*0.01</f>
        <v/>
      </c>
      <c r="P337" s="8">
        <f>P336/0.03*0.01</f>
        <v/>
      </c>
      <c r="Q337" s="8">
        <f>Q336/0.03*0.01</f>
        <v/>
      </c>
      <c r="R337" s="8">
        <f>R336/0.03*0.01</f>
        <v/>
      </c>
    </row>
    <row r="338">
      <c r="C338" s="10" t="n"/>
      <c r="D338" s="10" t="inlineStr">
        <is>
          <t>ЭФ-т, млн руб Osa Base</t>
        </is>
      </c>
      <c r="E338" s="11">
        <f>E327*E337</f>
        <v/>
      </c>
      <c r="F338" s="11">
        <f>F327*F337</f>
        <v/>
      </c>
      <c r="G338" s="11">
        <f>G327*G337</f>
        <v/>
      </c>
      <c r="H338" s="11">
        <f>H327*H337</f>
        <v/>
      </c>
      <c r="I338" s="11">
        <f>I327*I337</f>
        <v/>
      </c>
      <c r="J338" s="11">
        <f>J327*J337</f>
        <v/>
      </c>
      <c r="K338" s="11">
        <f>K327*K337</f>
        <v/>
      </c>
      <c r="L338" s="11">
        <f>L327*L337</f>
        <v/>
      </c>
      <c r="M338" s="11">
        <f>M327*M337</f>
        <v/>
      </c>
      <c r="N338" s="11">
        <f>N327*N337</f>
        <v/>
      </c>
      <c r="O338" s="11">
        <f>O327*O337</f>
        <v/>
      </c>
      <c r="P338" s="11">
        <f>P327*P337</f>
        <v/>
      </c>
      <c r="Q338" s="11">
        <f>Q327*Q337</f>
        <v/>
      </c>
      <c r="R338" s="11">
        <f>SUM(E338:Q338)</f>
        <v/>
      </c>
    </row>
    <row r="339">
      <c r="C339" s="12" t="inlineStr">
        <is>
          <t>OSA</t>
        </is>
      </c>
      <c r="D339" s="4" t="inlineStr">
        <is>
          <t>total OSA 2026</t>
        </is>
      </c>
      <c r="E339" s="13">
        <f>MIN(E329+E334,1)</f>
        <v/>
      </c>
      <c r="F339" s="13">
        <f>MIN(F329+F334,1)</f>
        <v/>
      </c>
      <c r="G339" s="13">
        <f>MIN(G329+G334,1)</f>
        <v/>
      </c>
      <c r="H339" s="13">
        <f>MIN(H329+H334,1)</f>
        <v/>
      </c>
      <c r="I339" s="13">
        <f>MIN(I329+I334,1)</f>
        <v/>
      </c>
      <c r="J339" s="13">
        <f>MIN(J329+J334,1)</f>
        <v/>
      </c>
      <c r="K339" s="13">
        <f>MIN(K329+K334,1)</f>
        <v/>
      </c>
      <c r="L339" s="13">
        <f>MIN(L329+L334,1)</f>
        <v/>
      </c>
      <c r="M339" s="13">
        <f>MIN(M329+M334,1)</f>
        <v/>
      </c>
      <c r="N339" s="13">
        <f>MIN(N329+N334,1)</f>
        <v/>
      </c>
      <c r="O339" s="13">
        <f>MIN(O329+O334,1)</f>
        <v/>
      </c>
      <c r="P339" s="13">
        <f>MIN(P329+P334,1)</f>
        <v/>
      </c>
      <c r="Q339" s="13">
        <f>MIN(Q329+Q334,1)</f>
        <v/>
      </c>
      <c r="R339" s="13">
        <f>AVERAGE(E339:Q339)</f>
        <v/>
      </c>
    </row>
    <row r="340">
      <c r="C340" s="2" t="n"/>
      <c r="D340" s="4" t="inlineStr">
        <is>
          <t>total OSA 2027</t>
        </is>
      </c>
      <c r="E340" s="13">
        <f>MIN(E330+E335,1)</f>
        <v/>
      </c>
      <c r="F340" s="13">
        <f>MIN(F330+F335,1)</f>
        <v/>
      </c>
      <c r="G340" s="13">
        <f>MIN(G330+G335,1)</f>
        <v/>
      </c>
      <c r="H340" s="13">
        <f>MIN(H330+H335,1)</f>
        <v/>
      </c>
      <c r="I340" s="13">
        <f>MIN(I330+I335,1)</f>
        <v/>
      </c>
      <c r="J340" s="13">
        <f>MIN(J330+J335,1)</f>
        <v/>
      </c>
      <c r="K340" s="13">
        <f>MIN(K330+K335,1)</f>
        <v/>
      </c>
      <c r="L340" s="13">
        <f>MIN(L330+L335,1)</f>
        <v/>
      </c>
      <c r="M340" s="13">
        <f>MIN(M330+M335,1)</f>
        <v/>
      </c>
      <c r="N340" s="13">
        <f>MIN(N330+N335,1)</f>
        <v/>
      </c>
      <c r="O340" s="13">
        <f>MIN(O330+O335,1)</f>
        <v/>
      </c>
      <c r="P340" s="13">
        <f>MIN(P330+P335,1)</f>
        <v/>
      </c>
      <c r="Q340" s="13">
        <f>MIN(Q330+Q335,1)</f>
        <v/>
      </c>
      <c r="R340" s="13">
        <f>AVERAGE(E340:Q340)</f>
        <v/>
      </c>
    </row>
    <row r="341">
      <c r="C341" s="1" t="n"/>
      <c r="D341" s="7" t="inlineStr">
        <is>
          <t>dif</t>
        </is>
      </c>
      <c r="E341" s="8">
        <f>E340-E339</f>
        <v/>
      </c>
      <c r="F341" s="8">
        <f>F340-F339</f>
        <v/>
      </c>
      <c r="G341" s="8">
        <f>G340-G339</f>
        <v/>
      </c>
      <c r="H341" s="8">
        <f>H340-H339</f>
        <v/>
      </c>
      <c r="I341" s="8">
        <f>I340-I339</f>
        <v/>
      </c>
      <c r="J341" s="8">
        <f>J340-J339</f>
        <v/>
      </c>
      <c r="K341" s="8">
        <f>K340-K339</f>
        <v/>
      </c>
      <c r="L341" s="8">
        <f>L340-L339</f>
        <v/>
      </c>
      <c r="M341" s="8">
        <f>M340-M339</f>
        <v/>
      </c>
      <c r="N341" s="8">
        <f>N340-N339</f>
        <v/>
      </c>
      <c r="O341" s="8">
        <f>O340-O339</f>
        <v/>
      </c>
      <c r="P341" s="8">
        <f>P340-P339</f>
        <v/>
      </c>
      <c r="Q341" s="8">
        <f>Q340-Q339</f>
        <v/>
      </c>
      <c r="R341" s="8">
        <f>R340-R339</f>
        <v/>
      </c>
    </row>
    <row r="342">
      <c r="C342" s="10" t="n"/>
      <c r="D342" s="10" t="inlineStr">
        <is>
          <t>total 2027 млн руб</t>
        </is>
      </c>
      <c r="E342" s="11">
        <f>E333+E338</f>
        <v/>
      </c>
      <c r="F342" s="11">
        <f>F333+F338</f>
        <v/>
      </c>
      <c r="G342" s="11">
        <f>G333+G338</f>
        <v/>
      </c>
      <c r="H342" s="11">
        <f>H333+H338</f>
        <v/>
      </c>
      <c r="I342" s="11">
        <f>I333+I338</f>
        <v/>
      </c>
      <c r="J342" s="11">
        <f>J333+J338</f>
        <v/>
      </c>
      <c r="K342" s="11">
        <f>K333+K338</f>
        <v/>
      </c>
      <c r="L342" s="11">
        <f>L333+L338</f>
        <v/>
      </c>
      <c r="M342" s="11">
        <f>M333+M338</f>
        <v/>
      </c>
      <c r="N342" s="11">
        <f>N333+N338</f>
        <v/>
      </c>
      <c r="O342" s="11">
        <f>O333+O338</f>
        <v/>
      </c>
      <c r="P342" s="11">
        <f>P333+P338</f>
        <v/>
      </c>
      <c r="Q342" s="11">
        <f>Q333+Q338</f>
        <v/>
      </c>
      <c r="R342" s="11">
        <f>R333+R338</f>
        <v/>
      </c>
    </row>
    <row r="345">
      <c r="C345" s="1" t="n"/>
      <c r="D345" s="1" t="n"/>
      <c r="E345" s="2" t="inlineStr">
        <is>
          <t>P1</t>
        </is>
      </c>
      <c r="F345" s="2" t="inlineStr">
        <is>
          <t>P2</t>
        </is>
      </c>
      <c r="G345" s="2" t="inlineStr">
        <is>
          <t>P3</t>
        </is>
      </c>
      <c r="H345" s="2" t="inlineStr">
        <is>
          <t>P4</t>
        </is>
      </c>
      <c r="I345" s="2" t="inlineStr">
        <is>
          <t>P5</t>
        </is>
      </c>
      <c r="J345" s="2" t="inlineStr">
        <is>
          <t>P6</t>
        </is>
      </c>
      <c r="K345" s="2" t="inlineStr">
        <is>
          <t>P7</t>
        </is>
      </c>
      <c r="L345" s="2" t="inlineStr">
        <is>
          <t>P8</t>
        </is>
      </c>
      <c r="M345" s="2" t="inlineStr">
        <is>
          <t>P9</t>
        </is>
      </c>
      <c r="N345" s="2" t="inlineStr">
        <is>
          <t>P10</t>
        </is>
      </c>
      <c r="O345" s="2" t="inlineStr">
        <is>
          <t>P11</t>
        </is>
      </c>
      <c r="P345" s="2" t="inlineStr">
        <is>
          <t>P12</t>
        </is>
      </c>
      <c r="Q345" s="2" t="inlineStr">
        <is>
          <t>P13</t>
        </is>
      </c>
      <c r="R345" s="2" t="inlineStr">
        <is>
          <t>total</t>
        </is>
      </c>
    </row>
    <row r="346">
      <c r="C346" s="3" t="inlineStr">
        <is>
          <t>Хороший (Командор)</t>
        </is>
      </c>
      <c r="D346" s="4" t="inlineStr">
        <is>
          <t>DMR</t>
        </is>
      </c>
      <c r="E346" s="5" t="n">
        <v>26634010.16</v>
      </c>
      <c r="F346" s="5" t="n">
        <v>31703247.22</v>
      </c>
      <c r="G346" s="5" t="n">
        <v>25060531</v>
      </c>
      <c r="H346" s="5" t="n">
        <v>21513682.4</v>
      </c>
      <c r="I346" s="5" t="n">
        <v>29074440.1599999</v>
      </c>
      <c r="J346" s="5" t="n">
        <v>39870185.53</v>
      </c>
      <c r="K346" s="5" t="n">
        <v>23015349.8899999</v>
      </c>
      <c r="L346" s="5" t="n">
        <v>25929985.28</v>
      </c>
      <c r="M346" s="5" t="n">
        <v>24900000</v>
      </c>
      <c r="N346" s="5" t="n">
        <v>25200000</v>
      </c>
      <c r="O346" s="5" t="n">
        <v>29800000</v>
      </c>
      <c r="P346" s="5" t="n">
        <v>27500000</v>
      </c>
      <c r="Q346" s="5" t="n">
        <v>26000000</v>
      </c>
      <c r="R346" s="5">
        <f>SUM(E346:Q346)</f>
        <v/>
      </c>
    </row>
    <row r="347">
      <c r="C347" s="6" t="n"/>
      <c r="D347" s="7" t="inlineStr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</row>
    <row r="348">
      <c r="C348" s="1" t="n"/>
      <c r="D348" s="7" t="inlineStr">
        <is>
          <t>Merch Impact 2026</t>
        </is>
      </c>
      <c r="E348" s="8" t="n">
        <v>0.2197</v>
      </c>
      <c r="F348" s="8" t="n">
        <v>0.2381</v>
      </c>
      <c r="G348" s="8" t="n">
        <v>0.2488</v>
      </c>
      <c r="H348" s="8" t="n">
        <v>0.2732</v>
      </c>
      <c r="I348" s="8" t="n">
        <v>0.2631</v>
      </c>
      <c r="J348" s="8" t="n">
        <v>0.3025</v>
      </c>
      <c r="K348" s="8" t="n">
        <v>0.3188</v>
      </c>
      <c r="L348" s="8" t="n">
        <v>0.3118</v>
      </c>
      <c r="M348" s="9" t="n">
        <v>0.3187</v>
      </c>
      <c r="N348" s="9" t="n">
        <v>0.3213</v>
      </c>
      <c r="O348" s="9" t="n">
        <v>0.3254</v>
      </c>
      <c r="P348" s="9" t="n">
        <v>0.331</v>
      </c>
      <c r="Q348" s="9" t="n">
        <v>0.3338</v>
      </c>
      <c r="R348" s="8">
        <f>AVERAGE(E348:Q348)</f>
        <v/>
      </c>
    </row>
    <row r="349">
      <c r="C349" s="1" t="n"/>
      <c r="D349" s="7" t="inlineStr">
        <is>
          <t>Merch Impact 2027</t>
        </is>
      </c>
      <c r="E349" s="9" t="n">
        <v>0.2344</v>
      </c>
      <c r="F349" s="9" t="n">
        <v>0.2534</v>
      </c>
      <c r="G349" s="9" t="n">
        <v>0.2642</v>
      </c>
      <c r="H349" s="9" t="n">
        <v>0.283</v>
      </c>
      <c r="I349" s="9" t="n">
        <v>0.2814</v>
      </c>
      <c r="J349" s="9" t="n">
        <v>0.3199</v>
      </c>
      <c r="K349" s="9" t="n">
        <v>0.3325</v>
      </c>
      <c r="L349" s="9" t="n">
        <v>0.3318</v>
      </c>
      <c r="M349" s="9" t="n">
        <v>0.3387</v>
      </c>
      <c r="N349" s="9" t="n">
        <v>0.3367</v>
      </c>
      <c r="O349" s="9" t="n">
        <v>0.3454</v>
      </c>
      <c r="P349" s="9" t="n">
        <v>0.351</v>
      </c>
      <c r="Q349" s="9" t="n">
        <v>0.3501</v>
      </c>
      <c r="R349" s="9">
        <f>AVERAGE(E349:Q349)</f>
        <v/>
      </c>
    </row>
    <row r="350">
      <c r="C350" s="1" t="n"/>
      <c r="D350" s="7" t="inlineStr">
        <is>
          <t>dif</t>
        </is>
      </c>
      <c r="E350" s="8">
        <f>E349-E348</f>
        <v/>
      </c>
      <c r="F350" s="8">
        <f>F349-F348</f>
        <v/>
      </c>
      <c r="G350" s="8">
        <f>G349-G348</f>
        <v/>
      </c>
      <c r="H350" s="8">
        <f>H349-H348</f>
        <v/>
      </c>
      <c r="I350" s="8">
        <f>I349-I348</f>
        <v/>
      </c>
      <c r="J350" s="8">
        <f>J349-J348</f>
        <v/>
      </c>
      <c r="K350" s="8">
        <f>K349-K348</f>
        <v/>
      </c>
      <c r="L350" s="8">
        <f>L349-L348</f>
        <v/>
      </c>
      <c r="M350" s="8">
        <f>M349-M348</f>
        <v/>
      </c>
      <c r="N350" s="8">
        <f>N349-N348</f>
        <v/>
      </c>
      <c r="O350" s="8">
        <f>O349-O348</f>
        <v/>
      </c>
      <c r="P350" s="8">
        <f>P349-P348</f>
        <v/>
      </c>
      <c r="Q350" s="8">
        <f>Q349-Q348</f>
        <v/>
      </c>
      <c r="R350" s="8">
        <f>R349-R348</f>
        <v/>
      </c>
    </row>
    <row r="351">
      <c r="C351" s="1" t="n"/>
      <c r="D351" s="7" t="inlineStr">
        <is>
          <t>ЭФ-т LSV, %</t>
        </is>
      </c>
      <c r="E351" s="8">
        <f>E350/0.03*0.01</f>
        <v/>
      </c>
      <c r="F351" s="8">
        <f>F350/0.03*0.01</f>
        <v/>
      </c>
      <c r="G351" s="8">
        <f>G350/0.03*0.01</f>
        <v/>
      </c>
      <c r="H351" s="8">
        <f>H350/0.03*0.01</f>
        <v/>
      </c>
      <c r="I351" s="8">
        <f>I350/0.03*0.01</f>
        <v/>
      </c>
      <c r="J351" s="8">
        <f>J350/0.03*0.01</f>
        <v/>
      </c>
      <c r="K351" s="8">
        <f>K350/0.03*0.01</f>
        <v/>
      </c>
      <c r="L351" s="8">
        <f>L350/0.03*0.01</f>
        <v/>
      </c>
      <c r="M351" s="8">
        <f>M350/0.03*0.01</f>
        <v/>
      </c>
      <c r="N351" s="8">
        <f>N350/0.03*0.01</f>
        <v/>
      </c>
      <c r="O351" s="8">
        <f>O350/0.03*0.01</f>
        <v/>
      </c>
      <c r="P351" s="8">
        <f>P350/0.03*0.01</f>
        <v/>
      </c>
      <c r="Q351" s="8">
        <f>Q350/0.03*0.01</f>
        <v/>
      </c>
      <c r="R351" s="8">
        <f>R350/0.03*0.01</f>
        <v/>
      </c>
    </row>
    <row r="352">
      <c r="C352" s="10" t="n"/>
      <c r="D352" s="10" t="inlineStr">
        <is>
          <t>ЭФ-т, млн руб Merch in</t>
        </is>
      </c>
      <c r="E352" s="11">
        <f>E346*E351</f>
        <v/>
      </c>
      <c r="F352" s="11">
        <f>F346*F351</f>
        <v/>
      </c>
      <c r="G352" s="11">
        <f>G346*G351</f>
        <v/>
      </c>
      <c r="H352" s="11">
        <f>H346*H351</f>
        <v/>
      </c>
      <c r="I352" s="11">
        <f>I346*I351</f>
        <v/>
      </c>
      <c r="J352" s="11">
        <f>J346*J351</f>
        <v/>
      </c>
      <c r="K352" s="11">
        <f>K346*K351</f>
        <v/>
      </c>
      <c r="L352" s="11">
        <f>L346*L351</f>
        <v/>
      </c>
      <c r="M352" s="11">
        <f>M346*M351</f>
        <v/>
      </c>
      <c r="N352" s="11">
        <f>N346*N351</f>
        <v/>
      </c>
      <c r="O352" s="11">
        <f>O346*O351</f>
        <v/>
      </c>
      <c r="P352" s="11">
        <f>P346*P351</f>
        <v/>
      </c>
      <c r="Q352" s="11">
        <f>Q346*Q351</f>
        <v/>
      </c>
      <c r="R352" s="11">
        <f>SUM(E352:Q352)</f>
        <v/>
      </c>
    </row>
    <row r="353">
      <c r="C353" s="12" t="inlineStr">
        <is>
          <t>OSA before</t>
        </is>
      </c>
      <c r="D353" s="7" t="inlineStr">
        <is>
          <t>osa before 2026</t>
        </is>
      </c>
      <c r="E353" s="8" t="n">
        <v>0.6683</v>
      </c>
      <c r="F353" s="8" t="n">
        <v>0.6870000000000001</v>
      </c>
      <c r="G353" s="8" t="n">
        <v>0.6894</v>
      </c>
      <c r="H353" s="8" t="n">
        <v>0.6724</v>
      </c>
      <c r="I353" s="8" t="n">
        <v>0.6872</v>
      </c>
      <c r="J353" s="8" t="n">
        <v>0.652</v>
      </c>
      <c r="K353" s="8" t="n">
        <v>0.6188</v>
      </c>
      <c r="L353" s="8" t="n">
        <v>0.6132</v>
      </c>
      <c r="M353" s="9" t="n">
        <v>0.6142</v>
      </c>
      <c r="N353" s="9" t="n">
        <v>0.6142</v>
      </c>
      <c r="O353" s="9" t="n">
        <v>0.6142</v>
      </c>
      <c r="P353" s="9" t="n">
        <v>0.6152</v>
      </c>
      <c r="Q353" s="9" t="n">
        <v>0.6175</v>
      </c>
      <c r="R353" s="8">
        <f>AVERAGE(E353:Q353)</f>
        <v/>
      </c>
    </row>
    <row r="354">
      <c r="C354" s="1" t="n"/>
      <c r="D354" s="7" t="inlineStr">
        <is>
          <t>osa before 2027</t>
        </is>
      </c>
      <c r="E354" s="9" t="n">
        <v>0.6714</v>
      </c>
      <c r="F354" s="9" t="n">
        <v>0.6870000000000001</v>
      </c>
      <c r="G354" s="9" t="n">
        <v>0.6918</v>
      </c>
      <c r="H354" s="9" t="n">
        <v>0.6765</v>
      </c>
      <c r="I354" s="9" t="n">
        <v>0.6929</v>
      </c>
      <c r="J354" s="9" t="n">
        <v>0.6688</v>
      </c>
      <c r="K354" s="9" t="n">
        <v>0.6388</v>
      </c>
      <c r="L354" s="9" t="n">
        <v>0.6332</v>
      </c>
      <c r="M354" s="9" t="n">
        <v>0.6342</v>
      </c>
      <c r="N354" s="9" t="n">
        <v>0.6342</v>
      </c>
      <c r="O354" s="9" t="n">
        <v>0.6342</v>
      </c>
      <c r="P354" s="9" t="n">
        <v>0.6352</v>
      </c>
      <c r="Q354" s="9" t="n">
        <v>0.6375</v>
      </c>
      <c r="R354" s="9">
        <f>AVERAGE(E354:Q354)</f>
        <v/>
      </c>
    </row>
    <row r="355">
      <c r="C355" s="1" t="n"/>
      <c r="D355" s="7" t="inlineStr">
        <is>
          <t>dif</t>
        </is>
      </c>
      <c r="E355" s="8">
        <f>E354-E353</f>
        <v/>
      </c>
      <c r="F355" s="8">
        <f>F354-F353</f>
        <v/>
      </c>
      <c r="G355" s="8">
        <f>G354-G353</f>
        <v/>
      </c>
      <c r="H355" s="8">
        <f>H354-H353</f>
        <v/>
      </c>
      <c r="I355" s="8">
        <f>I354-I353</f>
        <v/>
      </c>
      <c r="J355" s="8">
        <f>J354-J353</f>
        <v/>
      </c>
      <c r="K355" s="8">
        <f>K354-K353</f>
        <v/>
      </c>
      <c r="L355" s="8">
        <f>L354-L353</f>
        <v/>
      </c>
      <c r="M355" s="8">
        <f>M354-M353</f>
        <v/>
      </c>
      <c r="N355" s="8">
        <f>N354-N353</f>
        <v/>
      </c>
      <c r="O355" s="8">
        <f>O354-O353</f>
        <v/>
      </c>
      <c r="P355" s="8">
        <f>P354-P353</f>
        <v/>
      </c>
      <c r="Q355" s="8">
        <f>Q354-Q353</f>
        <v/>
      </c>
      <c r="R355" s="8">
        <f>R354-R353</f>
        <v/>
      </c>
    </row>
    <row r="356">
      <c r="C356" s="1" t="n"/>
      <c r="D356" s="7" t="inlineStr">
        <is>
          <t>ЭФ-т LSV, %</t>
        </is>
      </c>
      <c r="E356" s="8">
        <f>E355/0.03*0.01</f>
        <v/>
      </c>
      <c r="F356" s="8">
        <f>F355/0.03*0.01</f>
        <v/>
      </c>
      <c r="G356" s="8">
        <f>G355/0.03*0.01</f>
        <v/>
      </c>
      <c r="H356" s="8">
        <f>H355/0.03*0.01</f>
        <v/>
      </c>
      <c r="I356" s="8">
        <f>I355/0.03*0.01</f>
        <v/>
      </c>
      <c r="J356" s="8">
        <f>J355/0.03*0.01</f>
        <v/>
      </c>
      <c r="K356" s="8">
        <f>K355/0.03*0.01</f>
        <v/>
      </c>
      <c r="L356" s="8">
        <f>L355/0.03*0.01</f>
        <v/>
      </c>
      <c r="M356" s="8">
        <f>M355/0.03*0.01</f>
        <v/>
      </c>
      <c r="N356" s="8">
        <f>N355/0.03*0.01</f>
        <v/>
      </c>
      <c r="O356" s="8">
        <f>O355/0.03*0.01</f>
        <v/>
      </c>
      <c r="P356" s="8">
        <f>P355/0.03*0.01</f>
        <v/>
      </c>
      <c r="Q356" s="8">
        <f>Q355/0.03*0.01</f>
        <v/>
      </c>
      <c r="R356" s="8">
        <f>R355/0.03*0.01</f>
        <v/>
      </c>
    </row>
    <row r="357">
      <c r="C357" s="10" t="n"/>
      <c r="D357" s="10" t="inlineStr">
        <is>
          <t>ЭФ-т, млн руб Osa Base</t>
        </is>
      </c>
      <c r="E357" s="11">
        <f>E346*E356</f>
        <v/>
      </c>
      <c r="F357" s="11">
        <f>F346*F356</f>
        <v/>
      </c>
      <c r="G357" s="11">
        <f>G346*G356</f>
        <v/>
      </c>
      <c r="H357" s="11">
        <f>H346*H356</f>
        <v/>
      </c>
      <c r="I357" s="11">
        <f>I346*I356</f>
        <v/>
      </c>
      <c r="J357" s="11">
        <f>J346*J356</f>
        <v/>
      </c>
      <c r="K357" s="11">
        <f>K346*K356</f>
        <v/>
      </c>
      <c r="L357" s="11">
        <f>L346*L356</f>
        <v/>
      </c>
      <c r="M357" s="11">
        <f>M346*M356</f>
        <v/>
      </c>
      <c r="N357" s="11">
        <f>N346*N356</f>
        <v/>
      </c>
      <c r="O357" s="11">
        <f>O346*O356</f>
        <v/>
      </c>
      <c r="P357" s="11">
        <f>P346*P356</f>
        <v/>
      </c>
      <c r="Q357" s="11">
        <f>Q346*Q356</f>
        <v/>
      </c>
      <c r="R357" s="11">
        <f>SUM(E357:Q357)</f>
        <v/>
      </c>
    </row>
    <row r="358">
      <c r="C358" s="12" t="inlineStr">
        <is>
          <t>OSA</t>
        </is>
      </c>
      <c r="D358" s="4" t="inlineStr">
        <is>
          <t>total OSA 2026</t>
        </is>
      </c>
      <c r="E358" s="13">
        <f>MIN(E348+E353,1)</f>
        <v/>
      </c>
      <c r="F358" s="13">
        <f>MIN(F348+F353,1)</f>
        <v/>
      </c>
      <c r="G358" s="13">
        <f>MIN(G348+G353,1)</f>
        <v/>
      </c>
      <c r="H358" s="13">
        <f>MIN(H348+H353,1)</f>
        <v/>
      </c>
      <c r="I358" s="13">
        <f>MIN(I348+I353,1)</f>
        <v/>
      </c>
      <c r="J358" s="13">
        <f>MIN(J348+J353,1)</f>
        <v/>
      </c>
      <c r="K358" s="13">
        <f>MIN(K348+K353,1)</f>
        <v/>
      </c>
      <c r="L358" s="13">
        <f>MIN(L348+L353,1)</f>
        <v/>
      </c>
      <c r="M358" s="13">
        <f>MIN(M348+M353,1)</f>
        <v/>
      </c>
      <c r="N358" s="13">
        <f>MIN(N348+N353,1)</f>
        <v/>
      </c>
      <c r="O358" s="13">
        <f>MIN(O348+O353,1)</f>
        <v/>
      </c>
      <c r="P358" s="13">
        <f>MIN(P348+P353,1)</f>
        <v/>
      </c>
      <c r="Q358" s="13">
        <f>MIN(Q348+Q353,1)</f>
        <v/>
      </c>
      <c r="R358" s="13">
        <f>AVERAGE(E358:Q358)</f>
        <v/>
      </c>
    </row>
    <row r="359">
      <c r="C359" s="2" t="n"/>
      <c r="D359" s="4" t="inlineStr">
        <is>
          <t>total OSA 2027</t>
        </is>
      </c>
      <c r="E359" s="13">
        <f>MIN(E349+E354,1)</f>
        <v/>
      </c>
      <c r="F359" s="13">
        <f>MIN(F349+F354,1)</f>
        <v/>
      </c>
      <c r="G359" s="13">
        <f>MIN(G349+G354,1)</f>
        <v/>
      </c>
      <c r="H359" s="13">
        <f>MIN(H349+H354,1)</f>
        <v/>
      </c>
      <c r="I359" s="13">
        <f>MIN(I349+I354,1)</f>
        <v/>
      </c>
      <c r="J359" s="13">
        <f>MIN(J349+J354,1)</f>
        <v/>
      </c>
      <c r="K359" s="13">
        <f>MIN(K349+K354,1)</f>
        <v/>
      </c>
      <c r="L359" s="13">
        <f>MIN(L349+L354,1)</f>
        <v/>
      </c>
      <c r="M359" s="13">
        <f>MIN(M349+M354,1)</f>
        <v/>
      </c>
      <c r="N359" s="13">
        <f>MIN(N349+N354,1)</f>
        <v/>
      </c>
      <c r="O359" s="13">
        <f>MIN(O349+O354,1)</f>
        <v/>
      </c>
      <c r="P359" s="13">
        <f>MIN(P349+P354,1)</f>
        <v/>
      </c>
      <c r="Q359" s="13">
        <f>MIN(Q349+Q354,1)</f>
        <v/>
      </c>
      <c r="R359" s="13">
        <f>AVERAGE(E359:Q359)</f>
        <v/>
      </c>
    </row>
    <row r="360">
      <c r="C360" s="1" t="n"/>
      <c r="D360" s="7" t="inlineStr">
        <is>
          <t>dif</t>
        </is>
      </c>
      <c r="E360" s="8">
        <f>E359-E358</f>
        <v/>
      </c>
      <c r="F360" s="8">
        <f>F359-F358</f>
        <v/>
      </c>
      <c r="G360" s="8">
        <f>G359-G358</f>
        <v/>
      </c>
      <c r="H360" s="8">
        <f>H359-H358</f>
        <v/>
      </c>
      <c r="I360" s="8">
        <f>I359-I358</f>
        <v/>
      </c>
      <c r="J360" s="8">
        <f>J359-J358</f>
        <v/>
      </c>
      <c r="K360" s="8">
        <f>K359-K358</f>
        <v/>
      </c>
      <c r="L360" s="8">
        <f>L359-L358</f>
        <v/>
      </c>
      <c r="M360" s="8">
        <f>M359-M358</f>
        <v/>
      </c>
      <c r="N360" s="8">
        <f>N359-N358</f>
        <v/>
      </c>
      <c r="O360" s="8">
        <f>O359-O358</f>
        <v/>
      </c>
      <c r="P360" s="8">
        <f>P359-P358</f>
        <v/>
      </c>
      <c r="Q360" s="8">
        <f>Q359-Q358</f>
        <v/>
      </c>
      <c r="R360" s="8">
        <f>R359-R358</f>
        <v/>
      </c>
    </row>
    <row r="361">
      <c r="C361" s="10" t="n"/>
      <c r="D361" s="10" t="inlineStr">
        <is>
          <t>total 2027 млн руб</t>
        </is>
      </c>
      <c r="E361" s="11">
        <f>E352+E357</f>
        <v/>
      </c>
      <c r="F361" s="11">
        <f>F352+F357</f>
        <v/>
      </c>
      <c r="G361" s="11">
        <f>G352+G357</f>
        <v/>
      </c>
      <c r="H361" s="11">
        <f>H352+H357</f>
        <v/>
      </c>
      <c r="I361" s="11">
        <f>I352+I357</f>
        <v/>
      </c>
      <c r="J361" s="11">
        <f>J352+J357</f>
        <v/>
      </c>
      <c r="K361" s="11">
        <f>K352+K357</f>
        <v/>
      </c>
      <c r="L361" s="11">
        <f>L352+L357</f>
        <v/>
      </c>
      <c r="M361" s="11">
        <f>M352+M357</f>
        <v/>
      </c>
      <c r="N361" s="11">
        <f>N352+N357</f>
        <v/>
      </c>
      <c r="O361" s="11">
        <f>O352+O357</f>
        <v/>
      </c>
      <c r="P361" s="11">
        <f>P352+P357</f>
        <v/>
      </c>
      <c r="Q361" s="11">
        <f>Q352+Q357</f>
        <v/>
      </c>
      <c r="R361" s="11">
        <f>R352+R357</f>
        <v/>
      </c>
    </row>
    <row r="364">
      <c r="C364" s="1" t="n"/>
      <c r="D364" s="1" t="n"/>
      <c r="E364" s="2" t="inlineStr">
        <is>
          <t>P1</t>
        </is>
      </c>
      <c r="F364" s="2" t="inlineStr">
        <is>
          <t>P2</t>
        </is>
      </c>
      <c r="G364" s="2" t="inlineStr">
        <is>
          <t>P3</t>
        </is>
      </c>
      <c r="H364" s="2" t="inlineStr">
        <is>
          <t>P4</t>
        </is>
      </c>
      <c r="I364" s="2" t="inlineStr">
        <is>
          <t>P5</t>
        </is>
      </c>
      <c r="J364" s="2" t="inlineStr">
        <is>
          <t>P6</t>
        </is>
      </c>
      <c r="K364" s="2" t="inlineStr">
        <is>
          <t>P7</t>
        </is>
      </c>
      <c r="L364" s="2" t="inlineStr">
        <is>
          <t>P8</t>
        </is>
      </c>
      <c r="M364" s="2" t="inlineStr">
        <is>
          <t>P9</t>
        </is>
      </c>
      <c r="N364" s="2" t="inlineStr">
        <is>
          <t>P10</t>
        </is>
      </c>
      <c r="O364" s="2" t="inlineStr">
        <is>
          <t>P11</t>
        </is>
      </c>
      <c r="P364" s="2" t="inlineStr">
        <is>
          <t>P12</t>
        </is>
      </c>
      <c r="Q364" s="2" t="inlineStr">
        <is>
          <t>P13</t>
        </is>
      </c>
      <c r="R364" s="2" t="inlineStr">
        <is>
          <t>total</t>
        </is>
      </c>
    </row>
    <row r="365">
      <c r="C365" s="3" t="inlineStr">
        <is>
          <t>Гулливер</t>
        </is>
      </c>
      <c r="D365" s="4" t="inlineStr">
        <is>
          <t>DMR</t>
        </is>
      </c>
      <c r="E365" s="5" t="n">
        <v>8973831.599999951</v>
      </c>
      <c r="F365" s="5" t="n">
        <v>15368581.18999984</v>
      </c>
      <c r="G365" s="5" t="n">
        <v>16097503.60999973</v>
      </c>
      <c r="H365" s="5" t="n">
        <v>13880184.47999998</v>
      </c>
      <c r="I365" s="5" t="n">
        <v>12898649.94999966</v>
      </c>
      <c r="J365" s="5" t="n">
        <v>12791521.25999994</v>
      </c>
      <c r="K365" s="5" t="n">
        <v>16568832.64000015</v>
      </c>
      <c r="L365" s="5" t="n">
        <v>14970103.02999996</v>
      </c>
      <c r="M365" s="5" t="n">
        <v>15278089.73</v>
      </c>
      <c r="N365" s="5" t="n">
        <v>14500000</v>
      </c>
      <c r="O365" s="5" t="n">
        <v>14500000</v>
      </c>
      <c r="P365" s="5" t="n">
        <v>14407964.43820268</v>
      </c>
      <c r="Q365" s="5" t="n">
        <v>14282027.9499987</v>
      </c>
      <c r="R365" s="5">
        <f>SUM(E365:Q365)</f>
        <v/>
      </c>
    </row>
    <row r="366">
      <c r="C366" s="6" t="n"/>
      <c r="D366" s="7" t="inlineStr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</row>
    <row r="367">
      <c r="C367" s="1" t="n"/>
      <c r="D367" s="7" t="inlineStr">
        <is>
          <t>Merch Impact 2026</t>
        </is>
      </c>
      <c r="E367" s="8" t="n">
        <v>0.3024</v>
      </c>
      <c r="F367" s="8" t="n">
        <v>0.2989</v>
      </c>
      <c r="G367" s="8" t="n">
        <v>0.3035</v>
      </c>
      <c r="H367" s="8" t="n">
        <v>0.2772</v>
      </c>
      <c r="I367" s="8" t="n">
        <v>0.2891</v>
      </c>
      <c r="J367" s="8" t="n">
        <v>0.3242</v>
      </c>
      <c r="K367" s="8" t="n">
        <v>0.3258</v>
      </c>
      <c r="L367" s="8" t="n">
        <v>0.3311</v>
      </c>
      <c r="M367" s="9" t="n">
        <v>0.3351</v>
      </c>
      <c r="N367" s="9" t="n">
        <v>0.3408</v>
      </c>
      <c r="O367" s="9" t="n">
        <v>0.3456</v>
      </c>
      <c r="P367" s="9" t="n">
        <v>0.3474</v>
      </c>
      <c r="Q367" s="9" t="n">
        <v>0.3497</v>
      </c>
      <c r="R367" s="8">
        <f>AVERAGE(E367:Q367)</f>
        <v/>
      </c>
    </row>
    <row r="368">
      <c r="C368" s="1" t="n"/>
      <c r="D368" s="7" t="inlineStr">
        <is>
          <t>Merch Impact 2027</t>
        </is>
      </c>
      <c r="E368" s="9" t="n">
        <v>0.321</v>
      </c>
      <c r="F368" s="9" t="n">
        <v>0.3173</v>
      </c>
      <c r="G368" s="9" t="n">
        <v>0.3191</v>
      </c>
      <c r="H368" s="9" t="n">
        <v>0.2972</v>
      </c>
      <c r="I368" s="9" t="n">
        <v>0.3091</v>
      </c>
      <c r="J368" s="9" t="n">
        <v>0.3432</v>
      </c>
      <c r="K368" s="9" t="n">
        <v>0.3408</v>
      </c>
      <c r="L368" s="9" t="n">
        <v>0.3511</v>
      </c>
      <c r="M368" s="9" t="n">
        <v>0.3551</v>
      </c>
      <c r="N368" s="9" t="n">
        <v>0.3608</v>
      </c>
      <c r="O368" s="9" t="n">
        <v>0.3656</v>
      </c>
      <c r="P368" s="9" t="n">
        <v>0.3674</v>
      </c>
      <c r="Q368" s="9" t="n">
        <v>0.3697</v>
      </c>
      <c r="R368" s="9">
        <f>AVERAGE(E368:Q368)</f>
        <v/>
      </c>
    </row>
    <row r="369">
      <c r="C369" s="1" t="n"/>
      <c r="D369" s="7" t="inlineStr">
        <is>
          <t>dif</t>
        </is>
      </c>
      <c r="E369" s="8">
        <f>E368-E367</f>
        <v/>
      </c>
      <c r="F369" s="8">
        <f>F368-F367</f>
        <v/>
      </c>
      <c r="G369" s="8">
        <f>G368-G367</f>
        <v/>
      </c>
      <c r="H369" s="8">
        <f>H368-H367</f>
        <v/>
      </c>
      <c r="I369" s="8">
        <f>I368-I367</f>
        <v/>
      </c>
      <c r="J369" s="8">
        <f>J368-J367</f>
        <v/>
      </c>
      <c r="K369" s="8">
        <f>K368-K367</f>
        <v/>
      </c>
      <c r="L369" s="8">
        <f>L368-L367</f>
        <v/>
      </c>
      <c r="M369" s="8">
        <f>M368-M367</f>
        <v/>
      </c>
      <c r="N369" s="8">
        <f>N368-N367</f>
        <v/>
      </c>
      <c r="O369" s="8">
        <f>O368-O367</f>
        <v/>
      </c>
      <c r="P369" s="8">
        <f>P368-P367</f>
        <v/>
      </c>
      <c r="Q369" s="8">
        <f>Q368-Q367</f>
        <v/>
      </c>
      <c r="R369" s="8">
        <f>R368-R367</f>
        <v/>
      </c>
    </row>
    <row r="370">
      <c r="C370" s="1" t="n"/>
      <c r="D370" s="7" t="inlineStr">
        <is>
          <t>ЭФ-т LSV, %</t>
        </is>
      </c>
      <c r="E370" s="8">
        <f>E369/0.03*0.01</f>
        <v/>
      </c>
      <c r="F370" s="8">
        <f>F369/0.03*0.01</f>
        <v/>
      </c>
      <c r="G370" s="8">
        <f>G369/0.03*0.01</f>
        <v/>
      </c>
      <c r="H370" s="8">
        <f>H369/0.03*0.01</f>
        <v/>
      </c>
      <c r="I370" s="8">
        <f>I369/0.03*0.01</f>
        <v/>
      </c>
      <c r="J370" s="8">
        <f>J369/0.03*0.01</f>
        <v/>
      </c>
      <c r="K370" s="8">
        <f>K369/0.03*0.01</f>
        <v/>
      </c>
      <c r="L370" s="8">
        <f>L369/0.03*0.01</f>
        <v/>
      </c>
      <c r="M370" s="8">
        <f>M369/0.03*0.01</f>
        <v/>
      </c>
      <c r="N370" s="8">
        <f>N369/0.03*0.01</f>
        <v/>
      </c>
      <c r="O370" s="8">
        <f>O369/0.03*0.01</f>
        <v/>
      </c>
      <c r="P370" s="8">
        <f>P369/0.03*0.01</f>
        <v/>
      </c>
      <c r="Q370" s="8">
        <f>Q369/0.03*0.01</f>
        <v/>
      </c>
      <c r="R370" s="8">
        <f>R369/0.03*0.01</f>
        <v/>
      </c>
    </row>
    <row r="371">
      <c r="C371" s="10" t="n"/>
      <c r="D371" s="10" t="inlineStr">
        <is>
          <t>ЭФ-т, млн руб Merch in</t>
        </is>
      </c>
      <c r="E371" s="11">
        <f>E365*E370</f>
        <v/>
      </c>
      <c r="F371" s="11">
        <f>F365*F370</f>
        <v/>
      </c>
      <c r="G371" s="11">
        <f>G365*G370</f>
        <v/>
      </c>
      <c r="H371" s="11">
        <f>H365*H370</f>
        <v/>
      </c>
      <c r="I371" s="11">
        <f>I365*I370</f>
        <v/>
      </c>
      <c r="J371" s="11">
        <f>J365*J370</f>
        <v/>
      </c>
      <c r="K371" s="11">
        <f>K365*K370</f>
        <v/>
      </c>
      <c r="L371" s="11">
        <f>L365*L370</f>
        <v/>
      </c>
      <c r="M371" s="11">
        <f>M365*M370</f>
        <v/>
      </c>
      <c r="N371" s="11">
        <f>N365*N370</f>
        <v/>
      </c>
      <c r="O371" s="11">
        <f>O365*O370</f>
        <v/>
      </c>
      <c r="P371" s="11">
        <f>P365*P370</f>
        <v/>
      </c>
      <c r="Q371" s="11">
        <f>Q365*Q370</f>
        <v/>
      </c>
      <c r="R371" s="11">
        <f>SUM(E371:Q371)</f>
        <v/>
      </c>
    </row>
    <row r="372">
      <c r="C372" s="12" t="inlineStr">
        <is>
          <t>OSA before</t>
        </is>
      </c>
      <c r="D372" s="7" t="inlineStr">
        <is>
          <t>osa before 2026</t>
        </is>
      </c>
      <c r="E372" s="8" t="n">
        <v>0.6604</v>
      </c>
      <c r="F372" s="8" t="n">
        <v>0.6575</v>
      </c>
      <c r="G372" s="8" t="n">
        <v>0.6098</v>
      </c>
      <c r="H372" s="8" t="n">
        <v>0.679</v>
      </c>
      <c r="I372" s="8" t="n">
        <v>0.6734</v>
      </c>
      <c r="J372" s="8" t="n">
        <v>0.6427</v>
      </c>
      <c r="K372" s="8" t="n">
        <v>0.639</v>
      </c>
      <c r="L372" s="8" t="n">
        <v>0.5836</v>
      </c>
      <c r="M372" s="9" t="n">
        <v>0.5848</v>
      </c>
      <c r="N372" s="9" t="n">
        <v>0.5883</v>
      </c>
      <c r="O372" s="9" t="n">
        <v>0.59</v>
      </c>
      <c r="P372" s="9" t="n">
        <v>0.5913</v>
      </c>
      <c r="Q372" s="9" t="n">
        <v>0.5913</v>
      </c>
      <c r="R372" s="8">
        <f>AVERAGE(E372:Q372)</f>
        <v/>
      </c>
    </row>
    <row r="373">
      <c r="C373" s="1" t="n"/>
      <c r="D373" s="7" t="inlineStr">
        <is>
          <t>osa before 2027</t>
        </is>
      </c>
      <c r="E373" s="9" t="n">
        <v>0.6604</v>
      </c>
      <c r="F373" s="9" t="n">
        <v>0.659</v>
      </c>
      <c r="G373" s="9" t="n">
        <v>0.6175</v>
      </c>
      <c r="H373" s="9" t="n">
        <v>0.679</v>
      </c>
      <c r="I373" s="9" t="n">
        <v>0.674</v>
      </c>
      <c r="J373" s="9" t="n">
        <v>0.6497000000000001</v>
      </c>
      <c r="K373" s="9" t="n">
        <v>0.6468</v>
      </c>
      <c r="L373" s="9" t="n">
        <v>0.6036</v>
      </c>
      <c r="M373" s="9" t="n">
        <v>0.6048</v>
      </c>
      <c r="N373" s="9" t="n">
        <v>0.6083</v>
      </c>
      <c r="O373" s="9" t="n">
        <v>0.61</v>
      </c>
      <c r="P373" s="9" t="n">
        <v>0.6113</v>
      </c>
      <c r="Q373" s="9" t="n">
        <v>0.6113</v>
      </c>
      <c r="R373" s="9">
        <f>AVERAGE(E373:Q373)</f>
        <v/>
      </c>
    </row>
    <row r="374">
      <c r="C374" s="1" t="n"/>
      <c r="D374" s="7" t="inlineStr">
        <is>
          <t>dif</t>
        </is>
      </c>
      <c r="E374" s="8">
        <f>E373-E372</f>
        <v/>
      </c>
      <c r="F374" s="8">
        <f>F373-F372</f>
        <v/>
      </c>
      <c r="G374" s="8">
        <f>G373-G372</f>
        <v/>
      </c>
      <c r="H374" s="8">
        <f>H373-H372</f>
        <v/>
      </c>
      <c r="I374" s="8">
        <f>I373-I372</f>
        <v/>
      </c>
      <c r="J374" s="8">
        <f>J373-J372</f>
        <v/>
      </c>
      <c r="K374" s="8">
        <f>K373-K372</f>
        <v/>
      </c>
      <c r="L374" s="8">
        <f>L373-L372</f>
        <v/>
      </c>
      <c r="M374" s="8">
        <f>M373-M372</f>
        <v/>
      </c>
      <c r="N374" s="8">
        <f>N373-N372</f>
        <v/>
      </c>
      <c r="O374" s="8">
        <f>O373-O372</f>
        <v/>
      </c>
      <c r="P374" s="8">
        <f>P373-P372</f>
        <v/>
      </c>
      <c r="Q374" s="8">
        <f>Q373-Q372</f>
        <v/>
      </c>
      <c r="R374" s="8">
        <f>R373-R372</f>
        <v/>
      </c>
    </row>
    <row r="375">
      <c r="C375" s="1" t="n"/>
      <c r="D375" s="7" t="inlineStr">
        <is>
          <t>ЭФ-т LSV, %</t>
        </is>
      </c>
      <c r="E375" s="8">
        <f>E374/0.03*0.01</f>
        <v/>
      </c>
      <c r="F375" s="8">
        <f>F374/0.03*0.01</f>
        <v/>
      </c>
      <c r="G375" s="8">
        <f>G374/0.03*0.01</f>
        <v/>
      </c>
      <c r="H375" s="8">
        <f>H374/0.03*0.01</f>
        <v/>
      </c>
      <c r="I375" s="8">
        <f>I374/0.03*0.01</f>
        <v/>
      </c>
      <c r="J375" s="8">
        <f>J374/0.03*0.01</f>
        <v/>
      </c>
      <c r="K375" s="8">
        <f>K374/0.03*0.01</f>
        <v/>
      </c>
      <c r="L375" s="8">
        <f>L374/0.03*0.01</f>
        <v/>
      </c>
      <c r="M375" s="8">
        <f>M374/0.03*0.01</f>
        <v/>
      </c>
      <c r="N375" s="8">
        <f>N374/0.03*0.01</f>
        <v/>
      </c>
      <c r="O375" s="8">
        <f>O374/0.03*0.01</f>
        <v/>
      </c>
      <c r="P375" s="8">
        <f>P374/0.03*0.01</f>
        <v/>
      </c>
      <c r="Q375" s="8">
        <f>Q374/0.03*0.01</f>
        <v/>
      </c>
      <c r="R375" s="8">
        <f>R374/0.03*0.01</f>
        <v/>
      </c>
    </row>
    <row r="376">
      <c r="C376" s="10" t="n"/>
      <c r="D376" s="10" t="inlineStr">
        <is>
          <t>ЭФ-т, млн руб Osa Base</t>
        </is>
      </c>
      <c r="E376" s="11">
        <f>E365*E375</f>
        <v/>
      </c>
      <c r="F376" s="11">
        <f>F365*F375</f>
        <v/>
      </c>
      <c r="G376" s="11">
        <f>G365*G375</f>
        <v/>
      </c>
      <c r="H376" s="11">
        <f>H365*H375</f>
        <v/>
      </c>
      <c r="I376" s="11">
        <f>I365*I375</f>
        <v/>
      </c>
      <c r="J376" s="11">
        <f>J365*J375</f>
        <v/>
      </c>
      <c r="K376" s="11">
        <f>K365*K375</f>
        <v/>
      </c>
      <c r="L376" s="11">
        <f>L365*L375</f>
        <v/>
      </c>
      <c r="M376" s="11">
        <f>M365*M375</f>
        <v/>
      </c>
      <c r="N376" s="11">
        <f>N365*N375</f>
        <v/>
      </c>
      <c r="O376" s="11">
        <f>O365*O375</f>
        <v/>
      </c>
      <c r="P376" s="11">
        <f>P365*P375</f>
        <v/>
      </c>
      <c r="Q376" s="11">
        <f>Q365*Q375</f>
        <v/>
      </c>
      <c r="R376" s="11">
        <f>SUM(E376:Q376)</f>
        <v/>
      </c>
    </row>
    <row r="377">
      <c r="C377" s="12" t="inlineStr">
        <is>
          <t>OSA</t>
        </is>
      </c>
      <c r="D377" s="4" t="inlineStr">
        <is>
          <t>total OSA 2026</t>
        </is>
      </c>
      <c r="E377" s="13">
        <f>MIN(E367+E372,1)</f>
        <v/>
      </c>
      <c r="F377" s="13">
        <f>MIN(F367+F372,1)</f>
        <v/>
      </c>
      <c r="G377" s="13">
        <f>MIN(G367+G372,1)</f>
        <v/>
      </c>
      <c r="H377" s="13">
        <f>MIN(H367+H372,1)</f>
        <v/>
      </c>
      <c r="I377" s="13">
        <f>MIN(I367+I372,1)</f>
        <v/>
      </c>
      <c r="J377" s="13">
        <f>MIN(J367+J372,1)</f>
        <v/>
      </c>
      <c r="K377" s="13">
        <f>MIN(K367+K372,1)</f>
        <v/>
      </c>
      <c r="L377" s="13">
        <f>MIN(L367+L372,1)</f>
        <v/>
      </c>
      <c r="M377" s="13">
        <f>MIN(M367+M372,1)</f>
        <v/>
      </c>
      <c r="N377" s="13">
        <f>MIN(N367+N372,1)</f>
        <v/>
      </c>
      <c r="O377" s="13">
        <f>MIN(O367+O372,1)</f>
        <v/>
      </c>
      <c r="P377" s="13">
        <f>MIN(P367+P372,1)</f>
        <v/>
      </c>
      <c r="Q377" s="13">
        <f>MIN(Q367+Q372,1)</f>
        <v/>
      </c>
      <c r="R377" s="13">
        <f>AVERAGE(E377:Q377)</f>
        <v/>
      </c>
    </row>
    <row r="378">
      <c r="C378" s="2" t="n"/>
      <c r="D378" s="4" t="inlineStr">
        <is>
          <t>total OSA 2027</t>
        </is>
      </c>
      <c r="E378" s="13">
        <f>MIN(E368+E373,1)</f>
        <v/>
      </c>
      <c r="F378" s="13">
        <f>MIN(F368+F373,1)</f>
        <v/>
      </c>
      <c r="G378" s="13">
        <f>MIN(G368+G373,1)</f>
        <v/>
      </c>
      <c r="H378" s="13">
        <f>MIN(H368+H373,1)</f>
        <v/>
      </c>
      <c r="I378" s="13">
        <f>MIN(I368+I373,1)</f>
        <v/>
      </c>
      <c r="J378" s="13">
        <f>MIN(J368+J373,1)</f>
        <v/>
      </c>
      <c r="K378" s="13">
        <f>MIN(K368+K373,1)</f>
        <v/>
      </c>
      <c r="L378" s="13">
        <f>MIN(L368+L373,1)</f>
        <v/>
      </c>
      <c r="M378" s="13">
        <f>MIN(M368+M373,1)</f>
        <v/>
      </c>
      <c r="N378" s="13">
        <f>MIN(N368+N373,1)</f>
        <v/>
      </c>
      <c r="O378" s="13">
        <f>MIN(O368+O373,1)</f>
        <v/>
      </c>
      <c r="P378" s="13">
        <f>MIN(P368+P373,1)</f>
        <v/>
      </c>
      <c r="Q378" s="13">
        <f>MIN(Q368+Q373,1)</f>
        <v/>
      </c>
      <c r="R378" s="13">
        <f>AVERAGE(E378:Q378)</f>
        <v/>
      </c>
    </row>
    <row r="379">
      <c r="C379" s="1" t="n"/>
      <c r="D379" s="7" t="inlineStr">
        <is>
          <t>dif</t>
        </is>
      </c>
      <c r="E379" s="8">
        <f>E378-E377</f>
        <v/>
      </c>
      <c r="F379" s="8">
        <f>F378-F377</f>
        <v/>
      </c>
      <c r="G379" s="8">
        <f>G378-G377</f>
        <v/>
      </c>
      <c r="H379" s="8">
        <f>H378-H377</f>
        <v/>
      </c>
      <c r="I379" s="8">
        <f>I378-I377</f>
        <v/>
      </c>
      <c r="J379" s="8">
        <f>J378-J377</f>
        <v/>
      </c>
      <c r="K379" s="8">
        <f>K378-K377</f>
        <v/>
      </c>
      <c r="L379" s="8">
        <f>L378-L377</f>
        <v/>
      </c>
      <c r="M379" s="8">
        <f>M378-M377</f>
        <v/>
      </c>
      <c r="N379" s="8">
        <f>N378-N377</f>
        <v/>
      </c>
      <c r="O379" s="8">
        <f>O378-O377</f>
        <v/>
      </c>
      <c r="P379" s="8">
        <f>P378-P377</f>
        <v/>
      </c>
      <c r="Q379" s="8">
        <f>Q378-Q377</f>
        <v/>
      </c>
      <c r="R379" s="8">
        <f>R378-R377</f>
        <v/>
      </c>
    </row>
    <row r="380">
      <c r="C380" s="10" t="n"/>
      <c r="D380" s="10" t="inlineStr">
        <is>
          <t>total 2027 млн руб</t>
        </is>
      </c>
      <c r="E380" s="11">
        <f>E371+E376</f>
        <v/>
      </c>
      <c r="F380" s="11">
        <f>F371+F376</f>
        <v/>
      </c>
      <c r="G380" s="11">
        <f>G371+G376</f>
        <v/>
      </c>
      <c r="H380" s="11">
        <f>H371+H376</f>
        <v/>
      </c>
      <c r="I380" s="11">
        <f>I371+I376</f>
        <v/>
      </c>
      <c r="J380" s="11">
        <f>J371+J376</f>
        <v/>
      </c>
      <c r="K380" s="11">
        <f>K371+K376</f>
        <v/>
      </c>
      <c r="L380" s="11">
        <f>L371+L376</f>
        <v/>
      </c>
      <c r="M380" s="11">
        <f>M371+M376</f>
        <v/>
      </c>
      <c r="N380" s="11">
        <f>N371+N376</f>
        <v/>
      </c>
      <c r="O380" s="11">
        <f>O371+O376</f>
        <v/>
      </c>
      <c r="P380" s="11">
        <f>P371+P376</f>
        <v/>
      </c>
      <c r="Q380" s="11">
        <f>Q371+Q376</f>
        <v/>
      </c>
      <c r="R380" s="11">
        <f>R371+R376</f>
        <v/>
      </c>
    </row>
    <row r="383">
      <c r="C383" s="1" t="n"/>
      <c r="D383" s="1" t="n"/>
      <c r="E383" s="2" t="inlineStr">
        <is>
          <t>P1</t>
        </is>
      </c>
      <c r="F383" s="2" t="inlineStr">
        <is>
          <t>P2</t>
        </is>
      </c>
      <c r="G383" s="2" t="inlineStr">
        <is>
          <t>P3</t>
        </is>
      </c>
      <c r="H383" s="2" t="inlineStr">
        <is>
          <t>P4</t>
        </is>
      </c>
      <c r="I383" s="2" t="inlineStr">
        <is>
          <t>P5</t>
        </is>
      </c>
      <c r="J383" s="2" t="inlineStr">
        <is>
          <t>P6</t>
        </is>
      </c>
      <c r="K383" s="2" t="inlineStr">
        <is>
          <t>P7</t>
        </is>
      </c>
      <c r="L383" s="2" t="inlineStr">
        <is>
          <t>P8</t>
        </is>
      </c>
      <c r="M383" s="2" t="inlineStr">
        <is>
          <t>P9</t>
        </is>
      </c>
      <c r="N383" s="2" t="inlineStr">
        <is>
          <t>P10</t>
        </is>
      </c>
      <c r="O383" s="2" t="inlineStr">
        <is>
          <t>P11</t>
        </is>
      </c>
      <c r="P383" s="2" t="inlineStr">
        <is>
          <t>P12</t>
        </is>
      </c>
      <c r="Q383" s="2" t="inlineStr">
        <is>
          <t>P13</t>
        </is>
      </c>
      <c r="R383" s="2" t="inlineStr">
        <is>
          <t>total</t>
        </is>
      </c>
    </row>
    <row r="384">
      <c r="C384" s="3" t="inlineStr">
        <is>
          <t>RegX5_LAR</t>
        </is>
      </c>
      <c r="D384" s="4" t="inlineStr">
        <is>
          <t>DMR</t>
        </is>
      </c>
      <c r="E384" s="5" t="n">
        <v>11146662.51999999</v>
      </c>
      <c r="F384" s="5" t="n">
        <v>11426868.19999999</v>
      </c>
      <c r="G384" s="5" t="n">
        <v>11099237.69</v>
      </c>
      <c r="H384" s="5" t="n">
        <v>10628286.15000001</v>
      </c>
      <c r="I384" s="5" t="n">
        <v>10010725.46</v>
      </c>
      <c r="J384" s="5" t="n">
        <v>12133546.47</v>
      </c>
      <c r="K384" s="5" t="n">
        <v>9765723.310000001</v>
      </c>
      <c r="L384" s="5" t="n">
        <v>15712112.12000001</v>
      </c>
      <c r="M384" s="5" t="n">
        <v>11426868.19999999</v>
      </c>
      <c r="N384" s="5" t="n">
        <v>11099237.69</v>
      </c>
      <c r="O384" s="5" t="n">
        <v>10628286.15000001</v>
      </c>
      <c r="P384" s="5" t="n">
        <v>10010725.46</v>
      </c>
      <c r="Q384" s="5" t="n">
        <v>12133546.47</v>
      </c>
      <c r="R384" s="5">
        <f>SUM(E384:Q384)</f>
        <v/>
      </c>
    </row>
    <row r="385">
      <c r="C385" s="6" t="n"/>
      <c r="D385" s="7" t="inlineStr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</row>
    <row r="386">
      <c r="C386" s="1" t="n"/>
      <c r="D386" s="7" t="inlineStr">
        <is>
          <t>Merch Impact 2026</t>
        </is>
      </c>
      <c r="E386" s="8" t="n">
        <v>0.3708</v>
      </c>
      <c r="F386" s="8" t="n">
        <v>0.4133</v>
      </c>
      <c r="G386" s="8" t="n">
        <v>0.4272</v>
      </c>
      <c r="H386" s="8" t="n">
        <v>0.4036</v>
      </c>
      <c r="I386" s="8" t="n">
        <v>0.3851</v>
      </c>
      <c r="J386" s="8" t="n">
        <v>0.42</v>
      </c>
      <c r="K386" s="8" t="n">
        <v>0.4235</v>
      </c>
      <c r="L386" s="8" t="n">
        <v>0.4007</v>
      </c>
      <c r="M386" s="9" t="n">
        <v>0.406</v>
      </c>
      <c r="N386" s="9" t="n">
        <v>0.4085</v>
      </c>
      <c r="O386" s="9" t="n">
        <v>0.4132</v>
      </c>
      <c r="P386" s="9" t="n">
        <v>0.4178</v>
      </c>
      <c r="Q386" s="9" t="n">
        <v>0.4226</v>
      </c>
      <c r="R386" s="8">
        <f>AVERAGE(E386:Q386)</f>
        <v/>
      </c>
    </row>
    <row r="387">
      <c r="C387" s="1" t="n"/>
      <c r="D387" s="7" t="inlineStr">
        <is>
          <t>Merch Impact 2027</t>
        </is>
      </c>
      <c r="E387" s="9" t="n">
        <v>0.3908</v>
      </c>
      <c r="F387" s="9" t="n">
        <v>0.4333</v>
      </c>
      <c r="G387" s="9" t="n">
        <v>0.4472</v>
      </c>
      <c r="H387" s="9" t="n">
        <v>0.4236</v>
      </c>
      <c r="I387" s="9" t="n">
        <v>0.4051</v>
      </c>
      <c r="J387" s="9" t="n">
        <v>0.44</v>
      </c>
      <c r="K387" s="9" t="n">
        <v>0.4435</v>
      </c>
      <c r="L387" s="9" t="n">
        <v>0.4202</v>
      </c>
      <c r="M387" s="9" t="n">
        <v>0.4228</v>
      </c>
      <c r="N387" s="9" t="n">
        <v>0.4285</v>
      </c>
      <c r="O387" s="9" t="n">
        <v>0.4332</v>
      </c>
      <c r="P387" s="9" t="n">
        <v>0.4378</v>
      </c>
      <c r="Q387" s="9" t="n">
        <v>0.4426</v>
      </c>
      <c r="R387" s="9">
        <f>AVERAGE(E387:Q387)</f>
        <v/>
      </c>
    </row>
    <row r="388">
      <c r="C388" s="1" t="n"/>
      <c r="D388" s="7" t="inlineStr">
        <is>
          <t>dif</t>
        </is>
      </c>
      <c r="E388" s="8">
        <f>E387-E386</f>
        <v/>
      </c>
      <c r="F388" s="8">
        <f>F387-F386</f>
        <v/>
      </c>
      <c r="G388" s="8">
        <f>G387-G386</f>
        <v/>
      </c>
      <c r="H388" s="8">
        <f>H387-H386</f>
        <v/>
      </c>
      <c r="I388" s="8">
        <f>I387-I386</f>
        <v/>
      </c>
      <c r="J388" s="8">
        <f>J387-J386</f>
        <v/>
      </c>
      <c r="K388" s="8">
        <f>K387-K386</f>
        <v/>
      </c>
      <c r="L388" s="8">
        <f>L387-L386</f>
        <v/>
      </c>
      <c r="M388" s="8">
        <f>M387-M386</f>
        <v/>
      </c>
      <c r="N388" s="8">
        <f>N387-N386</f>
        <v/>
      </c>
      <c r="O388" s="8">
        <f>O387-O386</f>
        <v/>
      </c>
      <c r="P388" s="8">
        <f>P387-P386</f>
        <v/>
      </c>
      <c r="Q388" s="8">
        <f>Q387-Q386</f>
        <v/>
      </c>
      <c r="R388" s="8">
        <f>R387-R386</f>
        <v/>
      </c>
    </row>
    <row r="389">
      <c r="C389" s="1" t="n"/>
      <c r="D389" s="7" t="inlineStr">
        <is>
          <t>ЭФ-т LSV, %</t>
        </is>
      </c>
      <c r="E389" s="8">
        <f>E388/0.03*0.01</f>
        <v/>
      </c>
      <c r="F389" s="8">
        <f>F388/0.03*0.01</f>
        <v/>
      </c>
      <c r="G389" s="8">
        <f>G388/0.03*0.01</f>
        <v/>
      </c>
      <c r="H389" s="8">
        <f>H388/0.03*0.01</f>
        <v/>
      </c>
      <c r="I389" s="8">
        <f>I388/0.03*0.01</f>
        <v/>
      </c>
      <c r="J389" s="8">
        <f>J388/0.03*0.01</f>
        <v/>
      </c>
      <c r="K389" s="8">
        <f>K388/0.03*0.01</f>
        <v/>
      </c>
      <c r="L389" s="8">
        <f>L388/0.03*0.01</f>
        <v/>
      </c>
      <c r="M389" s="8">
        <f>M388/0.03*0.01</f>
        <v/>
      </c>
      <c r="N389" s="8">
        <f>N388/0.03*0.01</f>
        <v/>
      </c>
      <c r="O389" s="8">
        <f>O388/0.03*0.01</f>
        <v/>
      </c>
      <c r="P389" s="8">
        <f>P388/0.03*0.01</f>
        <v/>
      </c>
      <c r="Q389" s="8">
        <f>Q388/0.03*0.01</f>
        <v/>
      </c>
      <c r="R389" s="8">
        <f>R388/0.03*0.01</f>
        <v/>
      </c>
    </row>
    <row r="390">
      <c r="C390" s="10" t="n"/>
      <c r="D390" s="10" t="inlineStr">
        <is>
          <t>ЭФ-т, млн руб Merch in</t>
        </is>
      </c>
      <c r="E390" s="11">
        <f>E384*E389</f>
        <v/>
      </c>
      <c r="F390" s="11">
        <f>F384*F389</f>
        <v/>
      </c>
      <c r="G390" s="11">
        <f>G384*G389</f>
        <v/>
      </c>
      <c r="H390" s="11">
        <f>H384*H389</f>
        <v/>
      </c>
      <c r="I390" s="11">
        <f>I384*I389</f>
        <v/>
      </c>
      <c r="J390" s="11">
        <f>J384*J389</f>
        <v/>
      </c>
      <c r="K390" s="11">
        <f>K384*K389</f>
        <v/>
      </c>
      <c r="L390" s="11">
        <f>L384*L389</f>
        <v/>
      </c>
      <c r="M390" s="11">
        <f>M384*M389</f>
        <v/>
      </c>
      <c r="N390" s="11">
        <f>N384*N389</f>
        <v/>
      </c>
      <c r="O390" s="11">
        <f>O384*O389</f>
        <v/>
      </c>
      <c r="P390" s="11">
        <f>P384*P389</f>
        <v/>
      </c>
      <c r="Q390" s="11">
        <f>Q384*Q389</f>
        <v/>
      </c>
      <c r="R390" s="11">
        <f>SUM(E390:Q390)</f>
        <v/>
      </c>
    </row>
    <row r="391">
      <c r="C391" s="12" t="inlineStr">
        <is>
          <t>OSA before</t>
        </is>
      </c>
      <c r="D391" s="7" t="inlineStr">
        <is>
          <t>osa before 2026</t>
        </is>
      </c>
      <c r="E391" s="8" t="n">
        <v>0.4412</v>
      </c>
      <c r="F391" s="8" t="n">
        <v>0.5429</v>
      </c>
      <c r="G391" s="8" t="n">
        <v>0.5518999999999999</v>
      </c>
      <c r="H391" s="8" t="n">
        <v>0.5763</v>
      </c>
      <c r="I391" s="8" t="n">
        <v>0.5931</v>
      </c>
      <c r="J391" s="8" t="n">
        <v>0.5595</v>
      </c>
      <c r="K391" s="8" t="n">
        <v>0.5355</v>
      </c>
      <c r="L391" s="8" t="n">
        <v>0.5796</v>
      </c>
      <c r="M391" s="9" t="n">
        <v>0.5805</v>
      </c>
      <c r="N391" s="9" t="n">
        <v>0.5827</v>
      </c>
      <c r="O391" s="9" t="n">
        <v>0.5827</v>
      </c>
      <c r="P391" s="9" t="n">
        <v>0.5829</v>
      </c>
      <c r="Q391" s="9" t="n">
        <v>0.5829</v>
      </c>
      <c r="R391" s="8">
        <f>AVERAGE(E391:Q391)</f>
        <v/>
      </c>
    </row>
    <row r="392">
      <c r="C392" s="1" t="n"/>
      <c r="D392" s="7" t="inlineStr">
        <is>
          <t>osa before 2027</t>
        </is>
      </c>
      <c r="E392" s="9" t="n">
        <v>0.4436</v>
      </c>
      <c r="F392" s="9" t="n">
        <v>0.5429</v>
      </c>
      <c r="G392" s="9" t="n">
        <v>0.5523</v>
      </c>
      <c r="H392" s="9" t="n">
        <v>0.5803</v>
      </c>
      <c r="I392" s="9" t="n">
        <v>0.6022</v>
      </c>
      <c r="J392" s="9" t="n">
        <v>0.5679999999999999</v>
      </c>
      <c r="K392" s="9" t="n">
        <v>0.5493</v>
      </c>
      <c r="L392" s="9" t="n">
        <v>0.5981</v>
      </c>
      <c r="M392" s="9" t="n">
        <v>0.6</v>
      </c>
      <c r="N392" s="9" t="n">
        <v>0.6027</v>
      </c>
      <c r="O392" s="9" t="n">
        <v>0.6027</v>
      </c>
      <c r="P392" s="9" t="n">
        <v>0.6029</v>
      </c>
      <c r="Q392" s="9" t="n">
        <v>0.6029</v>
      </c>
      <c r="R392" s="9">
        <f>AVERAGE(E392:Q392)</f>
        <v/>
      </c>
    </row>
    <row r="393">
      <c r="C393" s="1" t="n"/>
      <c r="D393" s="7" t="inlineStr">
        <is>
          <t>dif</t>
        </is>
      </c>
      <c r="E393" s="8">
        <f>E392-E391</f>
        <v/>
      </c>
      <c r="F393" s="8">
        <f>F392-F391</f>
        <v/>
      </c>
      <c r="G393" s="8">
        <f>G392-G391</f>
        <v/>
      </c>
      <c r="H393" s="8">
        <f>H392-H391</f>
        <v/>
      </c>
      <c r="I393" s="8">
        <f>I392-I391</f>
        <v/>
      </c>
      <c r="J393" s="8">
        <f>J392-J391</f>
        <v/>
      </c>
      <c r="K393" s="8">
        <f>K392-K391</f>
        <v/>
      </c>
      <c r="L393" s="8">
        <f>L392-L391</f>
        <v/>
      </c>
      <c r="M393" s="8">
        <f>M392-M391</f>
        <v/>
      </c>
      <c r="N393" s="8">
        <f>N392-N391</f>
        <v/>
      </c>
      <c r="O393" s="8">
        <f>O392-O391</f>
        <v/>
      </c>
      <c r="P393" s="8">
        <f>P392-P391</f>
        <v/>
      </c>
      <c r="Q393" s="8">
        <f>Q392-Q391</f>
        <v/>
      </c>
      <c r="R393" s="8">
        <f>R392-R391</f>
        <v/>
      </c>
    </row>
    <row r="394">
      <c r="C394" s="1" t="n"/>
      <c r="D394" s="7" t="inlineStr">
        <is>
          <t>ЭФ-т LSV, %</t>
        </is>
      </c>
      <c r="E394" s="8">
        <f>E393/0.03*0.01</f>
        <v/>
      </c>
      <c r="F394" s="8">
        <f>F393/0.03*0.01</f>
        <v/>
      </c>
      <c r="G394" s="8">
        <f>G393/0.03*0.01</f>
        <v/>
      </c>
      <c r="H394" s="8">
        <f>H393/0.03*0.01</f>
        <v/>
      </c>
      <c r="I394" s="8">
        <f>I393/0.03*0.01</f>
        <v/>
      </c>
      <c r="J394" s="8">
        <f>J393/0.03*0.01</f>
        <v/>
      </c>
      <c r="K394" s="8">
        <f>K393/0.03*0.01</f>
        <v/>
      </c>
      <c r="L394" s="8">
        <f>L393/0.03*0.01</f>
        <v/>
      </c>
      <c r="M394" s="8">
        <f>M393/0.03*0.01</f>
        <v/>
      </c>
      <c r="N394" s="8">
        <f>N393/0.03*0.01</f>
        <v/>
      </c>
      <c r="O394" s="8">
        <f>O393/0.03*0.01</f>
        <v/>
      </c>
      <c r="P394" s="8">
        <f>P393/0.03*0.01</f>
        <v/>
      </c>
      <c r="Q394" s="8">
        <f>Q393/0.03*0.01</f>
        <v/>
      </c>
      <c r="R394" s="8">
        <f>R393/0.03*0.01</f>
        <v/>
      </c>
    </row>
    <row r="395">
      <c r="C395" s="10" t="n"/>
      <c r="D395" s="10" t="inlineStr">
        <is>
          <t>ЭФ-т, млн руб Osa Base</t>
        </is>
      </c>
      <c r="E395" s="11">
        <f>E384*E394</f>
        <v/>
      </c>
      <c r="F395" s="11">
        <f>F384*F394</f>
        <v/>
      </c>
      <c r="G395" s="11">
        <f>G384*G394</f>
        <v/>
      </c>
      <c r="H395" s="11">
        <f>H384*H394</f>
        <v/>
      </c>
      <c r="I395" s="11">
        <f>I384*I394</f>
        <v/>
      </c>
      <c r="J395" s="11">
        <f>J384*J394</f>
        <v/>
      </c>
      <c r="K395" s="11">
        <f>K384*K394</f>
        <v/>
      </c>
      <c r="L395" s="11">
        <f>L384*L394</f>
        <v/>
      </c>
      <c r="M395" s="11">
        <f>M384*M394</f>
        <v/>
      </c>
      <c r="N395" s="11">
        <f>N384*N394</f>
        <v/>
      </c>
      <c r="O395" s="11">
        <f>O384*O394</f>
        <v/>
      </c>
      <c r="P395" s="11">
        <f>P384*P394</f>
        <v/>
      </c>
      <c r="Q395" s="11">
        <f>Q384*Q394</f>
        <v/>
      </c>
      <c r="R395" s="11">
        <f>SUM(E395:Q395)</f>
        <v/>
      </c>
    </row>
    <row r="396">
      <c r="C396" s="12" t="inlineStr">
        <is>
          <t>OSA</t>
        </is>
      </c>
      <c r="D396" s="4" t="inlineStr">
        <is>
          <t>total OSA 2026</t>
        </is>
      </c>
      <c r="E396" s="13">
        <f>MIN(E386+E391,1)</f>
        <v/>
      </c>
      <c r="F396" s="13">
        <f>MIN(F386+F391,1)</f>
        <v/>
      </c>
      <c r="G396" s="13">
        <f>MIN(G386+G391,1)</f>
        <v/>
      </c>
      <c r="H396" s="13">
        <f>MIN(H386+H391,1)</f>
        <v/>
      </c>
      <c r="I396" s="13">
        <f>MIN(I386+I391,1)</f>
        <v/>
      </c>
      <c r="J396" s="13">
        <f>MIN(J386+J391,1)</f>
        <v/>
      </c>
      <c r="K396" s="13">
        <f>MIN(K386+K391,1)</f>
        <v/>
      </c>
      <c r="L396" s="13">
        <f>MIN(L386+L391,1)</f>
        <v/>
      </c>
      <c r="M396" s="13">
        <f>MIN(M386+M391,1)</f>
        <v/>
      </c>
      <c r="N396" s="13">
        <f>MIN(N386+N391,1)</f>
        <v/>
      </c>
      <c r="O396" s="13">
        <f>MIN(O386+O391,1)</f>
        <v/>
      </c>
      <c r="P396" s="13">
        <f>MIN(P386+P391,1)</f>
        <v/>
      </c>
      <c r="Q396" s="13">
        <f>MIN(Q386+Q391,1)</f>
        <v/>
      </c>
      <c r="R396" s="13">
        <f>AVERAGE(E396:Q396)</f>
        <v/>
      </c>
    </row>
    <row r="397">
      <c r="C397" s="2" t="n"/>
      <c r="D397" s="4" t="inlineStr">
        <is>
          <t>total OSA 2027</t>
        </is>
      </c>
      <c r="E397" s="13">
        <f>MIN(E387+E392,1)</f>
        <v/>
      </c>
      <c r="F397" s="13">
        <f>MIN(F387+F392,1)</f>
        <v/>
      </c>
      <c r="G397" s="13">
        <f>MIN(G387+G392,1)</f>
        <v/>
      </c>
      <c r="H397" s="13">
        <f>MIN(H387+H392,1)</f>
        <v/>
      </c>
      <c r="I397" s="13">
        <f>MIN(I387+I392,1)</f>
        <v/>
      </c>
      <c r="J397" s="13">
        <f>MIN(J387+J392,1)</f>
        <v/>
      </c>
      <c r="K397" s="13">
        <f>MIN(K387+K392,1)</f>
        <v/>
      </c>
      <c r="L397" s="13">
        <f>MIN(L387+L392,1)</f>
        <v/>
      </c>
      <c r="M397" s="13">
        <f>MIN(M387+M392,1)</f>
        <v/>
      </c>
      <c r="N397" s="13">
        <f>MIN(N387+N392,1)</f>
        <v/>
      </c>
      <c r="O397" s="13">
        <f>MIN(O387+O392,1)</f>
        <v/>
      </c>
      <c r="P397" s="13">
        <f>MIN(P387+P392,1)</f>
        <v/>
      </c>
      <c r="Q397" s="13">
        <f>MIN(Q387+Q392,1)</f>
        <v/>
      </c>
      <c r="R397" s="13">
        <f>AVERAGE(E397:Q397)</f>
        <v/>
      </c>
    </row>
    <row r="398">
      <c r="C398" s="1" t="n"/>
      <c r="D398" s="7" t="inlineStr">
        <is>
          <t>dif</t>
        </is>
      </c>
      <c r="E398" s="8">
        <f>E397-E396</f>
        <v/>
      </c>
      <c r="F398" s="8">
        <f>F397-F396</f>
        <v/>
      </c>
      <c r="G398" s="8">
        <f>G397-G396</f>
        <v/>
      </c>
      <c r="H398" s="8">
        <f>H397-H396</f>
        <v/>
      </c>
      <c r="I398" s="8">
        <f>I397-I396</f>
        <v/>
      </c>
      <c r="J398" s="8">
        <f>J397-J396</f>
        <v/>
      </c>
      <c r="K398" s="8">
        <f>K397-K396</f>
        <v/>
      </c>
      <c r="L398" s="8">
        <f>L397-L396</f>
        <v/>
      </c>
      <c r="M398" s="8">
        <f>M397-M396</f>
        <v/>
      </c>
      <c r="N398" s="8">
        <f>N397-N396</f>
        <v/>
      </c>
      <c r="O398" s="8">
        <f>O397-O396</f>
        <v/>
      </c>
      <c r="P398" s="8">
        <f>P397-P396</f>
        <v/>
      </c>
      <c r="Q398" s="8">
        <f>Q397-Q396</f>
        <v/>
      </c>
      <c r="R398" s="8">
        <f>R397-R396</f>
        <v/>
      </c>
    </row>
    <row r="399">
      <c r="C399" s="10" t="n"/>
      <c r="D399" s="10" t="inlineStr">
        <is>
          <t>total 2027 млн руб</t>
        </is>
      </c>
      <c r="E399" s="11">
        <f>E390+E395</f>
        <v/>
      </c>
      <c r="F399" s="11">
        <f>F390+F395</f>
        <v/>
      </c>
      <c r="G399" s="11">
        <f>G390+G395</f>
        <v/>
      </c>
      <c r="H399" s="11">
        <f>H390+H395</f>
        <v/>
      </c>
      <c r="I399" s="11">
        <f>I390+I395</f>
        <v/>
      </c>
      <c r="J399" s="11">
        <f>J390+J395</f>
        <v/>
      </c>
      <c r="K399" s="11">
        <f>K390+K395</f>
        <v/>
      </c>
      <c r="L399" s="11">
        <f>L390+L395</f>
        <v/>
      </c>
      <c r="M399" s="11">
        <f>M390+M395</f>
        <v/>
      </c>
      <c r="N399" s="11">
        <f>N390+N395</f>
        <v/>
      </c>
      <c r="O399" s="11">
        <f>O390+O395</f>
        <v/>
      </c>
      <c r="P399" s="11">
        <f>P390+P395</f>
        <v/>
      </c>
      <c r="Q399" s="11">
        <f>Q390+Q395</f>
        <v/>
      </c>
      <c r="R399" s="11">
        <f>R390+R395</f>
        <v/>
      </c>
    </row>
    <row r="402">
      <c r="C402" s="1" t="n"/>
      <c r="D402" s="1" t="n"/>
      <c r="E402" s="2" t="inlineStr">
        <is>
          <t>P1</t>
        </is>
      </c>
      <c r="F402" s="2" t="inlineStr">
        <is>
          <t>P2</t>
        </is>
      </c>
      <c r="G402" s="2" t="inlineStr">
        <is>
          <t>P3</t>
        </is>
      </c>
      <c r="H402" s="2" t="inlineStr">
        <is>
          <t>P4</t>
        </is>
      </c>
      <c r="I402" s="2" t="inlineStr">
        <is>
          <t>P5</t>
        </is>
      </c>
      <c r="J402" s="2" t="inlineStr">
        <is>
          <t>P6</t>
        </is>
      </c>
      <c r="K402" s="2" t="inlineStr">
        <is>
          <t>P7</t>
        </is>
      </c>
      <c r="L402" s="2" t="inlineStr">
        <is>
          <t>P8</t>
        </is>
      </c>
      <c r="M402" s="2" t="inlineStr">
        <is>
          <t>P9</t>
        </is>
      </c>
      <c r="N402" s="2" t="inlineStr">
        <is>
          <t>P10</t>
        </is>
      </c>
      <c r="O402" s="2" t="inlineStr">
        <is>
          <t>P11</t>
        </is>
      </c>
      <c r="P402" s="2" t="inlineStr">
        <is>
          <t>P12</t>
        </is>
      </c>
      <c r="Q402" s="2" t="inlineStr">
        <is>
          <t>P13</t>
        </is>
      </c>
      <c r="R402" s="2" t="inlineStr">
        <is>
          <t>total</t>
        </is>
      </c>
    </row>
    <row r="403">
      <c r="C403" s="3" t="inlineStr">
        <is>
          <t>Победа (Гулливер)</t>
        </is>
      </c>
      <c r="D403" s="4" t="inlineStr">
        <is>
          <t>DMR</t>
        </is>
      </c>
      <c r="E403" s="5" t="n">
        <v>134530839.8400026</v>
      </c>
      <c r="F403" s="5" t="n">
        <v>241934645.0400077</v>
      </c>
      <c r="G403" s="5" t="n">
        <v>200384171.2500078</v>
      </c>
      <c r="H403" s="5" t="n">
        <v>137277833.3099954</v>
      </c>
      <c r="I403" s="5" t="n">
        <v>174489210.4700048</v>
      </c>
      <c r="J403" s="5" t="n">
        <v>181935033.2399973</v>
      </c>
      <c r="K403" s="5" t="n">
        <v>186710479.0099969</v>
      </c>
      <c r="L403" s="5" t="n">
        <v>184332104.4400078</v>
      </c>
      <c r="M403" s="5" t="n">
        <v>173777691.728</v>
      </c>
      <c r="N403" s="5" t="n">
        <v>185713425.994</v>
      </c>
      <c r="O403" s="5" t="n">
        <v>186705634.684</v>
      </c>
      <c r="P403" s="5" t="n">
        <v>187885609.64</v>
      </c>
      <c r="Q403" s="5" t="n">
        <v>187885609.64</v>
      </c>
      <c r="R403" s="5">
        <f>SUM(E403:Q403)</f>
        <v/>
      </c>
    </row>
    <row r="404">
      <c r="C404" s="6" t="n"/>
      <c r="D404" s="7" t="inlineStr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</row>
    <row r="405">
      <c r="C405" s="1" t="n"/>
      <c r="D405" s="7" t="inlineStr">
        <is>
          <t>Merch Impact 2026</t>
        </is>
      </c>
      <c r="E405" s="8" t="n">
        <v>0.5574</v>
      </c>
      <c r="F405" s="8" t="n">
        <v>0.5057</v>
      </c>
      <c r="G405" s="8" t="n">
        <v>0.5142</v>
      </c>
      <c r="H405" s="8" t="n">
        <v>0.4282</v>
      </c>
      <c r="I405" s="8" t="n">
        <v>0.4659</v>
      </c>
      <c r="J405" s="8" t="n">
        <v>0.4236</v>
      </c>
      <c r="K405" s="8" t="n">
        <v>0.4404</v>
      </c>
      <c r="L405" s="8" t="n">
        <v>0.4467</v>
      </c>
      <c r="M405" s="9" t="n">
        <v>0.4526</v>
      </c>
      <c r="N405" s="9" t="n">
        <v>0.4586</v>
      </c>
      <c r="O405" s="9" t="n">
        <v>0.4601</v>
      </c>
      <c r="P405" s="9" t="n">
        <v>0.4626</v>
      </c>
      <c r="Q405" s="9" t="n">
        <v>0.4673</v>
      </c>
      <c r="R405" s="8">
        <f>AVERAGE(E405:Q405)</f>
        <v/>
      </c>
    </row>
    <row r="406">
      <c r="C406" s="1" t="n"/>
      <c r="D406" s="7" t="inlineStr">
        <is>
          <t>Merch Impact 2027</t>
        </is>
      </c>
      <c r="E406" s="9" t="n">
        <v>0.5774</v>
      </c>
      <c r="F406" s="9" t="n">
        <v>0.5256999999999999</v>
      </c>
      <c r="G406" s="9" t="n">
        <v>0.5342</v>
      </c>
      <c r="H406" s="9" t="n">
        <v>0.4474</v>
      </c>
      <c r="I406" s="9" t="n">
        <v>0.4859</v>
      </c>
      <c r="J406" s="9" t="n">
        <v>0.4436</v>
      </c>
      <c r="K406" s="9" t="n">
        <v>0.4604</v>
      </c>
      <c r="L406" s="9" t="n">
        <v>0.4667</v>
      </c>
      <c r="M406" s="9" t="n">
        <v>0.4726</v>
      </c>
      <c r="N406" s="9" t="n">
        <v>0.4786</v>
      </c>
      <c r="O406" s="9" t="n">
        <v>0.4801</v>
      </c>
      <c r="P406" s="9" t="n">
        <v>0.4826</v>
      </c>
      <c r="Q406" s="9" t="n">
        <v>0.4873</v>
      </c>
      <c r="R406" s="9">
        <f>AVERAGE(E406:Q406)</f>
        <v/>
      </c>
    </row>
    <row r="407">
      <c r="C407" s="1" t="n"/>
      <c r="D407" s="7" t="inlineStr">
        <is>
          <t>dif</t>
        </is>
      </c>
      <c r="E407" s="8">
        <f>E406-E405</f>
        <v/>
      </c>
      <c r="F407" s="8">
        <f>F406-F405</f>
        <v/>
      </c>
      <c r="G407" s="8">
        <f>G406-G405</f>
        <v/>
      </c>
      <c r="H407" s="8">
        <f>H406-H405</f>
        <v/>
      </c>
      <c r="I407" s="8">
        <f>I406-I405</f>
        <v/>
      </c>
      <c r="J407" s="8">
        <f>J406-J405</f>
        <v/>
      </c>
      <c r="K407" s="8">
        <f>K406-K405</f>
        <v/>
      </c>
      <c r="L407" s="8">
        <f>L406-L405</f>
        <v/>
      </c>
      <c r="M407" s="8">
        <f>M406-M405</f>
        <v/>
      </c>
      <c r="N407" s="8">
        <f>N406-N405</f>
        <v/>
      </c>
      <c r="O407" s="8">
        <f>O406-O405</f>
        <v/>
      </c>
      <c r="P407" s="8">
        <f>P406-P405</f>
        <v/>
      </c>
      <c r="Q407" s="8">
        <f>Q406-Q405</f>
        <v/>
      </c>
      <c r="R407" s="8">
        <f>R406-R405</f>
        <v/>
      </c>
    </row>
    <row r="408">
      <c r="C408" s="1" t="n"/>
      <c r="D408" s="7" t="inlineStr">
        <is>
          <t>ЭФ-т LSV, %</t>
        </is>
      </c>
      <c r="E408" s="8">
        <f>E407/0.03*0.01</f>
        <v/>
      </c>
      <c r="F408" s="8">
        <f>F407/0.03*0.01</f>
        <v/>
      </c>
      <c r="G408" s="8">
        <f>G407/0.03*0.01</f>
        <v/>
      </c>
      <c r="H408" s="8">
        <f>H407/0.03*0.01</f>
        <v/>
      </c>
      <c r="I408" s="8">
        <f>I407/0.03*0.01</f>
        <v/>
      </c>
      <c r="J408" s="8">
        <f>J407/0.03*0.01</f>
        <v/>
      </c>
      <c r="K408" s="8">
        <f>K407/0.03*0.01</f>
        <v/>
      </c>
      <c r="L408" s="8">
        <f>L407/0.03*0.01</f>
        <v/>
      </c>
      <c r="M408" s="8">
        <f>M407/0.03*0.01</f>
        <v/>
      </c>
      <c r="N408" s="8">
        <f>N407/0.03*0.01</f>
        <v/>
      </c>
      <c r="O408" s="8">
        <f>O407/0.03*0.01</f>
        <v/>
      </c>
      <c r="P408" s="8">
        <f>P407/0.03*0.01</f>
        <v/>
      </c>
      <c r="Q408" s="8">
        <f>Q407/0.03*0.01</f>
        <v/>
      </c>
      <c r="R408" s="8">
        <f>R407/0.03*0.01</f>
        <v/>
      </c>
    </row>
    <row r="409">
      <c r="C409" s="10" t="n"/>
      <c r="D409" s="10" t="inlineStr">
        <is>
          <t>ЭФ-т, млн руб Merch in</t>
        </is>
      </c>
      <c r="E409" s="11">
        <f>E403*E408</f>
        <v/>
      </c>
      <c r="F409" s="11">
        <f>F403*F408</f>
        <v/>
      </c>
      <c r="G409" s="11">
        <f>G403*G408</f>
        <v/>
      </c>
      <c r="H409" s="11">
        <f>H403*H408</f>
        <v/>
      </c>
      <c r="I409" s="11">
        <f>I403*I408</f>
        <v/>
      </c>
      <c r="J409" s="11">
        <f>J403*J408</f>
        <v/>
      </c>
      <c r="K409" s="11">
        <f>K403*K408</f>
        <v/>
      </c>
      <c r="L409" s="11">
        <f>L403*L408</f>
        <v/>
      </c>
      <c r="M409" s="11">
        <f>M403*M408</f>
        <v/>
      </c>
      <c r="N409" s="11">
        <f>N403*N408</f>
        <v/>
      </c>
      <c r="O409" s="11">
        <f>O403*O408</f>
        <v/>
      </c>
      <c r="P409" s="11">
        <f>P403*P408</f>
        <v/>
      </c>
      <c r="Q409" s="11">
        <f>Q403*Q408</f>
        <v/>
      </c>
      <c r="R409" s="11">
        <f>SUM(E409:Q409)</f>
        <v/>
      </c>
    </row>
    <row r="410">
      <c r="C410" s="12" t="inlineStr">
        <is>
          <t>OSA before</t>
        </is>
      </c>
      <c r="D410" s="7" t="inlineStr">
        <is>
          <t>osa before 2026</t>
        </is>
      </c>
      <c r="E410" s="8" t="n">
        <v>0.3975</v>
      </c>
      <c r="F410" s="8" t="n">
        <v>0.4713</v>
      </c>
      <c r="G410" s="8" t="n">
        <v>0.4666</v>
      </c>
      <c r="H410" s="8" t="n">
        <v>0.4947</v>
      </c>
      <c r="I410" s="8" t="n">
        <v>0.5043</v>
      </c>
      <c r="J410" s="8" t="n">
        <v>0.5051</v>
      </c>
      <c r="K410" s="8" t="n">
        <v>0.5453</v>
      </c>
      <c r="L410" s="8" t="n">
        <v>0.5144</v>
      </c>
      <c r="M410" s="9" t="n">
        <v>0.5144</v>
      </c>
      <c r="N410" s="9" t="n">
        <v>0.5165999999999999</v>
      </c>
      <c r="O410" s="9" t="n">
        <v>0.5169</v>
      </c>
      <c r="P410" s="9" t="n">
        <v>0.5188</v>
      </c>
      <c r="Q410" s="9" t="n">
        <v>0.5205</v>
      </c>
      <c r="R410" s="8">
        <f>AVERAGE(E410:Q410)</f>
        <v/>
      </c>
    </row>
    <row r="411">
      <c r="C411" s="1" t="n"/>
      <c r="D411" s="7" t="inlineStr">
        <is>
          <t>osa before 2027</t>
        </is>
      </c>
      <c r="E411" s="9" t="n">
        <v>0.3975</v>
      </c>
      <c r="F411" s="9" t="n">
        <v>0.4713</v>
      </c>
      <c r="G411" s="9" t="n">
        <v>0.4667</v>
      </c>
      <c r="H411" s="9" t="n">
        <v>0.4948</v>
      </c>
      <c r="I411" s="9" t="n">
        <v>0.506</v>
      </c>
      <c r="J411" s="9" t="n">
        <v>0.5081</v>
      </c>
      <c r="K411" s="9" t="n">
        <v>0.5453</v>
      </c>
      <c r="L411" s="9" t="n">
        <v>0.5183</v>
      </c>
      <c r="M411" s="9" t="n">
        <v>0.5201</v>
      </c>
      <c r="N411" s="9" t="n">
        <v>0.5233</v>
      </c>
      <c r="O411" s="9" t="n">
        <v>0.5246</v>
      </c>
      <c r="P411" s="9" t="n">
        <v>0.5281</v>
      </c>
      <c r="Q411" s="9" t="n">
        <v>0.5313</v>
      </c>
      <c r="R411" s="9">
        <f>AVERAGE(E411:Q411)</f>
        <v/>
      </c>
    </row>
    <row r="412">
      <c r="C412" s="1" t="n"/>
      <c r="D412" s="7" t="inlineStr">
        <is>
          <t>dif</t>
        </is>
      </c>
      <c r="E412" s="8">
        <f>E411-E410</f>
        <v/>
      </c>
      <c r="F412" s="8">
        <f>F411-F410</f>
        <v/>
      </c>
      <c r="G412" s="8">
        <f>G411-G410</f>
        <v/>
      </c>
      <c r="H412" s="8">
        <f>H411-H410</f>
        <v/>
      </c>
      <c r="I412" s="8">
        <f>I411-I410</f>
        <v/>
      </c>
      <c r="J412" s="8">
        <f>J411-J410</f>
        <v/>
      </c>
      <c r="K412" s="8">
        <f>K411-K410</f>
        <v/>
      </c>
      <c r="L412" s="8">
        <f>L411-L410</f>
        <v/>
      </c>
      <c r="M412" s="8">
        <f>M411-M410</f>
        <v/>
      </c>
      <c r="N412" s="8">
        <f>N411-N410</f>
        <v/>
      </c>
      <c r="O412" s="8">
        <f>O411-O410</f>
        <v/>
      </c>
      <c r="P412" s="8">
        <f>P411-P410</f>
        <v/>
      </c>
      <c r="Q412" s="8">
        <f>Q411-Q410</f>
        <v/>
      </c>
      <c r="R412" s="8">
        <f>R411-R410</f>
        <v/>
      </c>
    </row>
    <row r="413">
      <c r="C413" s="1" t="n"/>
      <c r="D413" s="7" t="inlineStr">
        <is>
          <t>ЭФ-т LSV, %</t>
        </is>
      </c>
      <c r="E413" s="8">
        <f>E412/0.03*0.01</f>
        <v/>
      </c>
      <c r="F413" s="8">
        <f>F412/0.03*0.01</f>
        <v/>
      </c>
      <c r="G413" s="8">
        <f>G412/0.03*0.01</f>
        <v/>
      </c>
      <c r="H413" s="8">
        <f>H412/0.03*0.01</f>
        <v/>
      </c>
      <c r="I413" s="8">
        <f>I412/0.03*0.01</f>
        <v/>
      </c>
      <c r="J413" s="8">
        <f>J412/0.03*0.01</f>
        <v/>
      </c>
      <c r="K413" s="8">
        <f>K412/0.03*0.01</f>
        <v/>
      </c>
      <c r="L413" s="8">
        <f>L412/0.03*0.01</f>
        <v/>
      </c>
      <c r="M413" s="8">
        <f>M412/0.03*0.01</f>
        <v/>
      </c>
      <c r="N413" s="8">
        <f>N412/0.03*0.01</f>
        <v/>
      </c>
      <c r="O413" s="8">
        <f>O412/0.03*0.01</f>
        <v/>
      </c>
      <c r="P413" s="8">
        <f>P412/0.03*0.01</f>
        <v/>
      </c>
      <c r="Q413" s="8">
        <f>Q412/0.03*0.01</f>
        <v/>
      </c>
      <c r="R413" s="8">
        <f>R412/0.03*0.01</f>
        <v/>
      </c>
    </row>
    <row r="414">
      <c r="C414" s="10" t="n"/>
      <c r="D414" s="10" t="inlineStr">
        <is>
          <t>ЭФ-т, млн руб Osa Base</t>
        </is>
      </c>
      <c r="E414" s="11">
        <f>E403*E413</f>
        <v/>
      </c>
      <c r="F414" s="11">
        <f>F403*F413</f>
        <v/>
      </c>
      <c r="G414" s="11">
        <f>G403*G413</f>
        <v/>
      </c>
      <c r="H414" s="11">
        <f>H403*H413</f>
        <v/>
      </c>
      <c r="I414" s="11">
        <f>I403*I413</f>
        <v/>
      </c>
      <c r="J414" s="11">
        <f>J403*J413</f>
        <v/>
      </c>
      <c r="K414" s="11">
        <f>K403*K413</f>
        <v/>
      </c>
      <c r="L414" s="11">
        <f>L403*L413</f>
        <v/>
      </c>
      <c r="M414" s="11">
        <f>M403*M413</f>
        <v/>
      </c>
      <c r="N414" s="11">
        <f>N403*N413</f>
        <v/>
      </c>
      <c r="O414" s="11">
        <f>O403*O413</f>
        <v/>
      </c>
      <c r="P414" s="11">
        <f>P403*P413</f>
        <v/>
      </c>
      <c r="Q414" s="11">
        <f>Q403*Q413</f>
        <v/>
      </c>
      <c r="R414" s="11">
        <f>SUM(E414:Q414)</f>
        <v/>
      </c>
    </row>
    <row r="415">
      <c r="C415" s="12" t="inlineStr">
        <is>
          <t>OSA</t>
        </is>
      </c>
      <c r="D415" s="4" t="inlineStr">
        <is>
          <t>total OSA 2026</t>
        </is>
      </c>
      <c r="E415" s="13">
        <f>MIN(E405+E410,1)</f>
        <v/>
      </c>
      <c r="F415" s="13">
        <f>MIN(F405+F410,1)</f>
        <v/>
      </c>
      <c r="G415" s="13">
        <f>MIN(G405+G410,1)</f>
        <v/>
      </c>
      <c r="H415" s="13">
        <f>MIN(H405+H410,1)</f>
        <v/>
      </c>
      <c r="I415" s="13">
        <f>MIN(I405+I410,1)</f>
        <v/>
      </c>
      <c r="J415" s="13">
        <f>MIN(J405+J410,1)</f>
        <v/>
      </c>
      <c r="K415" s="13">
        <f>MIN(K405+K410,1)</f>
        <v/>
      </c>
      <c r="L415" s="13">
        <f>MIN(L405+L410,1)</f>
        <v/>
      </c>
      <c r="M415" s="13">
        <f>MIN(M405+M410,1)</f>
        <v/>
      </c>
      <c r="N415" s="13">
        <f>MIN(N405+N410,1)</f>
        <v/>
      </c>
      <c r="O415" s="13">
        <f>MIN(O405+O410,1)</f>
        <v/>
      </c>
      <c r="P415" s="13">
        <f>MIN(P405+P410,1)</f>
        <v/>
      </c>
      <c r="Q415" s="13">
        <f>MIN(Q405+Q410,1)</f>
        <v/>
      </c>
      <c r="R415" s="13">
        <f>AVERAGE(E415:Q415)</f>
        <v/>
      </c>
    </row>
    <row r="416">
      <c r="C416" s="2" t="n"/>
      <c r="D416" s="4" t="inlineStr">
        <is>
          <t>total OSA 2027</t>
        </is>
      </c>
      <c r="E416" s="13">
        <f>MIN(E406+E411,1)</f>
        <v/>
      </c>
      <c r="F416" s="13">
        <f>MIN(F406+F411,1)</f>
        <v/>
      </c>
      <c r="G416" s="13">
        <f>MIN(G406+G411,1)</f>
        <v/>
      </c>
      <c r="H416" s="13">
        <f>MIN(H406+H411,1)</f>
        <v/>
      </c>
      <c r="I416" s="13">
        <f>MIN(I406+I411,1)</f>
        <v/>
      </c>
      <c r="J416" s="13">
        <f>MIN(J406+J411,1)</f>
        <v/>
      </c>
      <c r="K416" s="13">
        <f>MIN(K406+K411,1)</f>
        <v/>
      </c>
      <c r="L416" s="13">
        <f>MIN(L406+L411,1)</f>
        <v/>
      </c>
      <c r="M416" s="13">
        <f>MIN(M406+M411,1)</f>
        <v/>
      </c>
      <c r="N416" s="13">
        <f>MIN(N406+N411,1)</f>
        <v/>
      </c>
      <c r="O416" s="13">
        <f>MIN(O406+O411,1)</f>
        <v/>
      </c>
      <c r="P416" s="13">
        <f>MIN(P406+P411,1)</f>
        <v/>
      </c>
      <c r="Q416" s="13">
        <f>MIN(Q406+Q411,1)</f>
        <v/>
      </c>
      <c r="R416" s="13">
        <f>AVERAGE(E416:Q416)</f>
        <v/>
      </c>
    </row>
    <row r="417">
      <c r="C417" s="1" t="n"/>
      <c r="D417" s="7" t="inlineStr">
        <is>
          <t>dif</t>
        </is>
      </c>
      <c r="E417" s="8">
        <f>E416-E415</f>
        <v/>
      </c>
      <c r="F417" s="8">
        <f>F416-F415</f>
        <v/>
      </c>
      <c r="G417" s="8">
        <f>G416-G415</f>
        <v/>
      </c>
      <c r="H417" s="8">
        <f>H416-H415</f>
        <v/>
      </c>
      <c r="I417" s="8">
        <f>I416-I415</f>
        <v/>
      </c>
      <c r="J417" s="8">
        <f>J416-J415</f>
        <v/>
      </c>
      <c r="K417" s="8">
        <f>K416-K415</f>
        <v/>
      </c>
      <c r="L417" s="8">
        <f>L416-L415</f>
        <v/>
      </c>
      <c r="M417" s="8">
        <f>M416-M415</f>
        <v/>
      </c>
      <c r="N417" s="8">
        <f>N416-N415</f>
        <v/>
      </c>
      <c r="O417" s="8">
        <f>O416-O415</f>
        <v/>
      </c>
      <c r="P417" s="8">
        <f>P416-P415</f>
        <v/>
      </c>
      <c r="Q417" s="8">
        <f>Q416-Q415</f>
        <v/>
      </c>
      <c r="R417" s="8">
        <f>R416-R415</f>
        <v/>
      </c>
    </row>
    <row r="418">
      <c r="C418" s="10" t="n"/>
      <c r="D418" s="10" t="inlineStr">
        <is>
          <t>total 2027 млн руб</t>
        </is>
      </c>
      <c r="E418" s="11">
        <f>E409+E414</f>
        <v/>
      </c>
      <c r="F418" s="11">
        <f>F409+F414</f>
        <v/>
      </c>
      <c r="G418" s="11">
        <f>G409+G414</f>
        <v/>
      </c>
      <c r="H418" s="11">
        <f>H409+H414</f>
        <v/>
      </c>
      <c r="I418" s="11">
        <f>I409+I414</f>
        <v/>
      </c>
      <c r="J418" s="11">
        <f>J409+J414</f>
        <v/>
      </c>
      <c r="K418" s="11">
        <f>K409+K414</f>
        <v/>
      </c>
      <c r="L418" s="11">
        <f>L409+L414</f>
        <v/>
      </c>
      <c r="M418" s="11">
        <f>M409+M414</f>
        <v/>
      </c>
      <c r="N418" s="11">
        <f>N409+N414</f>
        <v/>
      </c>
      <c r="O418" s="11">
        <f>O409+O414</f>
        <v/>
      </c>
      <c r="P418" s="11">
        <f>P409+P414</f>
        <v/>
      </c>
      <c r="Q418" s="11">
        <f>Q409+Q414</f>
        <v/>
      </c>
      <c r="R418" s="11">
        <f>R409+R414</f>
        <v/>
      </c>
    </row>
  </sheetData>
  <mergeCells count="66">
    <mergeCell ref="C62:C67"/>
    <mergeCell ref="C225:C228"/>
    <mergeCell ref="C163:C167"/>
    <mergeCell ref="C201:C205"/>
    <mergeCell ref="C263:C266"/>
    <mergeCell ref="C396:C399"/>
    <mergeCell ref="C195:C200"/>
    <mergeCell ref="C73:C76"/>
    <mergeCell ref="C11:C15"/>
    <mergeCell ref="C206:C209"/>
    <mergeCell ref="C377:C380"/>
    <mergeCell ref="C24:C29"/>
    <mergeCell ref="C157:C162"/>
    <mergeCell ref="C277:C281"/>
    <mergeCell ref="C92:C95"/>
    <mergeCell ref="C296:C300"/>
    <mergeCell ref="C5:C10"/>
    <mergeCell ref="C54:C57"/>
    <mergeCell ref="C35:C38"/>
    <mergeCell ref="C144:C148"/>
    <mergeCell ref="C290:C295"/>
    <mergeCell ref="C106:C110"/>
    <mergeCell ref="C320:C323"/>
    <mergeCell ref="C391:C395"/>
    <mergeCell ref="C100:C105"/>
    <mergeCell ref="C271:C276"/>
    <mergeCell ref="C16:C19"/>
    <mergeCell ref="C125:C129"/>
    <mergeCell ref="C168:C171"/>
    <mergeCell ref="C187:C190"/>
    <mergeCell ref="C309:C314"/>
    <mergeCell ref="C410:C414"/>
    <mergeCell ref="C252:C257"/>
    <mergeCell ref="C301:C304"/>
    <mergeCell ref="C239:C243"/>
    <mergeCell ref="C415:C418"/>
    <mergeCell ref="C282:C285"/>
    <mergeCell ref="C49:C53"/>
    <mergeCell ref="C87:C91"/>
    <mergeCell ref="C220:C224"/>
    <mergeCell ref="C258:C262"/>
    <mergeCell ref="C404:C409"/>
    <mergeCell ref="C43:C48"/>
    <mergeCell ref="C176:C181"/>
    <mergeCell ref="C30:C34"/>
    <mergeCell ref="C68:C72"/>
    <mergeCell ref="C130:C133"/>
    <mergeCell ref="C214:C219"/>
    <mergeCell ref="C347:C352"/>
    <mergeCell ref="C372:C376"/>
    <mergeCell ref="C244:C247"/>
    <mergeCell ref="C315:C319"/>
    <mergeCell ref="C353:C357"/>
    <mergeCell ref="C138:C143"/>
    <mergeCell ref="C334:C338"/>
    <mergeCell ref="C119:C124"/>
    <mergeCell ref="C339:C342"/>
    <mergeCell ref="C328:C333"/>
    <mergeCell ref="C233:C238"/>
    <mergeCell ref="C149:C152"/>
    <mergeCell ref="C358:C361"/>
    <mergeCell ref="C385:C390"/>
    <mergeCell ref="C81:C86"/>
    <mergeCell ref="C366:C371"/>
    <mergeCell ref="C111:C114"/>
    <mergeCell ref="C182:C1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58"/>
  <sheetViews>
    <sheetView workbookViewId="0">
      <selection activeCell="A1" sqref="A1"/>
    </sheetView>
  </sheetViews>
  <sheetFormatPr baseColWidth="8" defaultRowHeight="15"/>
  <cols>
    <col width="17.140625" customWidth="1" min="1" max="1"/>
    <col width="9" customWidth="1" min="2" max="2"/>
    <col width="10.5703125" customWidth="1" min="3" max="3"/>
    <col width="13.140625" customWidth="1" min="4" max="4"/>
    <col width="28.85546875" customWidth="1" min="5" max="5"/>
    <col width="9.140625" customWidth="1" min="6" max="6"/>
  </cols>
  <sheetData>
    <row r="1">
      <c r="A1" s="14" t="inlineStr">
        <is>
          <t>full_period_name</t>
        </is>
      </c>
      <c r="B1" s="14" t="inlineStr">
        <is>
          <t>OSA After</t>
        </is>
      </c>
      <c r="C1" s="14" t="inlineStr">
        <is>
          <t>OSA Before</t>
        </is>
      </c>
      <c r="D1" s="14" t="inlineStr">
        <is>
          <t>Merch Impact</t>
        </is>
      </c>
      <c r="E1" s="14" t="inlineStr">
        <is>
          <t>retailer_name</t>
        </is>
      </c>
      <c r="F1" s="14" t="inlineStr">
        <is>
          <t>DMR</t>
        </is>
      </c>
    </row>
    <row r="2">
      <c r="A2" s="14" t="inlineStr">
        <is>
          <t>2026 P03</t>
        </is>
      </c>
      <c r="B2" s="15" t="n">
        <v>1</v>
      </c>
      <c r="C2" s="15" t="n">
        <v>1</v>
      </c>
      <c r="D2" s="15" t="n">
        <v>0</v>
      </c>
      <c r="E2" s="14" t="inlineStr">
        <is>
          <t>ИП Щебетовский</t>
        </is>
      </c>
      <c r="F2" s="16" t="n"/>
    </row>
    <row r="3">
      <c r="A3" s="14" t="inlineStr">
        <is>
          <t>2026 P05</t>
        </is>
      </c>
      <c r="B3" s="15" t="n">
        <v>1</v>
      </c>
      <c r="C3" s="15" t="n">
        <v>0.9874297008149947</v>
      </c>
      <c r="D3" s="15" t="n">
        <v>0.0125702991850053</v>
      </c>
      <c r="E3" s="14" t="inlineStr">
        <is>
          <t xml:space="preserve"> Лысов А.С.</t>
        </is>
      </c>
      <c r="F3" s="16" t="n"/>
    </row>
    <row r="4">
      <c r="A4" s="14" t="inlineStr">
        <is>
          <t>2026 P03</t>
        </is>
      </c>
      <c r="B4" s="15" t="n">
        <v>0.9999111100713369</v>
      </c>
      <c r="C4" s="15" t="n">
        <v>0.9521244989429971</v>
      </c>
      <c r="D4" s="15" t="n">
        <v>0.04778661112833982</v>
      </c>
      <c r="E4" s="14" t="inlineStr">
        <is>
          <t xml:space="preserve"> Лысов А.С.</t>
        </is>
      </c>
      <c r="F4" s="16" t="n"/>
    </row>
    <row r="5">
      <c r="A5" s="14" t="inlineStr">
        <is>
          <t>2026 P02</t>
        </is>
      </c>
      <c r="B5" s="15" t="n">
        <v>1</v>
      </c>
      <c r="C5" s="15" t="n">
        <v>0.9496705500703319</v>
      </c>
      <c r="D5" s="15" t="n">
        <v>0.05032944992966815</v>
      </c>
      <c r="E5" s="14" t="inlineStr">
        <is>
          <t xml:space="preserve"> Лысов А.С.</t>
        </is>
      </c>
      <c r="F5" s="16" t="n"/>
    </row>
    <row r="6">
      <c r="A6" s="14" t="inlineStr">
        <is>
          <t>2026 P01</t>
        </is>
      </c>
      <c r="B6" s="15" t="n">
        <v>0.9997329549677532</v>
      </c>
      <c r="C6" s="15" t="n">
        <v>0.9463495410153285</v>
      </c>
      <c r="D6" s="15" t="n">
        <v>0.05338341395242463</v>
      </c>
      <c r="E6" s="14" t="inlineStr">
        <is>
          <t xml:space="preserve"> Лысов А.С.</t>
        </is>
      </c>
      <c r="F6" s="16" t="n"/>
    </row>
    <row r="7">
      <c r="A7" s="14" t="inlineStr">
        <is>
          <t>2026 P06</t>
        </is>
      </c>
      <c r="B7" s="15" t="n">
        <v>0.9802320176943417</v>
      </c>
      <c r="C7" s="15" t="n">
        <v>0.9326831593837347</v>
      </c>
      <c r="D7" s="15" t="n">
        <v>0.04754885831060696</v>
      </c>
      <c r="E7" s="14" t="inlineStr">
        <is>
          <t>Раз Два</t>
        </is>
      </c>
      <c r="F7" s="16" t="n"/>
    </row>
    <row r="8">
      <c r="A8" s="14" t="inlineStr">
        <is>
          <t>2026 P05</t>
        </is>
      </c>
      <c r="B8" s="15" t="n">
        <v>0.9688033347834825</v>
      </c>
      <c r="C8" s="15" t="n">
        <v>0.9296375424709746</v>
      </c>
      <c r="D8" s="15" t="n">
        <v>0.03916579231250783</v>
      </c>
      <c r="E8" s="14" t="inlineStr">
        <is>
          <t>Раз Два</t>
        </is>
      </c>
      <c r="F8" s="16" t="n"/>
    </row>
    <row r="9">
      <c r="A9" s="14" t="inlineStr">
        <is>
          <t>2026 P03</t>
        </is>
      </c>
      <c r="B9" s="15" t="n">
        <v>0.9828044036421119</v>
      </c>
      <c r="C9" s="15" t="n">
        <v>0.9265308955808418</v>
      </c>
      <c r="D9" s="15" t="n">
        <v>0.05627350806127007</v>
      </c>
      <c r="E9" s="14" t="inlineStr">
        <is>
          <t>Гиперглобус</t>
        </is>
      </c>
      <c r="F9" s="16" t="n"/>
    </row>
    <row r="10">
      <c r="A10" s="14" t="inlineStr">
        <is>
          <t>2026 P04</t>
        </is>
      </c>
      <c r="B10" s="15" t="n">
        <v>0.9811267611370519</v>
      </c>
      <c r="C10" s="15" t="n">
        <v>0.922130794837432</v>
      </c>
      <c r="D10" s="15" t="n">
        <v>0.0589959662996199</v>
      </c>
      <c r="E10" s="14" t="inlineStr">
        <is>
          <t>Раз Два</t>
        </is>
      </c>
      <c r="F10" s="16" t="n"/>
    </row>
    <row r="11">
      <c r="A11" s="14" t="inlineStr">
        <is>
          <t>2026 P07</t>
        </is>
      </c>
      <c r="B11" s="15" t="n">
        <v>0.9620338193582468</v>
      </c>
      <c r="C11" s="15" t="n">
        <v>0.92052326630715</v>
      </c>
      <c r="D11" s="15" t="n">
        <v>0.04151055305109685</v>
      </c>
      <c r="E11" s="14" t="inlineStr">
        <is>
          <t>Раз Два</t>
        </is>
      </c>
      <c r="F11" s="16" t="n"/>
    </row>
    <row r="12">
      <c r="A12" s="14" t="inlineStr">
        <is>
          <t>2026 P02</t>
        </is>
      </c>
      <c r="B12" s="15" t="n">
        <v>0.9803241344257779</v>
      </c>
      <c r="C12" s="15" t="n">
        <v>0.9194799685342711</v>
      </c>
      <c r="D12" s="15" t="n">
        <v>0.06084416589150687</v>
      </c>
      <c r="E12" s="14" t="inlineStr">
        <is>
          <t>Раз Два</t>
        </is>
      </c>
      <c r="F12" s="16" t="n"/>
    </row>
    <row r="13">
      <c r="A13" s="14" t="inlineStr">
        <is>
          <t>2026 P04</t>
        </is>
      </c>
      <c r="B13" s="15" t="n">
        <v>0.9766751996007765</v>
      </c>
      <c r="C13" s="15" t="n">
        <v>0.9188057928279642</v>
      </c>
      <c r="D13" s="15" t="n">
        <v>0.05786940677281238</v>
      </c>
      <c r="E13" s="14" t="inlineStr">
        <is>
          <t>Гиперглобус</t>
        </is>
      </c>
      <c r="F13" s="16" t="n"/>
    </row>
    <row r="14">
      <c r="A14" s="14" t="inlineStr">
        <is>
          <t>2026 P06</t>
        </is>
      </c>
      <c r="B14" s="15" t="n">
        <v>0.981945907402909</v>
      </c>
      <c r="C14" s="15" t="n">
        <v>0.9162017608745322</v>
      </c>
      <c r="D14" s="15" t="n">
        <v>0.06574414652837679</v>
      </c>
      <c r="E14" s="14" t="inlineStr">
        <is>
          <t>Гиперглобус</t>
        </is>
      </c>
      <c r="F14" s="16" t="n"/>
    </row>
    <row r="15">
      <c r="A15" s="14" t="inlineStr">
        <is>
          <t>2026 P05</t>
        </is>
      </c>
      <c r="B15" s="15" t="n">
        <v>0.9853142477378589</v>
      </c>
      <c r="C15" s="15" t="n">
        <v>0.9148574018027233</v>
      </c>
      <c r="D15" s="15" t="n">
        <v>0.07045684593513557</v>
      </c>
      <c r="E15" s="14" t="inlineStr">
        <is>
          <t>ООО Формат</t>
        </is>
      </c>
      <c r="F15" s="16" t="n"/>
    </row>
    <row r="16">
      <c r="A16" s="14" t="inlineStr">
        <is>
          <t>2026 P07</t>
        </is>
      </c>
      <c r="B16" s="15" t="n">
        <v>0.9858203649764834</v>
      </c>
      <c r="C16" s="15" t="n">
        <v>0.912124211781538</v>
      </c>
      <c r="D16" s="15" t="n">
        <v>0.07369615319494538</v>
      </c>
      <c r="E16" s="14" t="inlineStr">
        <is>
          <t>Гиперглобус</t>
        </is>
      </c>
      <c r="F16" s="16" t="n"/>
    </row>
    <row r="17">
      <c r="A17" s="14" t="inlineStr">
        <is>
          <t>2026 P03</t>
        </is>
      </c>
      <c r="B17" s="15" t="n">
        <v>0.9765913783595987</v>
      </c>
      <c r="C17" s="15" t="n">
        <v>0.910100935241257</v>
      </c>
      <c r="D17" s="15" t="n">
        <v>0.06649044311834174</v>
      </c>
      <c r="E17" s="14" t="inlineStr">
        <is>
          <t>Раз Два</t>
        </is>
      </c>
      <c r="F17" s="16" t="n"/>
    </row>
    <row r="18">
      <c r="A18" s="14" t="inlineStr">
        <is>
          <t>2026 P04</t>
        </is>
      </c>
      <c r="B18" s="15" t="n">
        <v>0.9683640862170255</v>
      </c>
      <c r="C18" s="15" t="n">
        <v>0.9068109957002188</v>
      </c>
      <c r="D18" s="15" t="n">
        <v>0.06155309051680669</v>
      </c>
      <c r="E18" s="14" t="inlineStr">
        <is>
          <t>4 лапы</t>
        </is>
      </c>
      <c r="F18" s="16" t="n"/>
    </row>
    <row r="19">
      <c r="A19" s="14" t="inlineStr">
        <is>
          <t>2026 P06</t>
        </is>
      </c>
      <c r="B19" s="15" t="n">
        <v>0.9702623816077077</v>
      </c>
      <c r="C19" s="15" t="n">
        <v>0.9032800372943034</v>
      </c>
      <c r="D19" s="15" t="n">
        <v>0.06698234431340433</v>
      </c>
      <c r="E19" s="14" t="inlineStr">
        <is>
          <t>4 лапы</t>
        </is>
      </c>
      <c r="F19" s="16" t="n"/>
    </row>
    <row r="20">
      <c r="A20" s="14" t="inlineStr">
        <is>
          <t>2026 P06</t>
        </is>
      </c>
      <c r="B20" s="15" t="n">
        <v>0.9884001531815838</v>
      </c>
      <c r="C20" s="15" t="n">
        <v>0.902401218548997</v>
      </c>
      <c r="D20" s="15" t="n">
        <v>0.08599893463258679</v>
      </c>
      <c r="E20" s="14" t="inlineStr">
        <is>
          <t>ООО Формат</t>
        </is>
      </c>
      <c r="F20" s="16" t="n"/>
    </row>
    <row r="21">
      <c r="A21" s="14" t="inlineStr">
        <is>
          <t>2026 P05</t>
        </is>
      </c>
      <c r="B21" s="15" t="n">
        <v>0.9749658383056713</v>
      </c>
      <c r="C21" s="15" t="n">
        <v>0.9023397949470784</v>
      </c>
      <c r="D21" s="15" t="n">
        <v>0.07262604335859291</v>
      </c>
      <c r="E21" s="14" t="inlineStr">
        <is>
          <t>Гиперглобус</t>
        </is>
      </c>
      <c r="F21" s="16" t="n"/>
    </row>
    <row r="22">
      <c r="A22" s="14" t="inlineStr">
        <is>
          <t>2026 P04</t>
        </is>
      </c>
      <c r="B22" s="15" t="n">
        <v>1</v>
      </c>
      <c r="C22" s="15" t="n">
        <v>0.9004749795907205</v>
      </c>
      <c r="D22" s="15" t="n">
        <v>0.09952502040927946</v>
      </c>
      <c r="E22" s="14" t="inlineStr">
        <is>
          <t xml:space="preserve"> Лысов А.С.</t>
        </is>
      </c>
      <c r="F22" s="16" t="n"/>
    </row>
    <row r="23">
      <c r="A23" s="14" t="inlineStr">
        <is>
          <t>2026 P05</t>
        </is>
      </c>
      <c r="B23" s="15" t="n">
        <v>0.9683394767014941</v>
      </c>
      <c r="C23" s="15" t="n">
        <v>0.8999031916790768</v>
      </c>
      <c r="D23" s="15" t="n">
        <v>0.06843628502241728</v>
      </c>
      <c r="E23" s="14" t="inlineStr">
        <is>
          <t>4 лапы</t>
        </is>
      </c>
      <c r="F23" s="16" t="n"/>
    </row>
    <row r="24">
      <c r="A24" s="14" t="inlineStr">
        <is>
          <t>2026 P07</t>
        </is>
      </c>
      <c r="B24" s="15" t="n">
        <v>0.9831775768789953</v>
      </c>
      <c r="C24" s="15" t="n">
        <v>0.8993810237749288</v>
      </c>
      <c r="D24" s="15" t="n">
        <v>0.08379655310406653</v>
      </c>
      <c r="E24" s="14" t="inlineStr">
        <is>
          <t>Ашан</t>
        </is>
      </c>
      <c r="F24" s="16" t="n"/>
    </row>
    <row r="25">
      <c r="A25" s="14" t="inlineStr">
        <is>
          <t>2026 P07</t>
        </is>
      </c>
      <c r="B25" s="15" t="n">
        <v>0.9711813498926881</v>
      </c>
      <c r="C25" s="15" t="n">
        <v>0.8987451958145676</v>
      </c>
      <c r="D25" s="15" t="n">
        <v>0.07243615407812054</v>
      </c>
      <c r="E25" s="14" t="inlineStr">
        <is>
          <t>4 лапы</t>
        </is>
      </c>
      <c r="F25" s="16" t="n"/>
    </row>
    <row r="26">
      <c r="A26" s="14" t="inlineStr">
        <is>
          <t>2026 P08</t>
        </is>
      </c>
      <c r="B26" s="15" t="n">
        <v>0.9700036323617265</v>
      </c>
      <c r="C26" s="15" t="n">
        <v>0.8960572786883069</v>
      </c>
      <c r="D26" s="15" t="n">
        <v>0.07394635367341962</v>
      </c>
      <c r="E26" s="14" t="inlineStr">
        <is>
          <t>4 лапы</t>
        </is>
      </c>
      <c r="F26" s="16" t="n"/>
    </row>
    <row r="27">
      <c r="A27" s="14" t="inlineStr">
        <is>
          <t>2026 P07</t>
        </is>
      </c>
      <c r="B27" s="15" t="n">
        <v>0.9909941637955977</v>
      </c>
      <c r="C27" s="15" t="n">
        <v>0.8955821197018864</v>
      </c>
      <c r="D27" s="15" t="n">
        <v>0.09541204409371129</v>
      </c>
      <c r="E27" s="14" t="inlineStr">
        <is>
          <t>ООО Формат</t>
        </is>
      </c>
      <c r="F27" s="16" t="n"/>
    </row>
    <row r="28">
      <c r="A28" s="14" t="inlineStr">
        <is>
          <t>2026 P01</t>
        </is>
      </c>
      <c r="B28" s="15" t="n">
        <v>0.9607928657088478</v>
      </c>
      <c r="C28" s="15" t="n">
        <v>0.8940556327685392</v>
      </c>
      <c r="D28" s="15" t="n">
        <v>0.06673723294030864</v>
      </c>
      <c r="E28" s="14" t="inlineStr">
        <is>
          <t>Раз Два</t>
        </is>
      </c>
      <c r="F28" s="16" t="n"/>
    </row>
    <row r="29">
      <c r="A29" s="14" t="inlineStr">
        <is>
          <t>2026 P08</t>
        </is>
      </c>
      <c r="B29" s="15" t="n">
        <v>0.9870865828701909</v>
      </c>
      <c r="C29" s="15" t="n">
        <v>0.8938074510009011</v>
      </c>
      <c r="D29" s="15" t="n">
        <v>0.09327913186928982</v>
      </c>
      <c r="E29" s="14" t="inlineStr">
        <is>
          <t>Гиперглобус</t>
        </is>
      </c>
      <c r="F29" s="16" t="n"/>
    </row>
    <row r="30">
      <c r="A30" s="14" t="inlineStr">
        <is>
          <t>2026 P06</t>
        </is>
      </c>
      <c r="B30" s="15" t="n">
        <v>0.9762188740683734</v>
      </c>
      <c r="C30" s="15" t="n">
        <v>0.8936666707572193</v>
      </c>
      <c r="D30" s="15" t="n">
        <v>0.08255220331115409</v>
      </c>
      <c r="E30" s="14" t="inlineStr">
        <is>
          <t>Ашан</t>
        </is>
      </c>
      <c r="F30" s="16" t="n"/>
    </row>
    <row r="31">
      <c r="A31" s="14" t="inlineStr">
        <is>
          <t>2026 P07</t>
        </is>
      </c>
      <c r="B31" s="15" t="n">
        <v>0.9472995901346356</v>
      </c>
      <c r="C31" s="15" t="n">
        <v>0.8933668350209975</v>
      </c>
      <c r="D31" s="15" t="n">
        <v>0.05393275511363815</v>
      </c>
      <c r="E31" s="14" t="inlineStr">
        <is>
          <t>Пловдив</t>
        </is>
      </c>
      <c r="F31" s="16" t="n"/>
    </row>
    <row r="32">
      <c r="A32" s="14" t="inlineStr">
        <is>
          <t>2026 P02</t>
        </is>
      </c>
      <c r="B32" s="15" t="n">
        <v>1</v>
      </c>
      <c r="C32" s="15" t="n">
        <v>0.8925588877633517</v>
      </c>
      <c r="D32" s="15" t="n">
        <v>0.1074411122366483</v>
      </c>
      <c r="E32" s="14" t="inlineStr">
        <is>
          <t>ИП Щебетовский</t>
        </is>
      </c>
      <c r="F32" s="16" t="n"/>
    </row>
    <row r="33">
      <c r="A33" s="14" t="inlineStr">
        <is>
          <t>2026 P03</t>
        </is>
      </c>
      <c r="B33" s="15" t="n">
        <v>0.9676364722302951</v>
      </c>
      <c r="C33" s="15" t="n">
        <v>0.8904855652822439</v>
      </c>
      <c r="D33" s="15" t="n">
        <v>0.07715090694805127</v>
      </c>
      <c r="E33" s="14" t="inlineStr">
        <is>
          <t>4 лапы</t>
        </is>
      </c>
      <c r="F33" s="16" t="n"/>
    </row>
    <row r="34">
      <c r="A34" s="14" t="inlineStr">
        <is>
          <t>2026 P08</t>
        </is>
      </c>
      <c r="B34" s="15" t="n">
        <v>0.9453275878609737</v>
      </c>
      <c r="C34" s="15" t="n">
        <v>0.8901602659554024</v>
      </c>
      <c r="D34" s="15" t="n">
        <v>0.05516732190557128</v>
      </c>
      <c r="E34" s="14" t="inlineStr">
        <is>
          <t>Пловдив</t>
        </is>
      </c>
      <c r="F34" s="16" t="n"/>
    </row>
    <row r="35">
      <c r="A35" s="14" t="inlineStr">
        <is>
          <t>2026 P04</t>
        </is>
      </c>
      <c r="B35" s="15" t="n">
        <v>0.9620827976193039</v>
      </c>
      <c r="C35" s="15" t="n">
        <v>0.8875219808887493</v>
      </c>
      <c r="D35" s="15" t="n">
        <v>0.07456081673055459</v>
      </c>
      <c r="E35" s="14" t="inlineStr">
        <is>
          <t>Ашан</t>
        </is>
      </c>
      <c r="F35" s="16" t="n"/>
    </row>
    <row r="36">
      <c r="A36" s="14" t="inlineStr">
        <is>
          <t>2026 P05</t>
        </is>
      </c>
      <c r="B36" s="15" t="n">
        <v>0.9670664687328744</v>
      </c>
      <c r="C36" s="15" t="n">
        <v>0.8845330747352481</v>
      </c>
      <c r="D36" s="15" t="n">
        <v>0.08253339399762627</v>
      </c>
      <c r="E36" s="14" t="inlineStr">
        <is>
          <t>Ашан</t>
        </is>
      </c>
      <c r="F36" s="16" t="n"/>
    </row>
    <row r="37">
      <c r="A37" s="14" t="inlineStr">
        <is>
          <t>2026 P08</t>
        </is>
      </c>
      <c r="B37" s="15" t="n">
        <v>0.9901084605508118</v>
      </c>
      <c r="C37" s="15" t="n">
        <v>0.8844201913591854</v>
      </c>
      <c r="D37" s="15" t="n">
        <v>0.1056882691916264</v>
      </c>
      <c r="E37" s="14" t="inlineStr">
        <is>
          <t>ООО Формат</t>
        </is>
      </c>
      <c r="F37" s="16" t="n"/>
    </row>
    <row r="38">
      <c r="A38" s="14" t="inlineStr">
        <is>
          <t>2026 P08</t>
        </is>
      </c>
      <c r="B38" s="15" t="n">
        <v>0.97815105054007</v>
      </c>
      <c r="C38" s="15" t="n">
        <v>0.8789994236118284</v>
      </c>
      <c r="D38" s="15" t="n">
        <v>0.09915162692824164</v>
      </c>
      <c r="E38" s="14" t="inlineStr">
        <is>
          <t>Ашан</t>
        </is>
      </c>
      <c r="F38" s="16" t="n"/>
    </row>
    <row r="39">
      <c r="A39" s="14" t="inlineStr">
        <is>
          <t>2026 P06</t>
        </is>
      </c>
      <c r="B39" s="15" t="n">
        <v>0.9398442449704856</v>
      </c>
      <c r="C39" s="15" t="n">
        <v>0.8760814329280515</v>
      </c>
      <c r="D39" s="15" t="n">
        <v>0.06376281204243406</v>
      </c>
      <c r="E39" s="14" t="inlineStr">
        <is>
          <t>Пловдив</t>
        </is>
      </c>
      <c r="F39" s="16" t="n"/>
    </row>
    <row r="40">
      <c r="A40" s="14" t="inlineStr">
        <is>
          <t>2026 P03</t>
        </is>
      </c>
      <c r="B40" s="15" t="n">
        <v>0.9598785726836055</v>
      </c>
      <c r="C40" s="15" t="n">
        <v>0.8755583292835732</v>
      </c>
      <c r="D40" s="15" t="n">
        <v>0.0843202434000323</v>
      </c>
      <c r="E40" s="14" t="inlineStr">
        <is>
          <t>Ашан</t>
        </is>
      </c>
      <c r="F40" s="16" t="n"/>
    </row>
    <row r="41">
      <c r="A41" s="14" t="inlineStr">
        <is>
          <t>2026 P04</t>
        </is>
      </c>
      <c r="B41" s="15" t="n">
        <v>0.9700528013424331</v>
      </c>
      <c r="C41" s="15" t="n">
        <v>0.8743762381003469</v>
      </c>
      <c r="D41" s="15" t="n">
        <v>0.09567656324208618</v>
      </c>
      <c r="E41" s="14" t="inlineStr">
        <is>
          <t>Самбери</t>
        </is>
      </c>
      <c r="F41" s="16" t="n"/>
    </row>
    <row r="42">
      <c r="A42" s="14" t="inlineStr">
        <is>
          <t>2026 P08</t>
        </is>
      </c>
      <c r="B42" s="15" t="n">
        <v>0.8991529723189056</v>
      </c>
      <c r="C42" s="15" t="n">
        <v>0.8740011852118778</v>
      </c>
      <c r="D42" s="15" t="n">
        <v>0.02515178710702781</v>
      </c>
      <c r="E42" s="14" t="inlineStr">
        <is>
          <t>Лотос</t>
        </is>
      </c>
      <c r="F42" s="16" t="n"/>
    </row>
    <row r="43">
      <c r="A43" s="14" t="inlineStr">
        <is>
          <t>2026 P02</t>
        </is>
      </c>
      <c r="B43" s="15" t="n">
        <v>0.9660853466846548</v>
      </c>
      <c r="C43" s="15" t="n">
        <v>0.8739806140585624</v>
      </c>
      <c r="D43" s="15" t="n">
        <v>0.09210473262609242</v>
      </c>
      <c r="E43" s="14" t="inlineStr">
        <is>
          <t>4 лапы</t>
        </is>
      </c>
      <c r="F43" s="16" t="n"/>
    </row>
    <row r="44">
      <c r="A44" s="14" t="inlineStr">
        <is>
          <t>2026 P04</t>
        </is>
      </c>
      <c r="B44" s="15" t="n">
        <v>0.9044966297606389</v>
      </c>
      <c r="C44" s="15" t="n">
        <v>0.8706845158693236</v>
      </c>
      <c r="D44" s="15" t="n">
        <v>0.03381211389131533</v>
      </c>
      <c r="E44" s="14" t="inlineStr">
        <is>
          <t>Магнит Косметик</t>
        </is>
      </c>
      <c r="F44" s="16" t="n"/>
    </row>
    <row r="45">
      <c r="A45" s="14" t="inlineStr">
        <is>
          <t>2026 P06</t>
        </is>
      </c>
      <c r="B45" s="15" t="n">
        <v>0.9621639906160783</v>
      </c>
      <c r="C45" s="15" t="n">
        <v>0.8705790696294877</v>
      </c>
      <c r="D45" s="15" t="n">
        <v>0.09158492098659055</v>
      </c>
      <c r="E45" s="14" t="inlineStr">
        <is>
          <t>ОКЕЙ</t>
        </is>
      </c>
      <c r="F45" s="16" t="n"/>
    </row>
    <row r="46">
      <c r="A46" s="14" t="inlineStr">
        <is>
          <t>2026 P04</t>
        </is>
      </c>
      <c r="B46" s="15" t="n">
        <v>0.9501998189207458</v>
      </c>
      <c r="C46" s="15" t="n">
        <v>0.8705680535072178</v>
      </c>
      <c r="D46" s="15" t="n">
        <v>0.07963176541352801</v>
      </c>
      <c r="E46" s="14" t="inlineStr">
        <is>
          <t>Яблоко</t>
        </is>
      </c>
      <c r="F46" s="16" t="n"/>
    </row>
    <row r="47">
      <c r="A47" s="14" t="inlineStr">
        <is>
          <t>2026 P08</t>
        </is>
      </c>
      <c r="B47" s="15" t="n">
        <v>0.8603375914121716</v>
      </c>
      <c r="C47" s="15" t="n">
        <v>0.8703523226635276</v>
      </c>
      <c r="D47" s="15" t="n">
        <v>-0.01001473125135599</v>
      </c>
      <c r="E47" s="14" t="inlineStr">
        <is>
          <t>ИП Ястребков А.Н.</t>
        </is>
      </c>
      <c r="F47" s="16" t="n"/>
    </row>
    <row r="48">
      <c r="A48" s="14" t="inlineStr">
        <is>
          <t>2026 P04</t>
        </is>
      </c>
      <c r="B48" s="15" t="n">
        <v>0.957417304696577</v>
      </c>
      <c r="C48" s="15" t="n">
        <v>0.8701237315633604</v>
      </c>
      <c r="D48" s="15" t="n">
        <v>0.08729357313321662</v>
      </c>
      <c r="E48" s="14" t="inlineStr">
        <is>
          <t>ОКЕЙ</t>
        </is>
      </c>
      <c r="F48" s="16" t="n"/>
    </row>
    <row r="49">
      <c r="A49" s="14" t="inlineStr">
        <is>
          <t>2026 P03</t>
        </is>
      </c>
      <c r="B49" s="15" t="n">
        <v>0.9510782384614377</v>
      </c>
      <c r="C49" s="15" t="n">
        <v>0.8689748288291598</v>
      </c>
      <c r="D49" s="15" t="n">
        <v>0.08210340963227791</v>
      </c>
      <c r="E49" s="14" t="inlineStr">
        <is>
          <t>Ярче</t>
        </is>
      </c>
      <c r="F49" s="16" t="n"/>
    </row>
    <row r="50">
      <c r="A50" s="14" t="inlineStr">
        <is>
          <t>2026 P08</t>
        </is>
      </c>
      <c r="B50" s="15" t="n">
        <v>0.9132577651091842</v>
      </c>
      <c r="C50" s="15" t="n">
        <v>0.868602708244104</v>
      </c>
      <c r="D50" s="15" t="n">
        <v>0.0446550568650802</v>
      </c>
      <c r="E50" s="14" t="inlineStr">
        <is>
          <t>Раз Два</t>
        </is>
      </c>
      <c r="F50" s="16" t="n"/>
    </row>
    <row r="51">
      <c r="A51" s="14" t="inlineStr">
        <is>
          <t>2026 P06</t>
        </is>
      </c>
      <c r="B51" s="15" t="n">
        <v>0.963359127648774</v>
      </c>
      <c r="C51" s="15" t="n">
        <v>0.8685915209447533</v>
      </c>
      <c r="D51" s="15" t="n">
        <v>0.09476760670402062</v>
      </c>
      <c r="E51" s="14" t="inlineStr">
        <is>
          <t>Ярче</t>
        </is>
      </c>
      <c r="F51" s="16" t="n"/>
    </row>
    <row r="52">
      <c r="A52" s="14" t="inlineStr">
        <is>
          <t>2026 P04</t>
        </is>
      </c>
      <c r="B52" s="15" t="n">
        <v>0.9223543314629221</v>
      </c>
      <c r="C52" s="15" t="n">
        <v>0.8683551418284029</v>
      </c>
      <c r="D52" s="15" t="n">
        <v>0.05399918963451922</v>
      </c>
      <c r="E52" s="14" t="inlineStr">
        <is>
          <t>Пловдив</t>
        </is>
      </c>
      <c r="F52" s="16" t="n"/>
    </row>
    <row r="53">
      <c r="A53" s="14" t="inlineStr">
        <is>
          <t>2026 P07</t>
        </is>
      </c>
      <c r="B53" s="15" t="n">
        <v>0.9584845718465405</v>
      </c>
      <c r="C53" s="15" t="n">
        <v>0.868211560641897</v>
      </c>
      <c r="D53" s="15" t="n">
        <v>0.09027301120464348</v>
      </c>
      <c r="E53" s="14" t="inlineStr">
        <is>
          <t>Яблоко</t>
        </is>
      </c>
      <c r="F53" s="16" t="n"/>
    </row>
    <row r="54">
      <c r="A54" s="14" t="inlineStr">
        <is>
          <t>2026 P06</t>
        </is>
      </c>
      <c r="B54" s="15" t="n"/>
      <c r="C54" s="15" t="n">
        <v>0.8678918078070259</v>
      </c>
      <c r="D54" s="15" t="n">
        <v>-0.8678918078070259</v>
      </c>
      <c r="E54" s="14" t="inlineStr">
        <is>
          <t>Магнит Косметик</t>
        </is>
      </c>
      <c r="F54" s="16" t="n"/>
    </row>
    <row r="55">
      <c r="A55" s="14" t="inlineStr">
        <is>
          <t>2026 P05</t>
        </is>
      </c>
      <c r="B55" s="15" t="n">
        <v>0.9090942791730421</v>
      </c>
      <c r="C55" s="15" t="n">
        <v>0.865641390668331</v>
      </c>
      <c r="D55" s="15" t="n">
        <v>0.04345288850471107</v>
      </c>
      <c r="E55" s="14" t="inlineStr">
        <is>
          <t>Лотос</t>
        </is>
      </c>
      <c r="F55" s="16" t="n"/>
    </row>
    <row r="56">
      <c r="A56" s="14" t="inlineStr">
        <is>
          <t>2026 P05</t>
        </is>
      </c>
      <c r="B56" s="15" t="n">
        <v>0.9157623991034931</v>
      </c>
      <c r="C56" s="15" t="n">
        <v>0.8645495834602951</v>
      </c>
      <c r="D56" s="15" t="n">
        <v>0.05121281564319802</v>
      </c>
      <c r="E56" s="14" t="inlineStr">
        <is>
          <t>Пловдив</t>
        </is>
      </c>
      <c r="F56" s="16" t="n"/>
    </row>
    <row r="57">
      <c r="A57" s="14" t="inlineStr">
        <is>
          <t>2026 P06</t>
        </is>
      </c>
      <c r="B57" s="15" t="n">
        <v>1</v>
      </c>
      <c r="C57" s="15" t="n">
        <v>0.8645405322376252</v>
      </c>
      <c r="D57" s="15" t="n">
        <v>0.1354594677623748</v>
      </c>
      <c r="E57" s="14" t="inlineStr">
        <is>
          <t xml:space="preserve"> Лысов А.С.</t>
        </is>
      </c>
      <c r="F57" s="16" t="n"/>
    </row>
    <row r="58">
      <c r="A58" s="14" t="inlineStr">
        <is>
          <t>2026 P03</t>
        </is>
      </c>
      <c r="B58" s="15" t="n">
        <v>0.9612731714963664</v>
      </c>
      <c r="C58" s="15" t="n">
        <v>0.862335724507724</v>
      </c>
      <c r="D58" s="15" t="n">
        <v>0.09893744698864237</v>
      </c>
      <c r="E58" s="14" t="inlineStr">
        <is>
          <t>ОКЕЙ</t>
        </is>
      </c>
      <c r="F58" s="16" t="n"/>
    </row>
    <row r="59">
      <c r="A59" s="14" t="inlineStr">
        <is>
          <t>2026 P04</t>
        </is>
      </c>
      <c r="B59" s="15" t="n">
        <v>0.9804845766998251</v>
      </c>
      <c r="C59" s="15" t="n">
        <v>0.8617508768663851</v>
      </c>
      <c r="D59" s="15" t="n">
        <v>0.1187336998334401</v>
      </c>
      <c r="E59" s="14" t="inlineStr">
        <is>
          <t>ООО Формат</t>
        </is>
      </c>
      <c r="F59" s="16" t="n"/>
    </row>
    <row r="60">
      <c r="A60" s="14" t="inlineStr">
        <is>
          <t>2026 P05</t>
        </is>
      </c>
      <c r="B60" s="15" t="n">
        <v>0.956768092292217</v>
      </c>
      <c r="C60" s="15" t="n">
        <v>0.8617490802469021</v>
      </c>
      <c r="D60" s="15" t="n">
        <v>0.09501901204531493</v>
      </c>
      <c r="E60" s="14" t="inlineStr">
        <is>
          <t>Яблоко</t>
        </is>
      </c>
      <c r="F60" s="16" t="n"/>
    </row>
    <row r="61">
      <c r="A61" s="14" t="inlineStr">
        <is>
          <t>2026 P08</t>
        </is>
      </c>
      <c r="B61" s="15" t="n">
        <v>0.9592791365481969</v>
      </c>
      <c r="C61" s="15" t="n">
        <v>0.860787176694448</v>
      </c>
      <c r="D61" s="15" t="n">
        <v>0.09849195985374881</v>
      </c>
      <c r="E61" s="14" t="inlineStr">
        <is>
          <t>Яблоко</t>
        </is>
      </c>
      <c r="F61" s="16" t="n"/>
    </row>
    <row r="62">
      <c r="A62" s="14" t="inlineStr">
        <is>
          <t>2026 P06</t>
        </is>
      </c>
      <c r="B62" s="15" t="n">
        <v>0.9056316168710233</v>
      </c>
      <c r="C62" s="15" t="n">
        <v>0.8596233471415634</v>
      </c>
      <c r="D62" s="15" t="n">
        <v>0.04600826972945993</v>
      </c>
      <c r="E62" s="14" t="inlineStr">
        <is>
          <t>Лотос</t>
        </is>
      </c>
      <c r="F62" s="16" t="n"/>
    </row>
    <row r="63">
      <c r="A63" s="14" t="inlineStr">
        <is>
          <t>2026 P05</t>
        </is>
      </c>
      <c r="B63" s="15" t="n">
        <v>0.9620316386277739</v>
      </c>
      <c r="C63" s="15" t="n">
        <v>0.8588805767868245</v>
      </c>
      <c r="D63" s="15" t="n">
        <v>0.1031510618409494</v>
      </c>
      <c r="E63" s="14" t="inlineStr">
        <is>
          <t>Самбери</t>
        </is>
      </c>
      <c r="F63" s="16" t="n"/>
    </row>
    <row r="64">
      <c r="A64" s="14" t="inlineStr">
        <is>
          <t>2026 P06</t>
        </is>
      </c>
      <c r="B64" s="15" t="n">
        <v>0.9551007503279035</v>
      </c>
      <c r="C64" s="15" t="n">
        <v>0.858422888470499</v>
      </c>
      <c r="D64" s="15" t="n">
        <v>0.09667786185740457</v>
      </c>
      <c r="E64" s="14" t="inlineStr">
        <is>
          <t>Яблоко</t>
        </is>
      </c>
      <c r="F64" s="16" t="n"/>
    </row>
    <row r="65">
      <c r="A65" s="14" t="inlineStr">
        <is>
          <t>2026 P07</t>
        </is>
      </c>
      <c r="B65" s="15" t="n"/>
      <c r="C65" s="15" t="n">
        <v>0.8580066882828423</v>
      </c>
      <c r="D65" s="15" t="n">
        <v>-0.8580066882828423</v>
      </c>
      <c r="E65" s="14" t="inlineStr">
        <is>
          <t>Магнит Косметик</t>
        </is>
      </c>
      <c r="F65" s="16" t="n"/>
    </row>
    <row r="66">
      <c r="A66" s="14" t="inlineStr">
        <is>
          <t>2026 P07</t>
        </is>
      </c>
      <c r="B66" s="15" t="n">
        <v>0.9472448831183481</v>
      </c>
      <c r="C66" s="15" t="n">
        <v>0.8573495195833097</v>
      </c>
      <c r="D66" s="15" t="n">
        <v>0.08989536353503835</v>
      </c>
      <c r="E66" s="14" t="inlineStr">
        <is>
          <t>ОКЕЙ</t>
        </is>
      </c>
      <c r="F66" s="16" t="n"/>
    </row>
    <row r="67">
      <c r="A67" s="14" t="inlineStr">
        <is>
          <t>2026 P05</t>
        </is>
      </c>
      <c r="B67" s="15" t="n">
        <v>0.9257362173673985</v>
      </c>
      <c r="C67" s="15" t="n">
        <v>0.8572685857865753</v>
      </c>
      <c r="D67" s="15" t="n">
        <v>0.06846763158082325</v>
      </c>
      <c r="E67" s="14" t="inlineStr">
        <is>
          <t>Вега (Киров)</t>
        </is>
      </c>
      <c r="F67" s="16" t="n"/>
    </row>
    <row r="68">
      <c r="A68" s="14" t="inlineStr">
        <is>
          <t>2026 P05</t>
        </is>
      </c>
      <c r="B68" s="15" t="n">
        <v>0.9005424892350216</v>
      </c>
      <c r="C68" s="15" t="n">
        <v>0.8569135642450377</v>
      </c>
      <c r="D68" s="15" t="n">
        <v>0.04362892498998383</v>
      </c>
      <c r="E68" s="14" t="inlineStr">
        <is>
          <t>Панин</t>
        </is>
      </c>
      <c r="F68" s="16" t="n"/>
    </row>
    <row r="69">
      <c r="A69" s="14" t="inlineStr">
        <is>
          <t>2026 P04</t>
        </is>
      </c>
      <c r="B69" s="15" t="n">
        <v>0.9730121299020483</v>
      </c>
      <c r="C69" s="15" t="n">
        <v>0.8553898744996522</v>
      </c>
      <c r="D69" s="15" t="n">
        <v>0.1176222554023961</v>
      </c>
      <c r="E69" s="14" t="inlineStr">
        <is>
          <t>Нем</t>
        </is>
      </c>
      <c r="F69" s="16" t="n"/>
    </row>
    <row r="70">
      <c r="A70" s="14" t="inlineStr">
        <is>
          <t>2026 P05</t>
        </is>
      </c>
      <c r="B70" s="15" t="n">
        <v>0.9600824486115781</v>
      </c>
      <c r="C70" s="15" t="n">
        <v>0.8553051732407887</v>
      </c>
      <c r="D70" s="15" t="n">
        <v>0.1047772753707894</v>
      </c>
      <c r="E70" s="14" t="inlineStr">
        <is>
          <t>ОКЕЙ</t>
        </is>
      </c>
      <c r="F70" s="16" t="n"/>
    </row>
    <row r="71">
      <c r="A71" s="14" t="inlineStr">
        <is>
          <t>2026 P07</t>
        </is>
      </c>
      <c r="B71" s="15" t="n">
        <v>0.8938925318437528</v>
      </c>
      <c r="C71" s="15" t="n">
        <v>0.8547730876009555</v>
      </c>
      <c r="D71" s="15" t="n">
        <v>0.03911944424279734</v>
      </c>
      <c r="E71" s="14" t="inlineStr">
        <is>
          <t>Лотос</t>
        </is>
      </c>
      <c r="F71" s="16" t="n"/>
    </row>
    <row r="72">
      <c r="A72" s="14" t="inlineStr">
        <is>
          <t>2026 P07</t>
        </is>
      </c>
      <c r="B72" s="15" t="n">
        <v>0.9582478921316685</v>
      </c>
      <c r="C72" s="15" t="n">
        <v>0.8516533996325133</v>
      </c>
      <c r="D72" s="15" t="n">
        <v>0.1065944924991552</v>
      </c>
      <c r="E72" s="14" t="inlineStr">
        <is>
          <t>Ярче</t>
        </is>
      </c>
      <c r="F72" s="16" t="n"/>
    </row>
    <row r="73">
      <c r="A73" s="14" t="inlineStr">
        <is>
          <t>2026 P02</t>
        </is>
      </c>
      <c r="B73" s="15" t="n">
        <v>0.951669835432204</v>
      </c>
      <c r="C73" s="15" t="n">
        <v>0.8512858159232934</v>
      </c>
      <c r="D73" s="15" t="n">
        <v>0.1003840195089105</v>
      </c>
      <c r="E73" s="14" t="inlineStr">
        <is>
          <t>Локальная сеть "Любимец"</t>
        </is>
      </c>
      <c r="F73" s="16" t="n"/>
    </row>
    <row r="74">
      <c r="A74" s="14" t="inlineStr">
        <is>
          <t>2026 P08</t>
        </is>
      </c>
      <c r="B74" s="15" t="n">
        <v>0.96056533376885</v>
      </c>
      <c r="C74" s="15" t="n">
        <v>0.8494983952523215</v>
      </c>
      <c r="D74" s="15" t="n">
        <v>0.1110669385165285</v>
      </c>
      <c r="E74" s="14" t="inlineStr">
        <is>
          <t>Ярче</t>
        </is>
      </c>
      <c r="F74" s="16" t="n"/>
    </row>
    <row r="75">
      <c r="A75" s="14" t="inlineStr">
        <is>
          <t>2026 P05</t>
        </is>
      </c>
      <c r="B75" s="15" t="n">
        <v>0.8748250067474957</v>
      </c>
      <c r="C75" s="15" t="n">
        <v>0.8490483435762929</v>
      </c>
      <c r="D75" s="15" t="n">
        <v>0.02577666317120286</v>
      </c>
      <c r="E75" s="14" t="inlineStr">
        <is>
          <t>Нем</t>
        </is>
      </c>
      <c r="F75" s="16" t="n"/>
    </row>
    <row r="76">
      <c r="A76" s="14" t="inlineStr">
        <is>
          <t>2026 P05</t>
        </is>
      </c>
      <c r="B76" s="15" t="n">
        <v>0.808088192972337</v>
      </c>
      <c r="C76" s="15" t="n">
        <v>0.8486935812271903</v>
      </c>
      <c r="D76" s="15" t="n">
        <v>-0.04060538825485327</v>
      </c>
      <c r="E76" s="14" t="inlineStr">
        <is>
          <t>Магнит Косметик</t>
        </is>
      </c>
      <c r="F76" s="16" t="n"/>
    </row>
    <row r="77">
      <c r="A77" s="14" t="inlineStr">
        <is>
          <t>2026 P04</t>
        </is>
      </c>
      <c r="B77" s="15" t="n">
        <v>0.893565907346457</v>
      </c>
      <c r="C77" s="15" t="n">
        <v>0.8481260484002839</v>
      </c>
      <c r="D77" s="15" t="n">
        <v>0.04543985894617308</v>
      </c>
      <c r="E77" s="14" t="inlineStr">
        <is>
          <t>Вега (Киров)</t>
        </is>
      </c>
      <c r="F77" s="16" t="n"/>
    </row>
    <row r="78">
      <c r="A78" s="14" t="inlineStr">
        <is>
          <t>2026 P04</t>
        </is>
      </c>
      <c r="B78" s="15" t="n">
        <v>0.9378997233918198</v>
      </c>
      <c r="C78" s="15" t="n">
        <v>0.8480136328533845</v>
      </c>
      <c r="D78" s="15" t="n">
        <v>0.08988609053843533</v>
      </c>
      <c r="E78" s="14" t="inlineStr">
        <is>
          <t>Ярче</t>
        </is>
      </c>
      <c r="F78" s="16" t="n"/>
    </row>
    <row r="79">
      <c r="A79" s="14" t="inlineStr">
        <is>
          <t>2026 P04</t>
        </is>
      </c>
      <c r="B79" s="15" t="n">
        <v>0.874652056063675</v>
      </c>
      <c r="C79" s="15" t="n">
        <v>0.8474583668491175</v>
      </c>
      <c r="D79" s="15" t="n">
        <v>0.02719368921455756</v>
      </c>
      <c r="E79" s="14" t="inlineStr">
        <is>
          <t>Сима Ленд</t>
        </is>
      </c>
      <c r="F79" s="16" t="n"/>
    </row>
    <row r="80">
      <c r="A80" s="14" t="inlineStr">
        <is>
          <t>2026 P07</t>
        </is>
      </c>
      <c r="B80" s="15" t="n">
        <v>0.6580395592030855</v>
      </c>
      <c r="C80" s="15" t="n">
        <v>0.846892600803719</v>
      </c>
      <c r="D80" s="15" t="n">
        <v>-0.1888530416006334</v>
      </c>
      <c r="E80" s="14" t="inlineStr">
        <is>
          <t>ПУД</t>
        </is>
      </c>
      <c r="F80" s="16" t="n"/>
    </row>
    <row r="81">
      <c r="A81" s="14" t="inlineStr">
        <is>
          <t>2026 P02</t>
        </is>
      </c>
      <c r="B81" s="15" t="n">
        <v>0.9620335181754206</v>
      </c>
      <c r="C81" s="15" t="n">
        <v>0.8464250638092021</v>
      </c>
      <c r="D81" s="15" t="n">
        <v>0.1156084543662185</v>
      </c>
      <c r="E81" s="14" t="inlineStr">
        <is>
          <t>SMART - дискаунтер</t>
        </is>
      </c>
      <c r="F81" s="16" t="n"/>
    </row>
    <row r="82">
      <c r="A82" s="14" t="inlineStr">
        <is>
          <t>2026 P01</t>
        </is>
      </c>
      <c r="B82" s="15" t="n">
        <v>0.9352301601068108</v>
      </c>
      <c r="C82" s="15" t="n">
        <v>0.8463110580896667</v>
      </c>
      <c r="D82" s="15" t="n">
        <v>0.08891910201714415</v>
      </c>
      <c r="E82" s="14" t="inlineStr">
        <is>
          <t>4 лапы</t>
        </is>
      </c>
      <c r="F82" s="16" t="n"/>
    </row>
    <row r="83">
      <c r="A83" s="14" t="inlineStr">
        <is>
          <t>2026 P04</t>
        </is>
      </c>
      <c r="B83" s="15" t="n">
        <v>0.8962760749457441</v>
      </c>
      <c r="C83" s="15" t="n">
        <v>0.8458726244675855</v>
      </c>
      <c r="D83" s="15" t="n">
        <v>0.05040345047815864</v>
      </c>
      <c r="E83" s="14" t="inlineStr">
        <is>
          <t>Лотос</t>
        </is>
      </c>
      <c r="F83" s="16" t="n"/>
    </row>
    <row r="84">
      <c r="A84" s="14" t="inlineStr">
        <is>
          <t>2026 P08</t>
        </is>
      </c>
      <c r="B84" s="15" t="n">
        <v>0.9552522887144207</v>
      </c>
      <c r="C84" s="15" t="n">
        <v>0.8456629018897411</v>
      </c>
      <c r="D84" s="15" t="n">
        <v>0.1095893868246796</v>
      </c>
      <c r="E84" s="14" t="inlineStr">
        <is>
          <t>АТАК</t>
        </is>
      </c>
      <c r="F84" s="16" t="n"/>
    </row>
    <row r="85">
      <c r="A85" s="14" t="inlineStr">
        <is>
          <t>2026 P07</t>
        </is>
      </c>
      <c r="B85" s="15" t="n">
        <v>0.956280614023411</v>
      </c>
      <c r="C85" s="15" t="n">
        <v>0.8450249637179924</v>
      </c>
      <c r="D85" s="15" t="n">
        <v>0.1112556503054186</v>
      </c>
      <c r="E85" s="14" t="inlineStr">
        <is>
          <t>АТАК</t>
        </is>
      </c>
      <c r="F85" s="16" t="n"/>
    </row>
    <row r="86">
      <c r="A86" s="14" t="inlineStr">
        <is>
          <t>2026 P05</t>
        </is>
      </c>
      <c r="B86" s="15" t="n">
        <v>0.9291355776423278</v>
      </c>
      <c r="C86" s="15" t="n">
        <v>0.8439616061414795</v>
      </c>
      <c r="D86" s="15" t="n">
        <v>0.08517397150084827</v>
      </c>
      <c r="E86" s="14" t="inlineStr">
        <is>
          <t>Белый Кролик</t>
        </is>
      </c>
      <c r="F86" s="16" t="n"/>
    </row>
    <row r="87">
      <c r="A87" s="14" t="inlineStr">
        <is>
          <t>2026 P08</t>
        </is>
      </c>
      <c r="B87" s="15" t="n">
        <v>0.9510553726204871</v>
      </c>
      <c r="C87" s="15" t="n">
        <v>0.8438881523326273</v>
      </c>
      <c r="D87" s="15" t="n">
        <v>0.1071672202878599</v>
      </c>
      <c r="E87" s="14" t="inlineStr">
        <is>
          <t>Белый Кролик</t>
        </is>
      </c>
      <c r="F87" s="16" t="n"/>
    </row>
    <row r="88">
      <c r="A88" s="14" t="inlineStr">
        <is>
          <t>2026 P04</t>
        </is>
      </c>
      <c r="B88" s="15" t="n">
        <v>0.9586173278423302</v>
      </c>
      <c r="C88" s="15" t="n">
        <v>0.8434336737463173</v>
      </c>
      <c r="D88" s="15" t="n">
        <v>0.1151836540960129</v>
      </c>
      <c r="E88" s="14" t="inlineStr">
        <is>
          <t>Котопес</t>
        </is>
      </c>
      <c r="F88" s="16" t="n"/>
    </row>
    <row r="89">
      <c r="A89" s="14" t="inlineStr">
        <is>
          <t>2026 P02</t>
        </is>
      </c>
      <c r="B89" s="15" t="n">
        <v>0.9428236257542922</v>
      </c>
      <c r="C89" s="15" t="n">
        <v>0.8431113599498467</v>
      </c>
      <c r="D89" s="15" t="n">
        <v>0.09971226580444559</v>
      </c>
      <c r="E89" s="14" t="inlineStr">
        <is>
          <t>Гиперглобус</t>
        </is>
      </c>
      <c r="F89" s="16" t="n"/>
    </row>
    <row r="90">
      <c r="A90" s="14" t="inlineStr">
        <is>
          <t>2026 P03</t>
        </is>
      </c>
      <c r="B90" s="15" t="n">
        <v>0.9536157253561732</v>
      </c>
      <c r="C90" s="15" t="n">
        <v>0.8430179240102195</v>
      </c>
      <c r="D90" s="15" t="n">
        <v>0.1105978013459538</v>
      </c>
      <c r="E90" s="14" t="inlineStr">
        <is>
          <t>Самбери</t>
        </is>
      </c>
      <c r="F90" s="16" t="n"/>
    </row>
    <row r="91">
      <c r="A91" s="14" t="inlineStr">
        <is>
          <t>2026 P06</t>
        </is>
      </c>
      <c r="B91" s="15" t="n">
        <v>1</v>
      </c>
      <c r="C91" s="15" t="n">
        <v>0.8425493867321828</v>
      </c>
      <c r="D91" s="15" t="n">
        <v>0.1574506132678172</v>
      </c>
      <c r="E91" s="14" t="inlineStr">
        <is>
          <t>Нем</t>
        </is>
      </c>
      <c r="F91" s="16" t="n"/>
    </row>
    <row r="92">
      <c r="A92" s="14" t="inlineStr">
        <is>
          <t>2026 P04</t>
        </is>
      </c>
      <c r="B92" s="15" t="n">
        <v>0.9696640365580099</v>
      </c>
      <c r="C92" s="15" t="n">
        <v>0.8419939325115759</v>
      </c>
      <c r="D92" s="15" t="n">
        <v>0.127670104046434</v>
      </c>
      <c r="E92" s="14" t="inlineStr">
        <is>
          <t>RegX5_SS</t>
        </is>
      </c>
      <c r="F92" s="16" t="n"/>
    </row>
    <row r="93">
      <c r="A93" s="14" t="inlineStr">
        <is>
          <t>2026 P04</t>
        </is>
      </c>
      <c r="B93" s="15" t="n">
        <v>0.9849108747863945</v>
      </c>
      <c r="C93" s="15" t="n">
        <v>0.8417528161810122</v>
      </c>
      <c r="D93" s="15" t="n">
        <v>0.1431580586053823</v>
      </c>
      <c r="E93" s="14" t="inlineStr">
        <is>
          <t>Командор</t>
        </is>
      </c>
      <c r="F93" s="16" t="n"/>
    </row>
    <row r="94">
      <c r="A94" s="14" t="inlineStr">
        <is>
          <t>2026 P03</t>
        </is>
      </c>
      <c r="B94" s="15" t="n">
        <v>0.9720343705639507</v>
      </c>
      <c r="C94" s="15" t="n">
        <v>0.8410636063580953</v>
      </c>
      <c r="D94" s="15" t="n">
        <v>0.1309707642058554</v>
      </c>
      <c r="E94" s="14" t="inlineStr">
        <is>
          <t>RegX5_SS</t>
        </is>
      </c>
      <c r="F94" s="16" t="n"/>
    </row>
    <row r="95">
      <c r="A95" s="14" t="inlineStr">
        <is>
          <t>2026 P08</t>
        </is>
      </c>
      <c r="B95" s="15" t="n">
        <v>0.9342817960902281</v>
      </c>
      <c r="C95" s="15" t="n">
        <v>0.8407983428400999</v>
      </c>
      <c r="D95" s="15" t="n">
        <v>0.09348345325012819</v>
      </c>
      <c r="E95" s="14" t="inlineStr">
        <is>
          <t>ОКЕЙ</t>
        </is>
      </c>
      <c r="F95" s="16" t="n"/>
    </row>
    <row r="96">
      <c r="A96" s="14" t="inlineStr">
        <is>
          <t>2026 P07</t>
        </is>
      </c>
      <c r="B96" s="15" t="n">
        <v>0.9407407199031118</v>
      </c>
      <c r="C96" s="15" t="n">
        <v>0.8399951007102237</v>
      </c>
      <c r="D96" s="15" t="n">
        <v>0.1007456191928882</v>
      </c>
      <c r="E96" s="14" t="inlineStr">
        <is>
          <t>Белый Кролик</t>
        </is>
      </c>
      <c r="F96" s="16" t="n"/>
    </row>
    <row r="97">
      <c r="A97" s="14" t="inlineStr">
        <is>
          <t>2026 P08</t>
        </is>
      </c>
      <c r="B97" s="15" t="n">
        <v>0.9884809520014752</v>
      </c>
      <c r="C97" s="15" t="n">
        <v>0.839662988800562</v>
      </c>
      <c r="D97" s="15" t="n">
        <v>0.1488179632009132</v>
      </c>
      <c r="E97" s="14" t="inlineStr">
        <is>
          <t>Локальная сеть "Любимец"</t>
        </is>
      </c>
      <c r="F97" s="16" t="n"/>
    </row>
    <row r="98">
      <c r="A98" s="14" t="inlineStr">
        <is>
          <t>2026 P08</t>
        </is>
      </c>
      <c r="B98" s="15" t="n">
        <v>0.8633941642188939</v>
      </c>
      <c r="C98" s="15" t="n">
        <v>0.8394286704387431</v>
      </c>
      <c r="D98" s="15" t="n">
        <v>0.02396549378015078</v>
      </c>
      <c r="E98" s="14" t="inlineStr">
        <is>
          <t>Заботливые цены</t>
        </is>
      </c>
      <c r="F98" s="16" t="n"/>
    </row>
    <row r="99">
      <c r="A99" s="14" t="inlineStr">
        <is>
          <t>2026 P06</t>
        </is>
      </c>
      <c r="B99" s="15" t="n">
        <v>0.943547239677235</v>
      </c>
      <c r="C99" s="15" t="n">
        <v>0.8392906916948472</v>
      </c>
      <c r="D99" s="15" t="n">
        <v>0.1042565479823878</v>
      </c>
      <c r="E99" s="14" t="inlineStr">
        <is>
          <t>АТАК</t>
        </is>
      </c>
      <c r="F99" s="16" t="n"/>
    </row>
    <row r="100">
      <c r="A100" s="14" t="inlineStr">
        <is>
          <t>2026 P03</t>
        </is>
      </c>
      <c r="B100" s="15" t="n">
        <v>0.8075261848772691</v>
      </c>
      <c r="C100" s="15" t="n">
        <v>0.8383355092656931</v>
      </c>
      <c r="D100" s="15" t="n">
        <v>-0.03080932438842399</v>
      </c>
      <c r="E100" s="14" t="inlineStr">
        <is>
          <t>Магнит Косметик</t>
        </is>
      </c>
      <c r="F100" s="16" t="n"/>
    </row>
    <row r="101">
      <c r="A101" s="14" t="inlineStr">
        <is>
          <t>2026 P08</t>
        </is>
      </c>
      <c r="B101" s="15" t="n">
        <v>0.9582122994941281</v>
      </c>
      <c r="C101" s="15" t="n">
        <v>0.8383225718324999</v>
      </c>
      <c r="D101" s="15" t="n">
        <v>0.1198897276616282</v>
      </c>
      <c r="E101" s="14" t="inlineStr">
        <is>
          <t>Самбери</t>
        </is>
      </c>
      <c r="F101" s="16" t="n"/>
    </row>
    <row r="102">
      <c r="A102" s="14" t="inlineStr">
        <is>
          <t>2026 P03</t>
        </is>
      </c>
      <c r="B102" s="15" t="n">
        <v>0.9066736255984901</v>
      </c>
      <c r="C102" s="15" t="n">
        <v>0.8372481145293893</v>
      </c>
      <c r="D102" s="15" t="n">
        <v>0.06942551106910078</v>
      </c>
      <c r="E102" s="14" t="inlineStr">
        <is>
          <t>Пловдив</t>
        </is>
      </c>
      <c r="F102" s="16" t="n"/>
    </row>
    <row r="103">
      <c r="A103" s="14" t="inlineStr">
        <is>
          <t>2026 P04</t>
        </is>
      </c>
      <c r="B103" s="15" t="n">
        <v>0.9758481121246941</v>
      </c>
      <c r="C103" s="15" t="n">
        <v>0.8368850015437088</v>
      </c>
      <c r="D103" s="15" t="n">
        <v>0.1389631105809853</v>
      </c>
      <c r="E103" s="14" t="inlineStr">
        <is>
          <t>Мария-Ра</t>
        </is>
      </c>
      <c r="F103" s="16" t="n"/>
    </row>
    <row r="104">
      <c r="A104" s="14" t="inlineStr">
        <is>
          <t>2026 P06</t>
        </is>
      </c>
      <c r="B104" s="15" t="n">
        <v>0.9304277886725296</v>
      </c>
      <c r="C104" s="15" t="n">
        <v>0.8367346353601719</v>
      </c>
      <c r="D104" s="15" t="n">
        <v>0.09369315331235772</v>
      </c>
      <c r="E104" s="14" t="inlineStr">
        <is>
          <t>Белый Кролик</t>
        </is>
      </c>
      <c r="F104" s="16" t="n"/>
    </row>
    <row r="105">
      <c r="A105" s="14" t="inlineStr">
        <is>
          <t>2026 P08</t>
        </is>
      </c>
      <c r="B105" s="15" t="n"/>
      <c r="C105" s="15" t="n">
        <v>0.8365791887757346</v>
      </c>
      <c r="D105" s="15" t="n">
        <v>-0.8365791887757346</v>
      </c>
      <c r="E105" s="14" t="inlineStr">
        <is>
          <t>Магнит Косметик</t>
        </is>
      </c>
      <c r="F105" s="16" t="n"/>
    </row>
    <row r="106">
      <c r="A106" s="14" t="inlineStr">
        <is>
          <t>2026 P01</t>
        </is>
      </c>
      <c r="B106" s="15" t="n">
        <v>0.879157570789265</v>
      </c>
      <c r="C106" s="15" t="n">
        <v>0.836403721580373</v>
      </c>
      <c r="D106" s="15" t="n">
        <v>0.04275384920889203</v>
      </c>
      <c r="E106" s="14" t="inlineStr">
        <is>
          <t>Панин</t>
        </is>
      </c>
      <c r="F106" s="16" t="n"/>
    </row>
    <row r="107">
      <c r="A107" s="14" t="inlineStr">
        <is>
          <t>2026 P03</t>
        </is>
      </c>
      <c r="B107" s="15" t="n">
        <v>0.9489133043733921</v>
      </c>
      <c r="C107" s="15" t="n">
        <v>0.8361122337486309</v>
      </c>
      <c r="D107" s="15" t="n">
        <v>0.1128010706247612</v>
      </c>
      <c r="E107" s="14" t="inlineStr">
        <is>
          <t>Яблоко</t>
        </is>
      </c>
      <c r="F107" s="16" t="n"/>
    </row>
    <row r="108">
      <c r="A108" s="14" t="inlineStr">
        <is>
          <t>2026 P06</t>
        </is>
      </c>
      <c r="B108" s="15" t="n">
        <v>0.9761295435944424</v>
      </c>
      <c r="C108" s="15" t="n">
        <v>0.8354898629260682</v>
      </c>
      <c r="D108" s="15" t="n">
        <v>0.1406396806683742</v>
      </c>
      <c r="E108" s="14" t="inlineStr">
        <is>
          <t>Мария-Ра</t>
        </is>
      </c>
      <c r="F108" s="16" t="n"/>
    </row>
    <row r="109">
      <c r="A109" s="14" t="inlineStr">
        <is>
          <t>2026 P04</t>
        </is>
      </c>
      <c r="B109" s="15" t="n">
        <v>0.9628773501602717</v>
      </c>
      <c r="C109" s="15" t="n">
        <v>0.8354653080367117</v>
      </c>
      <c r="D109" s="15" t="n">
        <v>0.1274120421235599</v>
      </c>
      <c r="E109" s="14" t="inlineStr">
        <is>
          <t>Кировский</t>
        </is>
      </c>
      <c r="F109" s="16" t="n"/>
    </row>
    <row r="110">
      <c r="A110" s="14" t="inlineStr">
        <is>
          <t>2026 P04</t>
        </is>
      </c>
      <c r="B110" s="15" t="n">
        <v>0.9398916455592645</v>
      </c>
      <c r="C110" s="15" t="n">
        <v>0.8352395215784094</v>
      </c>
      <c r="D110" s="15" t="n">
        <v>0.1046521239808551</v>
      </c>
      <c r="E110" s="14" t="inlineStr">
        <is>
          <t>АТАК</t>
        </is>
      </c>
      <c r="F110" s="16" t="n"/>
    </row>
    <row r="111">
      <c r="A111" s="14" t="inlineStr">
        <is>
          <t>2026 P03</t>
        </is>
      </c>
      <c r="B111" s="15" t="n">
        <v>0.9763974604223665</v>
      </c>
      <c r="C111" s="15" t="n">
        <v>0.834972955053486</v>
      </c>
      <c r="D111" s="15" t="n">
        <v>0.1414245053688805</v>
      </c>
      <c r="E111" s="14" t="inlineStr">
        <is>
          <t>Мария-Ра</t>
        </is>
      </c>
      <c r="F111" s="16" t="n"/>
    </row>
    <row r="112">
      <c r="A112" s="14" t="inlineStr">
        <is>
          <t>2026 P05</t>
        </is>
      </c>
      <c r="B112" s="15" t="n">
        <v>0.9698661916383933</v>
      </c>
      <c r="C112" s="15" t="n">
        <v>0.8349132140128961</v>
      </c>
      <c r="D112" s="15" t="n">
        <v>0.1349529776254972</v>
      </c>
      <c r="E112" s="14" t="inlineStr">
        <is>
          <t>Мария-Ра</t>
        </is>
      </c>
      <c r="F112" s="16" t="n"/>
    </row>
    <row r="113">
      <c r="A113" s="14" t="inlineStr">
        <is>
          <t>2026 P05</t>
        </is>
      </c>
      <c r="B113" s="15" t="n">
        <v>0.9556111156445339</v>
      </c>
      <c r="C113" s="15" t="n">
        <v>0.8333550208626144</v>
      </c>
      <c r="D113" s="15" t="n">
        <v>0.1222560947819196</v>
      </c>
      <c r="E113" s="14" t="inlineStr">
        <is>
          <t>Котопес</t>
        </is>
      </c>
      <c r="F113" s="16" t="n"/>
    </row>
    <row r="114">
      <c r="A114" s="14" t="inlineStr">
        <is>
          <t>2026 P05</t>
        </is>
      </c>
      <c r="B114" s="15" t="n">
        <v>0.9300608746878963</v>
      </c>
      <c r="C114" s="15" t="n">
        <v>0.8331002551515465</v>
      </c>
      <c r="D114" s="15" t="n">
        <v>0.09696061953634982</v>
      </c>
      <c r="E114" s="14" t="inlineStr">
        <is>
          <t>Ярче</t>
        </is>
      </c>
      <c r="F114" s="16" t="n"/>
    </row>
    <row r="115">
      <c r="A115" s="14" t="inlineStr">
        <is>
          <t>2026 P06</t>
        </is>
      </c>
      <c r="B115" s="15" t="n">
        <v>0.9080357441554244</v>
      </c>
      <c r="C115" s="15" t="n">
        <v>0.8329545265127871</v>
      </c>
      <c r="D115" s="15" t="n">
        <v>0.07508121764263731</v>
      </c>
      <c r="E115" s="14" t="inlineStr">
        <is>
          <t>Вега (Киров)</t>
        </is>
      </c>
      <c r="F115" s="16" t="n"/>
    </row>
    <row r="116">
      <c r="A116" s="14" t="inlineStr">
        <is>
          <t>2026 P04</t>
        </is>
      </c>
      <c r="B116" s="15" t="n">
        <v>0.9334836689673608</v>
      </c>
      <c r="C116" s="15" t="n">
        <v>0.8324478767677145</v>
      </c>
      <c r="D116" s="15" t="n">
        <v>0.1010357921996463</v>
      </c>
      <c r="E116" s="14" t="inlineStr">
        <is>
          <t>Линия</t>
        </is>
      </c>
      <c r="F116" s="16" t="n"/>
    </row>
    <row r="117">
      <c r="A117" s="14" t="inlineStr">
        <is>
          <t>2026 P02</t>
        </is>
      </c>
      <c r="B117" s="15" t="n">
        <v>0.8513380585436825</v>
      </c>
      <c r="C117" s="15" t="n">
        <v>0.8304903650763328</v>
      </c>
      <c r="D117" s="15" t="n">
        <v>0.02084769346734971</v>
      </c>
      <c r="E117" s="14" t="inlineStr">
        <is>
          <t>Магнит Косметик</t>
        </is>
      </c>
      <c r="F117" s="16" t="n"/>
    </row>
    <row r="118">
      <c r="A118" s="14" t="inlineStr">
        <is>
          <t>2026 P07</t>
        </is>
      </c>
      <c r="B118" s="15" t="n">
        <v>0.9942686620027726</v>
      </c>
      <c r="C118" s="15" t="n">
        <v>0.8299292657060369</v>
      </c>
      <c r="D118" s="15" t="n">
        <v>0.1643393962967358</v>
      </c>
      <c r="E118" s="14" t="inlineStr">
        <is>
          <t>ИП Щебетовский</t>
        </is>
      </c>
      <c r="F118" s="16" t="n"/>
    </row>
    <row r="119">
      <c r="A119" s="14" t="inlineStr">
        <is>
          <t>2026 P06</t>
        </is>
      </c>
      <c r="B119" s="15" t="n">
        <v>0.95642678498193</v>
      </c>
      <c r="C119" s="15" t="n">
        <v>0.8299276656226758</v>
      </c>
      <c r="D119" s="15" t="n">
        <v>0.1264991193592542</v>
      </c>
      <c r="E119" s="14" t="inlineStr">
        <is>
          <t>Самбери</t>
        </is>
      </c>
      <c r="F119" s="16" t="n"/>
    </row>
    <row r="120">
      <c r="A120" s="14" t="inlineStr">
        <is>
          <t>2026 P06</t>
        </is>
      </c>
      <c r="B120" s="15" t="n">
        <v>0.9494049677215923</v>
      </c>
      <c r="C120" s="15" t="n">
        <v>0.829086496432819</v>
      </c>
      <c r="D120" s="15" t="n">
        <v>0.1203184712887734</v>
      </c>
      <c r="E120" s="14" t="inlineStr">
        <is>
          <t>Кировский</t>
        </is>
      </c>
      <c r="F120" s="16" t="n"/>
    </row>
    <row r="121">
      <c r="A121" s="14" t="inlineStr">
        <is>
          <t>2026 P08</t>
        </is>
      </c>
      <c r="B121" s="15" t="n"/>
      <c r="C121" s="15" t="n">
        <v>0.8290364899632389</v>
      </c>
      <c r="D121" s="15" t="n">
        <v>-0.8290364899632389</v>
      </c>
      <c r="E121" s="14" t="inlineStr">
        <is>
          <t>Чижик</t>
        </is>
      </c>
      <c r="F121" s="16" t="n"/>
    </row>
    <row r="122">
      <c r="A122" s="14" t="inlineStr">
        <is>
          <t>2026 P06</t>
        </is>
      </c>
      <c r="B122" s="15" t="n">
        <v>0.9528201028358676</v>
      </c>
      <c r="C122" s="15" t="n">
        <v>0.8281510815942044</v>
      </c>
      <c r="D122" s="15" t="n">
        <v>0.1246690212416632</v>
      </c>
      <c r="E122" s="14" t="inlineStr">
        <is>
          <t>Котопес</t>
        </is>
      </c>
      <c r="F122" s="16" t="n"/>
    </row>
    <row r="123">
      <c r="A123" s="14" t="inlineStr">
        <is>
          <t>2026 P02</t>
        </is>
      </c>
      <c r="B123" s="15" t="n">
        <v>0.9386926017254048</v>
      </c>
      <c r="C123" s="15" t="n">
        <v>0.8271539219045487</v>
      </c>
      <c r="D123" s="15" t="n">
        <v>0.1115386798208561</v>
      </c>
      <c r="E123" s="14" t="inlineStr">
        <is>
          <t>ОКЕЙ</t>
        </is>
      </c>
      <c r="F123" s="16" t="n"/>
    </row>
    <row r="124">
      <c r="A124" s="14" t="inlineStr">
        <is>
          <t>2026 P08</t>
        </is>
      </c>
      <c r="B124" s="15" t="n">
        <v>0.9607463400317046</v>
      </c>
      <c r="C124" s="15" t="n">
        <v>0.8265352118724948</v>
      </c>
      <c r="D124" s="15" t="n">
        <v>0.1342111281592098</v>
      </c>
      <c r="E124" s="14" t="inlineStr">
        <is>
          <t>Кировский</t>
        </is>
      </c>
      <c r="F124" s="16" t="n"/>
    </row>
    <row r="125">
      <c r="A125" s="14" t="inlineStr">
        <is>
          <t>2026 P05</t>
        </is>
      </c>
      <c r="B125" s="15" t="n">
        <v>0.9609795004551259</v>
      </c>
      <c r="C125" s="15" t="n">
        <v>0.8260601358032992</v>
      </c>
      <c r="D125" s="15" t="n">
        <v>0.1349193646518267</v>
      </c>
      <c r="E125" s="14" t="inlineStr">
        <is>
          <t>RegX5_SS</t>
        </is>
      </c>
      <c r="F125" s="16" t="n"/>
    </row>
    <row r="126">
      <c r="A126" s="14" t="inlineStr">
        <is>
          <t>2026 P07</t>
        </is>
      </c>
      <c r="B126" s="15" t="n">
        <v>0.864265131320674</v>
      </c>
      <c r="C126" s="15" t="n">
        <v>0.8256199836311677</v>
      </c>
      <c r="D126" s="15" t="n">
        <v>0.03864514768950622</v>
      </c>
      <c r="E126" s="14" t="inlineStr">
        <is>
          <t>ИП Ястребков А.Н.</t>
        </is>
      </c>
      <c r="F126" s="16" t="n"/>
    </row>
    <row r="127">
      <c r="A127" s="14" t="inlineStr">
        <is>
          <t>2026 P07</t>
        </is>
      </c>
      <c r="B127" s="15" t="n">
        <v>0.9780872680055559</v>
      </c>
      <c r="C127" s="15" t="n">
        <v>0.8252743848762812</v>
      </c>
      <c r="D127" s="15" t="n">
        <v>0.1528128831292747</v>
      </c>
      <c r="E127" s="14" t="inlineStr">
        <is>
          <t>Локальная сеть "Любимец"</t>
        </is>
      </c>
      <c r="F127" s="16" t="n"/>
    </row>
    <row r="128">
      <c r="A128" s="14" t="inlineStr">
        <is>
          <t>2026 P05</t>
        </is>
      </c>
      <c r="B128" s="15" t="n">
        <v>0.9819204684234478</v>
      </c>
      <c r="C128" s="15" t="n">
        <v>0.8250129956589598</v>
      </c>
      <c r="D128" s="15" t="n">
        <v>0.156907472764488</v>
      </c>
      <c r="E128" s="14" t="inlineStr">
        <is>
          <t>Командор</t>
        </is>
      </c>
      <c r="F128" s="16" t="n"/>
    </row>
    <row r="129">
      <c r="A129" s="14" t="inlineStr">
        <is>
          <t>2026 P03</t>
        </is>
      </c>
      <c r="B129" s="15" t="n">
        <v>0.9497606567585696</v>
      </c>
      <c r="C129" s="15" t="n">
        <v>0.8242877539918756</v>
      </c>
      <c r="D129" s="15" t="n">
        <v>0.125472902766694</v>
      </c>
      <c r="E129" s="14" t="inlineStr">
        <is>
          <t>Кировский</t>
        </is>
      </c>
      <c r="F129" s="16" t="n"/>
    </row>
    <row r="130">
      <c r="A130" s="14" t="inlineStr">
        <is>
          <t>2026 P05</t>
        </is>
      </c>
      <c r="B130" s="15" t="n">
        <v>0.9549571277823927</v>
      </c>
      <c r="C130" s="15" t="n">
        <v>0.8241698732052645</v>
      </c>
      <c r="D130" s="15" t="n">
        <v>0.1307872545771283</v>
      </c>
      <c r="E130" s="14" t="inlineStr">
        <is>
          <t>Кировский</t>
        </is>
      </c>
      <c r="F130" s="16" t="n"/>
    </row>
    <row r="131">
      <c r="A131" s="14" t="inlineStr">
        <is>
          <t>2026 P02</t>
        </is>
      </c>
      <c r="B131" s="15" t="n">
        <v>0.8926829732057432</v>
      </c>
      <c r="C131" s="15" t="n">
        <v>0.8236160241358829</v>
      </c>
      <c r="D131" s="15" t="n">
        <v>0.06906694906986033</v>
      </c>
      <c r="E131" s="14" t="inlineStr">
        <is>
          <t>Пловдив</t>
        </is>
      </c>
      <c r="F131" s="16" t="n"/>
    </row>
    <row r="132">
      <c r="A132" s="14" t="inlineStr">
        <is>
          <t>2026 P06</t>
        </is>
      </c>
      <c r="B132" s="15" t="n">
        <v>0.8407154753914767</v>
      </c>
      <c r="C132" s="15" t="n">
        <v>0.8229935470378157</v>
      </c>
      <c r="D132" s="15" t="n">
        <v>0.01772192835366104</v>
      </c>
      <c r="E132" s="14" t="inlineStr">
        <is>
          <t>Сима Ленд</t>
        </is>
      </c>
      <c r="F132" s="16" t="n"/>
    </row>
    <row r="133">
      <c r="A133" s="14" t="inlineStr">
        <is>
          <t>2026 P02</t>
        </is>
      </c>
      <c r="B133" s="15" t="n">
        <v>0.9310382549222096</v>
      </c>
      <c r="C133" s="15" t="n">
        <v>0.8228462482853683</v>
      </c>
      <c r="D133" s="15" t="n">
        <v>0.1081920066368413</v>
      </c>
      <c r="E133" s="14" t="inlineStr">
        <is>
          <t>Ашан</t>
        </is>
      </c>
      <c r="F133" s="16" t="n"/>
    </row>
    <row r="134">
      <c r="A134" s="14" t="inlineStr">
        <is>
          <t>2026 P07</t>
        </is>
      </c>
      <c r="B134" s="15" t="n"/>
      <c r="C134" s="15" t="n">
        <v>0.8227355839097895</v>
      </c>
      <c r="D134" s="15" t="n">
        <v>-0.8227355839097895</v>
      </c>
      <c r="E134" s="14" t="inlineStr">
        <is>
          <t>Чижик</t>
        </is>
      </c>
      <c r="F134" s="16" t="n"/>
    </row>
    <row r="135">
      <c r="A135" s="14" t="inlineStr">
        <is>
          <t>2026 P03</t>
        </is>
      </c>
      <c r="B135" s="15" t="n">
        <v>0.9350883371655472</v>
      </c>
      <c r="C135" s="15" t="n">
        <v>0.8225114740091807</v>
      </c>
      <c r="D135" s="15" t="n">
        <v>0.1125768631563665</v>
      </c>
      <c r="E135" s="14" t="inlineStr">
        <is>
          <t>Линия</t>
        </is>
      </c>
      <c r="F135" s="16" t="n"/>
    </row>
    <row r="136">
      <c r="A136" s="14" t="inlineStr">
        <is>
          <t>2026 P05</t>
        </is>
      </c>
      <c r="B136" s="15" t="n">
        <v>0.9324501501503172</v>
      </c>
      <c r="C136" s="15" t="n">
        <v>0.8215761187158735</v>
      </c>
      <c r="D136" s="15" t="n">
        <v>0.1108740314344436</v>
      </c>
      <c r="E136" s="14" t="inlineStr">
        <is>
          <t>Линия</t>
        </is>
      </c>
      <c r="F136" s="16" t="n"/>
    </row>
    <row r="137">
      <c r="A137" s="14" t="inlineStr">
        <is>
          <t>2026 P03</t>
        </is>
      </c>
      <c r="B137" s="15" t="n">
        <v>0.953178144167765</v>
      </c>
      <c r="C137" s="15" t="n">
        <v>0.8204643686195365</v>
      </c>
      <c r="D137" s="15" t="n">
        <v>0.1327137755482285</v>
      </c>
      <c r="E137" s="14" t="inlineStr">
        <is>
          <t>SMART - дискаунтер</t>
        </is>
      </c>
      <c r="F137" s="16" t="n"/>
    </row>
    <row r="138">
      <c r="A138" s="14" t="inlineStr">
        <is>
          <t>2026 P07</t>
        </is>
      </c>
      <c r="B138" s="15" t="n">
        <v>0.9371113781586345</v>
      </c>
      <c r="C138" s="15" t="n">
        <v>0.8204629129178439</v>
      </c>
      <c r="D138" s="15" t="n">
        <v>0.1166484652407906</v>
      </c>
      <c r="E138" s="14" t="inlineStr">
        <is>
          <t>Нем</t>
        </is>
      </c>
      <c r="F138" s="16" t="n"/>
    </row>
    <row r="139">
      <c r="A139" s="14" t="inlineStr">
        <is>
          <t>2026 P03</t>
        </is>
      </c>
      <c r="B139" s="15" t="n">
        <v>0.9754569027756723</v>
      </c>
      <c r="C139" s="15" t="n">
        <v>0.8203236911829777</v>
      </c>
      <c r="D139" s="15" t="n">
        <v>0.1551332115926947</v>
      </c>
      <c r="E139" s="14" t="inlineStr">
        <is>
          <t>Командор</t>
        </is>
      </c>
      <c r="F139" s="16" t="n"/>
    </row>
    <row r="140">
      <c r="A140" s="14" t="inlineStr">
        <is>
          <t>2026 P07</t>
        </is>
      </c>
      <c r="B140" s="15" t="n">
        <v>0.9535233551232243</v>
      </c>
      <c r="C140" s="15" t="n">
        <v>0.8196133834532104</v>
      </c>
      <c r="D140" s="15" t="n">
        <v>0.1339099716700138</v>
      </c>
      <c r="E140" s="14" t="inlineStr">
        <is>
          <t>Кировский</t>
        </is>
      </c>
      <c r="F140" s="16" t="n"/>
    </row>
    <row r="141">
      <c r="A141" s="14" t="inlineStr">
        <is>
          <t>2026 P04</t>
        </is>
      </c>
      <c r="B141" s="15" t="n">
        <v>0.9496571848378594</v>
      </c>
      <c r="C141" s="15" t="n">
        <v>0.8189898772907933</v>
      </c>
      <c r="D141" s="15" t="n">
        <v>0.1306673075470661</v>
      </c>
      <c r="E141" s="14" t="inlineStr">
        <is>
          <t>Локальная сеть "Любимец"</t>
        </is>
      </c>
      <c r="F141" s="16" t="n"/>
    </row>
    <row r="142">
      <c r="A142" s="14" t="inlineStr">
        <is>
          <t>2026 P04</t>
        </is>
      </c>
      <c r="B142" s="15" t="n">
        <v>0.9588737212109546</v>
      </c>
      <c r="C142" s="15" t="n">
        <v>0.8183052324784671</v>
      </c>
      <c r="D142" s="15" t="n">
        <v>0.1405684887324875</v>
      </c>
      <c r="E142" s="14" t="inlineStr">
        <is>
          <t>Лента HM</t>
        </is>
      </c>
      <c r="F142" s="16" t="n"/>
    </row>
    <row r="143">
      <c r="A143" s="14" t="inlineStr">
        <is>
          <t>2026 P04</t>
        </is>
      </c>
      <c r="B143" s="15" t="n">
        <v>0.933237459492209</v>
      </c>
      <c r="C143" s="15" t="n">
        <v>0.8180790821564689</v>
      </c>
      <c r="D143" s="15" t="n">
        <v>0.1151583773357402</v>
      </c>
      <c r="E143" s="14" t="inlineStr">
        <is>
          <t>Белый Кролик</t>
        </is>
      </c>
      <c r="F143" s="16" t="n"/>
    </row>
    <row r="144">
      <c r="A144" s="14" t="inlineStr">
        <is>
          <t>2026 P07</t>
        </is>
      </c>
      <c r="B144" s="15" t="n">
        <v>0.9414704260362854</v>
      </c>
      <c r="C144" s="15" t="n">
        <v>0.8174862411480919</v>
      </c>
      <c r="D144" s="15" t="n">
        <v>0.1239841848881935</v>
      </c>
      <c r="E144" s="14" t="inlineStr">
        <is>
          <t>SMART - дискаунтер</t>
        </is>
      </c>
      <c r="F144" s="16" t="n"/>
    </row>
    <row r="145">
      <c r="A145" s="14" t="inlineStr">
        <is>
          <t>2026 P01</t>
        </is>
      </c>
      <c r="B145" s="15" t="n">
        <v>0.8796112692903196</v>
      </c>
      <c r="C145" s="15" t="n">
        <v>0.817069587612236</v>
      </c>
      <c r="D145" s="15" t="n">
        <v>0.0625416816780836</v>
      </c>
      <c r="E145" s="14" t="inlineStr">
        <is>
          <t>Пловдив</t>
        </is>
      </c>
      <c r="F145" s="16" t="n"/>
    </row>
    <row r="146">
      <c r="A146" s="14" t="inlineStr">
        <is>
          <t>2026 P07</t>
        </is>
      </c>
      <c r="B146" s="15" t="n">
        <v>0.9658344359239197</v>
      </c>
      <c r="C146" s="15" t="n">
        <v>0.8169937948208974</v>
      </c>
      <c r="D146" s="15" t="n">
        <v>0.1488406411030223</v>
      </c>
      <c r="E146" s="14" t="inlineStr">
        <is>
          <t>Мария-Ра</t>
        </is>
      </c>
      <c r="F146" s="16" t="n"/>
    </row>
    <row r="147">
      <c r="A147" s="14" t="inlineStr">
        <is>
          <t>2026 P01</t>
        </is>
      </c>
      <c r="B147" s="15" t="n">
        <v>0.9315463023847275</v>
      </c>
      <c r="C147" s="15" t="n">
        <v>0.8152518860104326</v>
      </c>
      <c r="D147" s="15" t="n">
        <v>0.1162944163742948</v>
      </c>
      <c r="E147" s="14" t="inlineStr">
        <is>
          <t>SMART - дискаунтер</t>
        </is>
      </c>
      <c r="F147" s="16" t="n"/>
    </row>
    <row r="148">
      <c r="A148" s="14" t="inlineStr">
        <is>
          <t>2026 P07</t>
        </is>
      </c>
      <c r="B148" s="15" t="n">
        <v>0.9505554080946682</v>
      </c>
      <c r="C148" s="15" t="n">
        <v>0.8147295665182097</v>
      </c>
      <c r="D148" s="15" t="n">
        <v>0.1358258415764585</v>
      </c>
      <c r="E148" s="14" t="inlineStr">
        <is>
          <t>Самбери</t>
        </is>
      </c>
      <c r="F148" s="16" t="n"/>
    </row>
    <row r="149">
      <c r="A149" s="14" t="inlineStr">
        <is>
          <t>2026 P05</t>
        </is>
      </c>
      <c r="B149" s="15" t="n">
        <v>0.9588797660623773</v>
      </c>
      <c r="C149" s="15" t="n">
        <v>0.8139071101937505</v>
      </c>
      <c r="D149" s="15" t="n">
        <v>0.1449726558686268</v>
      </c>
      <c r="E149" s="14" t="inlineStr">
        <is>
          <t>Метрополис</t>
        </is>
      </c>
      <c r="F149" s="16" t="n"/>
    </row>
    <row r="150">
      <c r="A150" s="14" t="inlineStr">
        <is>
          <t>2026 P04</t>
        </is>
      </c>
      <c r="B150" s="15" t="n">
        <v>0.9363589150146652</v>
      </c>
      <c r="C150" s="15" t="n">
        <v>0.8137136676165695</v>
      </c>
      <c r="D150" s="15" t="n">
        <v>0.1226452473980957</v>
      </c>
      <c r="E150" s="14" t="inlineStr">
        <is>
          <t>Быстроном</t>
        </is>
      </c>
      <c r="F150" s="16" t="n"/>
    </row>
    <row r="151">
      <c r="A151" s="14" t="inlineStr">
        <is>
          <t>2026 P07</t>
        </is>
      </c>
      <c r="B151" s="15" t="n">
        <v>0.9617120070665335</v>
      </c>
      <c r="C151" s="15" t="n">
        <v>0.8121365635625735</v>
      </c>
      <c r="D151" s="15" t="n">
        <v>0.14957544350396</v>
      </c>
      <c r="E151" s="14" t="inlineStr">
        <is>
          <t>Метрополис</t>
        </is>
      </c>
      <c r="F151" s="16" t="n"/>
    </row>
    <row r="152">
      <c r="A152" s="14" t="inlineStr">
        <is>
          <t>2026 P02</t>
        </is>
      </c>
      <c r="B152" s="15" t="n">
        <v>0.9412730908482867</v>
      </c>
      <c r="C152" s="15" t="n">
        <v>0.8120673919010585</v>
      </c>
      <c r="D152" s="15" t="n">
        <v>0.1292056989472282</v>
      </c>
      <c r="E152" s="14" t="inlineStr">
        <is>
          <t>Самбери</t>
        </is>
      </c>
      <c r="F152" s="16" t="n"/>
    </row>
    <row r="153">
      <c r="A153" s="14" t="inlineStr">
        <is>
          <t>2026 P03</t>
        </is>
      </c>
      <c r="B153" s="15" t="n">
        <v>0.9327231459922029</v>
      </c>
      <c r="C153" s="15" t="n">
        <v>0.8118122856659394</v>
      </c>
      <c r="D153" s="15" t="n">
        <v>0.1209108603262634</v>
      </c>
      <c r="E153" s="14" t="inlineStr">
        <is>
          <t>SPAR Калининград</t>
        </is>
      </c>
      <c r="F153" s="16" t="n"/>
    </row>
    <row r="154">
      <c r="A154" s="14" t="inlineStr">
        <is>
          <t>2026 P06</t>
        </is>
      </c>
      <c r="B154" s="15" t="n">
        <v>0.9759969315192708</v>
      </c>
      <c r="C154" s="15" t="n">
        <v>0.8113944096923548</v>
      </c>
      <c r="D154" s="15" t="n">
        <v>0.164602521826916</v>
      </c>
      <c r="E154" s="14" t="inlineStr">
        <is>
          <t>Экономыч</t>
        </is>
      </c>
      <c r="F154" s="16" t="n"/>
    </row>
    <row r="155">
      <c r="A155" s="14" t="inlineStr">
        <is>
          <t>2026 P06</t>
        </is>
      </c>
      <c r="B155" s="15" t="n">
        <v>0.9328197605980847</v>
      </c>
      <c r="C155" s="15" t="n">
        <v>0.8111710717269728</v>
      </c>
      <c r="D155" s="15" t="n">
        <v>0.1216486888711119</v>
      </c>
      <c r="E155" s="14" t="inlineStr">
        <is>
          <t>Линия</t>
        </is>
      </c>
      <c r="F155" s="16" t="n"/>
    </row>
    <row r="156">
      <c r="A156" s="14" t="inlineStr">
        <is>
          <t>2026 P07</t>
        </is>
      </c>
      <c r="B156" s="15" t="n">
        <v>0.9797493796348081</v>
      </c>
      <c r="C156" s="15" t="n">
        <v>0.8111211178708029</v>
      </c>
      <c r="D156" s="15" t="n">
        <v>0.1686282617640052</v>
      </c>
      <c r="E156" s="14" t="inlineStr">
        <is>
          <t>RegX5_SS</t>
        </is>
      </c>
      <c r="F156" s="16" t="n"/>
    </row>
    <row r="157">
      <c r="A157" s="14" t="inlineStr">
        <is>
          <t>2026 P05</t>
        </is>
      </c>
      <c r="B157" s="15" t="n">
        <v>0.9672490837173433</v>
      </c>
      <c r="C157" s="15" t="n">
        <v>0.8110737167406419</v>
      </c>
      <c r="D157" s="15" t="n">
        <v>0.1561753669767014</v>
      </c>
      <c r="E157" s="14" t="inlineStr">
        <is>
          <t>SMART - дискаунтер</t>
        </is>
      </c>
      <c r="F157" s="16" t="n"/>
    </row>
    <row r="158">
      <c r="A158" s="14" t="inlineStr">
        <is>
          <t>2026 P02</t>
        </is>
      </c>
      <c r="B158" s="15" t="n">
        <v>0.8818965755546559</v>
      </c>
      <c r="C158" s="15" t="n">
        <v>0.8106371228241774</v>
      </c>
      <c r="D158" s="15" t="n">
        <v>0.07125945273047851</v>
      </c>
      <c r="E158" s="14" t="inlineStr">
        <is>
          <t>Панин</t>
        </is>
      </c>
      <c r="F158" s="16" t="n"/>
    </row>
    <row r="159">
      <c r="A159" s="14" t="inlineStr">
        <is>
          <t>2026 P06</t>
        </is>
      </c>
      <c r="B159" s="15" t="n">
        <v>0.9868555981693856</v>
      </c>
      <c r="C159" s="15" t="n">
        <v>0.8101317290704281</v>
      </c>
      <c r="D159" s="15" t="n">
        <v>0.1767238690989575</v>
      </c>
      <c r="E159" s="14" t="inlineStr">
        <is>
          <t>Командор</t>
        </is>
      </c>
      <c r="F159" s="16" t="n"/>
    </row>
    <row r="160">
      <c r="A160" s="14" t="inlineStr">
        <is>
          <t>2026 P08</t>
        </is>
      </c>
      <c r="B160" s="15" t="n">
        <v>0.9623987025132239</v>
      </c>
      <c r="C160" s="15" t="n">
        <v>0.8099174985102597</v>
      </c>
      <c r="D160" s="15" t="n">
        <v>0.1524812040029642</v>
      </c>
      <c r="E160" s="14" t="inlineStr">
        <is>
          <t>RegX5_SS</t>
        </is>
      </c>
      <c r="F160" s="16" t="n"/>
    </row>
    <row r="161">
      <c r="A161" s="14" t="inlineStr">
        <is>
          <t>2026 P02</t>
        </is>
      </c>
      <c r="B161" s="15" t="n">
        <v>0.9694142140445672</v>
      </c>
      <c r="C161" s="15" t="n">
        <v>0.8098941394328742</v>
      </c>
      <c r="D161" s="15" t="n">
        <v>0.1595200746116929</v>
      </c>
      <c r="E161" s="14" t="inlineStr">
        <is>
          <t>Мария-Ра</t>
        </is>
      </c>
      <c r="F161" s="16" t="n"/>
    </row>
    <row r="162">
      <c r="A162" s="14" t="inlineStr">
        <is>
          <t>2026 P02</t>
        </is>
      </c>
      <c r="B162" s="15" t="n">
        <v>0.9474685825933779</v>
      </c>
      <c r="C162" s="15" t="n">
        <v>0.8097536295823832</v>
      </c>
      <c r="D162" s="15" t="n">
        <v>0.1377149530109947</v>
      </c>
      <c r="E162" s="14" t="inlineStr">
        <is>
          <t>Кировский</t>
        </is>
      </c>
      <c r="F162" s="16" t="n"/>
    </row>
    <row r="163">
      <c r="A163" s="14" t="inlineStr">
        <is>
          <t>2026 P07</t>
        </is>
      </c>
      <c r="B163" s="15" t="n">
        <v>0.8859312608894351</v>
      </c>
      <c r="C163" s="15" t="n">
        <v>0.8097133932422804</v>
      </c>
      <c r="D163" s="15" t="n">
        <v>0.07621786764715466</v>
      </c>
      <c r="E163" s="14" t="inlineStr">
        <is>
          <t>Вега (Киров)</t>
        </is>
      </c>
      <c r="F163" s="16" t="n"/>
    </row>
    <row r="164">
      <c r="A164" s="14" t="inlineStr">
        <is>
          <t>2026 P07</t>
        </is>
      </c>
      <c r="B164" s="15" t="n">
        <v>0.9475862034924052</v>
      </c>
      <c r="C164" s="15" t="n">
        <v>0.8095897232638424</v>
      </c>
      <c r="D164" s="15" t="n">
        <v>0.1379964802285628</v>
      </c>
      <c r="E164" s="14" t="inlineStr">
        <is>
          <t>Котопес</t>
        </is>
      </c>
      <c r="F164" s="16" t="n"/>
    </row>
    <row r="165">
      <c r="A165" s="14" t="inlineStr">
        <is>
          <t>2026 P06</t>
        </is>
      </c>
      <c r="B165" s="15" t="n">
        <v>0.8766710387374292</v>
      </c>
      <c r="C165" s="15" t="n">
        <v>0.8095621976077809</v>
      </c>
      <c r="D165" s="15" t="n">
        <v>0.06710884112964832</v>
      </c>
      <c r="E165" s="14" t="inlineStr">
        <is>
          <t>Панин</t>
        </is>
      </c>
      <c r="F165" s="16" t="n"/>
    </row>
    <row r="166">
      <c r="A166" s="14" t="inlineStr">
        <is>
          <t>2026 P08</t>
        </is>
      </c>
      <c r="B166" s="15" t="n">
        <v>0.9489695791510412</v>
      </c>
      <c r="C166" s="15" t="n">
        <v>0.8089220734079297</v>
      </c>
      <c r="D166" s="15" t="n">
        <v>0.1400475057431115</v>
      </c>
      <c r="E166" s="14" t="inlineStr">
        <is>
          <t>SMART - дискаунтер</t>
        </is>
      </c>
      <c r="F166" s="16" t="n"/>
    </row>
    <row r="167">
      <c r="A167" s="14" t="inlineStr">
        <is>
          <t>2026 P04</t>
        </is>
      </c>
      <c r="B167" s="15" t="n">
        <v>0.9323774464609602</v>
      </c>
      <c r="C167" s="15" t="n">
        <v>0.8082465061515864</v>
      </c>
      <c r="D167" s="15" t="n">
        <v>0.1241309403093738</v>
      </c>
      <c r="E167" s="14" t="inlineStr">
        <is>
          <t>SPAR Калининград</t>
        </is>
      </c>
      <c r="F167" s="16" t="n"/>
    </row>
    <row r="168">
      <c r="A168" s="14" t="inlineStr">
        <is>
          <t>2026 P06</t>
        </is>
      </c>
      <c r="B168" s="15" t="n">
        <v>0.9656932143336313</v>
      </c>
      <c r="C168" s="15" t="n">
        <v>0.8080457966905935</v>
      </c>
      <c r="D168" s="15" t="n">
        <v>0.1576474176430378</v>
      </c>
      <c r="E168" s="14" t="inlineStr">
        <is>
          <t>RegX5_SS</t>
        </is>
      </c>
      <c r="F168" s="16" t="n"/>
    </row>
    <row r="169">
      <c r="A169" s="14" t="inlineStr">
        <is>
          <t>2026 P07</t>
        </is>
      </c>
      <c r="B169" s="15" t="n">
        <v>0.9898317696466374</v>
      </c>
      <c r="C169" s="15" t="n">
        <v>0.8078972491237574</v>
      </c>
      <c r="D169" s="15" t="n">
        <v>0.1819345205228801</v>
      </c>
      <c r="E169" s="14" t="inlineStr">
        <is>
          <t>Командор</t>
        </is>
      </c>
      <c r="F169" s="16" t="n"/>
    </row>
    <row r="170">
      <c r="A170" s="14" t="inlineStr">
        <is>
          <t>2026 P06</t>
        </is>
      </c>
      <c r="B170" s="15" t="n">
        <v>0.9609906406468843</v>
      </c>
      <c r="C170" s="15" t="n">
        <v>0.8077605828562452</v>
      </c>
      <c r="D170" s="15" t="n">
        <v>0.1532300577906391</v>
      </c>
      <c r="E170" s="14" t="inlineStr">
        <is>
          <t>SMART - дискаунтер</t>
        </is>
      </c>
      <c r="F170" s="16" t="n"/>
    </row>
    <row r="171">
      <c r="A171" s="14" t="inlineStr">
        <is>
          <t>2026 P05</t>
        </is>
      </c>
      <c r="B171" s="15" t="n">
        <v>0.9242942023408788</v>
      </c>
      <c r="C171" s="15" t="n">
        <v>0.8076718505927817</v>
      </c>
      <c r="D171" s="15" t="n">
        <v>0.1166223517480971</v>
      </c>
      <c r="E171" s="14" t="inlineStr">
        <is>
          <t>Быстроном</t>
        </is>
      </c>
      <c r="F171" s="16" t="n"/>
    </row>
    <row r="172">
      <c r="A172" s="14" t="inlineStr">
        <is>
          <t>2026 P04</t>
        </is>
      </c>
      <c r="B172" s="15" t="n">
        <v>0.9403663599672469</v>
      </c>
      <c r="C172" s="15" t="n">
        <v>0.807379290194795</v>
      </c>
      <c r="D172" s="15" t="n">
        <v>0.1329870697724519</v>
      </c>
      <c r="E172" s="14" t="inlineStr">
        <is>
          <t>SMART - дискаунтер</t>
        </is>
      </c>
      <c r="F172" s="16" t="n"/>
    </row>
    <row r="173">
      <c r="A173" s="14" t="inlineStr">
        <is>
          <t>2026 P08</t>
        </is>
      </c>
      <c r="B173" s="15" t="n">
        <v>0.8594275679034226</v>
      </c>
      <c r="C173" s="15" t="n">
        <v>0.8066602477985906</v>
      </c>
      <c r="D173" s="15" t="n">
        <v>0.05276732010483198</v>
      </c>
      <c r="E173" s="14" t="inlineStr">
        <is>
          <t>Вега (Киров)</t>
        </is>
      </c>
      <c r="F173" s="16" t="n"/>
    </row>
    <row r="174">
      <c r="A174" s="14" t="inlineStr">
        <is>
          <t>2026 P04</t>
        </is>
      </c>
      <c r="B174" s="15" t="n">
        <v>0.9633877533743084</v>
      </c>
      <c r="C174" s="15" t="n">
        <v>0.8064975856226028</v>
      </c>
      <c r="D174" s="15" t="n">
        <v>0.1568901677517056</v>
      </c>
      <c r="E174" s="14" t="inlineStr">
        <is>
          <t>Экономыч</t>
        </is>
      </c>
      <c r="F174" s="16" t="n"/>
    </row>
    <row r="175">
      <c r="A175" s="14" t="inlineStr">
        <is>
          <t>2026 P05</t>
        </is>
      </c>
      <c r="B175" s="15" t="n">
        <v>0.9602954984161761</v>
      </c>
      <c r="C175" s="15" t="n">
        <v>0.8061752156190947</v>
      </c>
      <c r="D175" s="15" t="n">
        <v>0.1541202827970815</v>
      </c>
      <c r="E175" s="14" t="inlineStr">
        <is>
          <t>Макси</t>
        </is>
      </c>
      <c r="F175" s="16" t="n"/>
    </row>
    <row r="176">
      <c r="A176" s="14" t="inlineStr">
        <is>
          <t>2026 P02</t>
        </is>
      </c>
      <c r="B176" s="15" t="n">
        <v>0.9265970849032323</v>
      </c>
      <c r="C176" s="15" t="n">
        <v>0.8055749973330544</v>
      </c>
      <c r="D176" s="15" t="n">
        <v>0.121022087570178</v>
      </c>
      <c r="E176" s="14" t="inlineStr">
        <is>
          <t>Котопес</t>
        </is>
      </c>
      <c r="F176" s="16" t="n"/>
    </row>
    <row r="177">
      <c r="A177" s="14" t="inlineStr">
        <is>
          <t>2026 P03</t>
        </is>
      </c>
      <c r="B177" s="15" t="n">
        <v>0.8724413508040052</v>
      </c>
      <c r="C177" s="15" t="n">
        <v>0.8051518402192035</v>
      </c>
      <c r="D177" s="15" t="n">
        <v>0.0672895105848017</v>
      </c>
      <c r="E177" s="14" t="inlineStr">
        <is>
          <t>Панин</t>
        </is>
      </c>
      <c r="F177" s="16" t="n"/>
    </row>
    <row r="178">
      <c r="A178" s="14" t="inlineStr">
        <is>
          <t>2026 P04</t>
        </is>
      </c>
      <c r="B178" s="15" t="n">
        <v>0.9464692044608128</v>
      </c>
      <c r="C178" s="15" t="n">
        <v>0.804911970650957</v>
      </c>
      <c r="D178" s="15" t="n">
        <v>0.1415572338098559</v>
      </c>
      <c r="E178" s="14" t="inlineStr">
        <is>
          <t>Магнит ГМ</t>
        </is>
      </c>
      <c r="F178" s="16" t="n"/>
    </row>
    <row r="179">
      <c r="A179" s="14" t="inlineStr">
        <is>
          <t>2026 P03</t>
        </is>
      </c>
      <c r="B179" s="15" t="n">
        <v>0.946411294891674</v>
      </c>
      <c r="C179" s="15" t="n">
        <v>0.8040121139738855</v>
      </c>
      <c r="D179" s="15" t="n">
        <v>0.1423991809177885</v>
      </c>
      <c r="E179" s="14" t="inlineStr">
        <is>
          <t>Котопес</t>
        </is>
      </c>
      <c r="F179" s="16" t="n"/>
    </row>
    <row r="180">
      <c r="A180" s="14" t="inlineStr">
        <is>
          <t>2026 P08</t>
        </is>
      </c>
      <c r="B180" s="15" t="n">
        <v>0.9582661092703955</v>
      </c>
      <c r="C180" s="15" t="n">
        <v>0.8038793362426574</v>
      </c>
      <c r="D180" s="15" t="n">
        <v>0.1543867730277381</v>
      </c>
      <c r="E180" s="14" t="inlineStr">
        <is>
          <t>Магнит МЦ</t>
        </is>
      </c>
      <c r="F180" s="16" t="n"/>
    </row>
    <row r="181">
      <c r="A181" s="14" t="inlineStr">
        <is>
          <t>2026 P05</t>
        </is>
      </c>
      <c r="B181" s="15" t="n">
        <v>0.9178515014634608</v>
      </c>
      <c r="C181" s="15" t="n">
        <v>0.8033670516846276</v>
      </c>
      <c r="D181" s="15" t="n">
        <v>0.1144844497788332</v>
      </c>
      <c r="E181" s="14" t="inlineStr">
        <is>
          <t>АТАК</t>
        </is>
      </c>
      <c r="F181" s="16" t="n"/>
    </row>
    <row r="182">
      <c r="A182" s="14" t="inlineStr">
        <is>
          <t>2026 P07</t>
        </is>
      </c>
      <c r="B182" s="15" t="n">
        <v>0.8531333771375332</v>
      </c>
      <c r="C182" s="15" t="n">
        <v>0.8028333475875589</v>
      </c>
      <c r="D182" s="15" t="n">
        <v>0.05030002954997437</v>
      </c>
      <c r="E182" s="14" t="inlineStr">
        <is>
          <t>Панин</t>
        </is>
      </c>
      <c r="F182" s="16" t="n"/>
    </row>
    <row r="183">
      <c r="A183" s="14" t="inlineStr">
        <is>
          <t>2026 P04</t>
        </is>
      </c>
      <c r="B183" s="15" t="n">
        <v>0.9566238021989719</v>
      </c>
      <c r="C183" s="15" t="n">
        <v>0.8024263239270136</v>
      </c>
      <c r="D183" s="15" t="n">
        <v>0.1541974782719583</v>
      </c>
      <c r="E183" s="14" t="inlineStr">
        <is>
          <t>Метрополис</t>
        </is>
      </c>
      <c r="F183" s="16" t="n"/>
    </row>
    <row r="184">
      <c r="A184" s="14" t="inlineStr">
        <is>
          <t>2026 P06</t>
        </is>
      </c>
      <c r="B184" s="15" t="n">
        <v>0.9646549947426784</v>
      </c>
      <c r="C184" s="15" t="n">
        <v>0.8021108563026725</v>
      </c>
      <c r="D184" s="15" t="n">
        <v>0.1625441384400058</v>
      </c>
      <c r="E184" s="14" t="inlineStr">
        <is>
          <t>Макси</t>
        </is>
      </c>
      <c r="F184" s="16" t="n"/>
    </row>
    <row r="185">
      <c r="A185" s="14" t="inlineStr">
        <is>
          <t>2026 P01</t>
        </is>
      </c>
      <c r="B185" s="15" t="n">
        <v>0.975875885979448</v>
      </c>
      <c r="C185" s="15" t="n">
        <v>0.8016606366350083</v>
      </c>
      <c r="D185" s="15" t="n">
        <v>0.1742152493444397</v>
      </c>
      <c r="E185" s="14" t="inlineStr">
        <is>
          <t>ООО Формат</t>
        </is>
      </c>
      <c r="F185" s="16" t="n"/>
    </row>
    <row r="186">
      <c r="A186" s="14" t="inlineStr">
        <is>
          <t>2026 P08</t>
        </is>
      </c>
      <c r="B186" s="15" t="n">
        <v>0.9914913086161976</v>
      </c>
      <c r="C186" s="15" t="n">
        <v>0.8015996248150948</v>
      </c>
      <c r="D186" s="15" t="n">
        <v>0.1898916838011028</v>
      </c>
      <c r="E186" s="14" t="inlineStr">
        <is>
          <t>Командор</t>
        </is>
      </c>
      <c r="F186" s="16" t="n"/>
    </row>
    <row r="187">
      <c r="A187" s="14" t="inlineStr">
        <is>
          <t>2026 P06</t>
        </is>
      </c>
      <c r="B187" s="15" t="n">
        <v>0.9310061885885834</v>
      </c>
      <c r="C187" s="15" t="n">
        <v>0.8014568677858963</v>
      </c>
      <c r="D187" s="15" t="n">
        <v>0.1295493208026871</v>
      </c>
      <c r="E187" s="14" t="inlineStr">
        <is>
          <t>Быстроном</t>
        </is>
      </c>
      <c r="F187" s="16" t="n"/>
    </row>
    <row r="188">
      <c r="A188" s="14" t="inlineStr">
        <is>
          <t>2026 P01</t>
        </is>
      </c>
      <c r="B188" s="15" t="n">
        <v>0.9494317569931655</v>
      </c>
      <c r="C188" s="15" t="n">
        <v>0.8007770817749108</v>
      </c>
      <c r="D188" s="15" t="n">
        <v>0.1486546752182547</v>
      </c>
      <c r="E188" s="14" t="inlineStr">
        <is>
          <t>Кировский</t>
        </is>
      </c>
      <c r="F188" s="16" t="n"/>
    </row>
    <row r="189">
      <c r="A189" s="14" t="inlineStr">
        <is>
          <t>2026 P05</t>
        </is>
      </c>
      <c r="B189" s="15" t="n">
        <v>0.9539381246976896</v>
      </c>
      <c r="C189" s="15" t="n">
        <v>0.8005610341814412</v>
      </c>
      <c r="D189" s="15" t="n">
        <v>0.1533770905162484</v>
      </c>
      <c r="E189" s="14" t="inlineStr">
        <is>
          <t>Лента HM</t>
        </is>
      </c>
      <c r="F189" s="16" t="n"/>
    </row>
    <row r="190">
      <c r="A190" s="14" t="inlineStr">
        <is>
          <t>2026 P06</t>
        </is>
      </c>
      <c r="B190" s="15" t="n"/>
      <c r="C190" s="15" t="n">
        <v>0.799549983069174</v>
      </c>
      <c r="D190" s="15" t="n">
        <v>-0.799549983069174</v>
      </c>
      <c r="E190" s="14" t="inlineStr">
        <is>
          <t>Чижик</t>
        </is>
      </c>
      <c r="F190" s="16" t="n"/>
    </row>
    <row r="191">
      <c r="A191" s="14" t="inlineStr">
        <is>
          <t>2026 P02</t>
        </is>
      </c>
      <c r="B191" s="15" t="n">
        <v>0.9379152085173488</v>
      </c>
      <c r="C191" s="15" t="n">
        <v>0.7994807991273623</v>
      </c>
      <c r="D191" s="15" t="n">
        <v>0.1384344093899865</v>
      </c>
      <c r="E191" s="14" t="inlineStr">
        <is>
          <t>SPAR Калининград</t>
        </is>
      </c>
      <c r="F191" s="16" t="n"/>
    </row>
    <row r="192">
      <c r="A192" s="14" t="inlineStr">
        <is>
          <t>2026 P05</t>
        </is>
      </c>
      <c r="B192" s="15" t="n">
        <v>0.9404103306374323</v>
      </c>
      <c r="C192" s="15" t="n">
        <v>0.7994328138410596</v>
      </c>
      <c r="D192" s="15" t="n">
        <v>0.1409775167963727</v>
      </c>
      <c r="E192" s="14" t="inlineStr">
        <is>
          <t>Магнит ГМ</t>
        </is>
      </c>
      <c r="F192" s="16" t="n"/>
    </row>
    <row r="193">
      <c r="A193" s="14" t="inlineStr">
        <is>
          <t>2026 P08</t>
        </is>
      </c>
      <c r="B193" s="15" t="n">
        <v>0.9571042334186136</v>
      </c>
      <c r="C193" s="15" t="n">
        <v>0.7993550631221862</v>
      </c>
      <c r="D193" s="15" t="n">
        <v>0.1577491702964274</v>
      </c>
      <c r="E193" s="14" t="inlineStr">
        <is>
          <t>Котопес</t>
        </is>
      </c>
      <c r="F193" s="16" t="n"/>
    </row>
    <row r="194">
      <c r="A194" s="14" t="inlineStr">
        <is>
          <t>2026 P07</t>
        </is>
      </c>
      <c r="B194" s="15" t="n">
        <v>0.9259067121580765</v>
      </c>
      <c r="C194" s="15" t="n">
        <v>0.7989713274858521</v>
      </c>
      <c r="D194" s="15" t="n">
        <v>0.1269353846722244</v>
      </c>
      <c r="E194" s="14" t="inlineStr">
        <is>
          <t>Линия</t>
        </is>
      </c>
      <c r="F194" s="16" t="n"/>
    </row>
    <row r="195">
      <c r="A195" s="14" t="inlineStr">
        <is>
          <t>2026 P08</t>
        </is>
      </c>
      <c r="B195" s="15" t="n">
        <v>0.9792644159545566</v>
      </c>
      <c r="C195" s="15" t="n">
        <v>0.7989531292817237</v>
      </c>
      <c r="D195" s="15" t="n">
        <v>0.1803112866728329</v>
      </c>
      <c r="E195" s="14" t="inlineStr">
        <is>
          <t>Экономыч</t>
        </is>
      </c>
      <c r="F195" s="16" t="n"/>
    </row>
    <row r="196">
      <c r="A196" s="14" t="inlineStr">
        <is>
          <t>2026 P04</t>
        </is>
      </c>
      <c r="B196" s="15" t="n">
        <v>0.8625247593821592</v>
      </c>
      <c r="C196" s="15" t="n">
        <v>0.7987825871645976</v>
      </c>
      <c r="D196" s="15" t="n">
        <v>0.06374217221756162</v>
      </c>
      <c r="E196" s="14" t="inlineStr">
        <is>
          <t>Глобус Киров</t>
        </is>
      </c>
      <c r="F196" s="16" t="n"/>
    </row>
    <row r="197">
      <c r="A197" s="14" t="inlineStr">
        <is>
          <t>2026 P03</t>
        </is>
      </c>
      <c r="B197" s="15" t="n">
        <v>0.8484956275122427</v>
      </c>
      <c r="C197" s="15" t="n">
        <v>0.7984656761420765</v>
      </c>
      <c r="D197" s="15" t="n">
        <v>0.05002995137016619</v>
      </c>
      <c r="E197" s="14" t="inlineStr">
        <is>
          <t>Глобус Киров</t>
        </is>
      </c>
      <c r="F197" s="16" t="n"/>
    </row>
    <row r="198">
      <c r="A198" s="14" t="inlineStr">
        <is>
          <t>2026 P05</t>
        </is>
      </c>
      <c r="B198" s="15" t="n">
        <v>0.8961914939351853</v>
      </c>
      <c r="C198" s="15" t="n">
        <v>0.7983238878043557</v>
      </c>
      <c r="D198" s="15" t="n">
        <v>0.09786760613082957</v>
      </c>
      <c r="E198" s="14" t="inlineStr">
        <is>
          <t>Титан</t>
        </is>
      </c>
      <c r="F198" s="16" t="n"/>
    </row>
    <row r="199">
      <c r="A199" s="14" t="inlineStr">
        <is>
          <t>2026 P08</t>
        </is>
      </c>
      <c r="B199" s="15" t="n">
        <v>0.8404238396519165</v>
      </c>
      <c r="C199" s="15" t="n">
        <v>0.7978972102755293</v>
      </c>
      <c r="D199" s="15" t="n">
        <v>0.04252662937638718</v>
      </c>
      <c r="E199" s="14" t="inlineStr">
        <is>
          <t>Ассорти</t>
        </is>
      </c>
      <c r="F199" s="16" t="n"/>
    </row>
    <row r="200">
      <c r="A200" s="14" t="inlineStr">
        <is>
          <t>2026 P07</t>
        </is>
      </c>
      <c r="B200" s="15" t="n">
        <v>0.9522478116988484</v>
      </c>
      <c r="C200" s="15" t="n">
        <v>0.7978771788739285</v>
      </c>
      <c r="D200" s="15" t="n">
        <v>0.1543706328249199</v>
      </c>
      <c r="E200" s="14" t="inlineStr">
        <is>
          <t>Магнит МЦ</t>
        </is>
      </c>
      <c r="F200" s="16" t="n"/>
    </row>
    <row r="201">
      <c r="A201" s="14" t="inlineStr">
        <is>
          <t>2026 P05</t>
        </is>
      </c>
      <c r="B201" s="15" t="n">
        <v>0.944970661398804</v>
      </c>
      <c r="C201" s="15" t="n">
        <v>0.7972264151746214</v>
      </c>
      <c r="D201" s="15" t="n">
        <v>0.1477442462241826</v>
      </c>
      <c r="E201" s="14" t="inlineStr">
        <is>
          <t>Локальная сеть "Любимец"</t>
        </is>
      </c>
      <c r="F201" s="16" t="n"/>
    </row>
    <row r="202">
      <c r="A202" s="14" t="inlineStr">
        <is>
          <t>2026 P08</t>
        </is>
      </c>
      <c r="B202" s="15" t="n"/>
      <c r="C202" s="15" t="n">
        <v>0.7957520105775178</v>
      </c>
      <c r="D202" s="15" t="n">
        <v>-0.7957520105775178</v>
      </c>
      <c r="E202" s="14" t="inlineStr">
        <is>
          <t>Магнит МВ</t>
        </is>
      </c>
      <c r="F202" s="16" t="n"/>
    </row>
    <row r="203">
      <c r="A203" s="14" t="inlineStr">
        <is>
          <t>2026 P08</t>
        </is>
      </c>
      <c r="B203" s="15" t="n">
        <v>0.8633613754576698</v>
      </c>
      <c r="C203" s="15" t="n">
        <v>0.7957480711808611</v>
      </c>
      <c r="D203" s="15" t="n">
        <v>0.06761330427680867</v>
      </c>
      <c r="E203" s="14" t="inlineStr">
        <is>
          <t>Глобус Киров</t>
        </is>
      </c>
      <c r="F203" s="16" t="n"/>
    </row>
    <row r="204">
      <c r="A204" s="14" t="inlineStr">
        <is>
          <t>2026 P08</t>
        </is>
      </c>
      <c r="B204" s="15" t="n">
        <v>0.9369293651686601</v>
      </c>
      <c r="C204" s="15" t="n">
        <v>0.7951163162590705</v>
      </c>
      <c r="D204" s="15" t="n">
        <v>0.1418130489095896</v>
      </c>
      <c r="E204" s="14" t="inlineStr">
        <is>
          <t>Линия</t>
        </is>
      </c>
      <c r="F204" s="16" t="n"/>
    </row>
    <row r="205">
      <c r="A205" s="14" t="inlineStr">
        <is>
          <t>2026 P08</t>
        </is>
      </c>
      <c r="B205" s="15" t="n">
        <v>0.9522899403558729</v>
      </c>
      <c r="C205" s="15" t="n">
        <v>0.7948701460477314</v>
      </c>
      <c r="D205" s="15" t="n">
        <v>0.1574197943081415</v>
      </c>
      <c r="E205" s="14" t="inlineStr">
        <is>
          <t>Магнит ГМ</t>
        </is>
      </c>
      <c r="F205" s="16" t="n"/>
    </row>
    <row r="206">
      <c r="A206" s="14" t="inlineStr">
        <is>
          <t>2026 P04</t>
        </is>
      </c>
      <c r="B206" s="15" t="n">
        <v>0.9138608309097244</v>
      </c>
      <c r="C206" s="15" t="n">
        <v>0.7938606905554805</v>
      </c>
      <c r="D206" s="15" t="n">
        <v>0.1200001403542439</v>
      </c>
      <c r="E206" s="14" t="inlineStr">
        <is>
          <t>Титан</t>
        </is>
      </c>
      <c r="F206" s="16" t="n"/>
    </row>
    <row r="207">
      <c r="A207" s="14" t="inlineStr">
        <is>
          <t>2026 P08</t>
        </is>
      </c>
      <c r="B207" s="15" t="n">
        <v>0.938897407450289</v>
      </c>
      <c r="C207" s="15" t="n">
        <v>0.7937012398230519</v>
      </c>
      <c r="D207" s="15" t="n">
        <v>0.1451961676272372</v>
      </c>
      <c r="E207" s="14" t="inlineStr">
        <is>
          <t>Быстроном</t>
        </is>
      </c>
      <c r="F207" s="16" t="n"/>
    </row>
    <row r="208">
      <c r="A208" s="14" t="inlineStr">
        <is>
          <t>2026 P06</t>
        </is>
      </c>
      <c r="B208" s="15" t="n">
        <v>0.9547027912115204</v>
      </c>
      <c r="C208" s="15" t="n">
        <v>0.793169962955878</v>
      </c>
      <c r="D208" s="15" t="n">
        <v>0.1615328282556423</v>
      </c>
      <c r="E208" s="14" t="inlineStr">
        <is>
          <t>Метрополис</t>
        </is>
      </c>
      <c r="F208" s="16" t="n"/>
    </row>
    <row r="209">
      <c r="A209" s="14" t="inlineStr">
        <is>
          <t>2026 P08</t>
        </is>
      </c>
      <c r="B209" s="15" t="n">
        <v>1</v>
      </c>
      <c r="C209" s="15" t="n">
        <v>0.7926256712330942</v>
      </c>
      <c r="D209" s="15" t="n">
        <v>0.2073743287669058</v>
      </c>
      <c r="E209" s="14" t="inlineStr">
        <is>
          <t>Нем</t>
        </is>
      </c>
      <c r="F209" s="16" t="n"/>
    </row>
    <row r="210">
      <c r="A210" s="14" t="inlineStr">
        <is>
          <t>2026 P05</t>
        </is>
      </c>
      <c r="B210" s="15" t="n">
        <v>0.9596139018178518</v>
      </c>
      <c r="C210" s="15" t="n">
        <v>0.7915334801927427</v>
      </c>
      <c r="D210" s="15" t="n">
        <v>0.1680804216251091</v>
      </c>
      <c r="E210" s="14" t="inlineStr">
        <is>
          <t>Экономыч</t>
        </is>
      </c>
      <c r="F210" s="16" t="n"/>
    </row>
    <row r="211">
      <c r="A211" s="14" t="inlineStr">
        <is>
          <t>2026 P04</t>
        </is>
      </c>
      <c r="B211" s="15" t="n">
        <v>0.8490222950733829</v>
      </c>
      <c r="C211" s="15" t="n">
        <v>0.7908691669842809</v>
      </c>
      <c r="D211" s="15" t="n">
        <v>0.058153128089102</v>
      </c>
      <c r="E211" s="14" t="inlineStr">
        <is>
          <t>Ассорти</t>
        </is>
      </c>
      <c r="F211" s="16" t="n"/>
    </row>
    <row r="212">
      <c r="A212" s="14" t="inlineStr">
        <is>
          <t>2026 P07</t>
        </is>
      </c>
      <c r="B212" s="15" t="n">
        <v>0.9752499157907428</v>
      </c>
      <c r="C212" s="15" t="n">
        <v>0.7903231107536866</v>
      </c>
      <c r="D212" s="15" t="n">
        <v>0.1849268050370563</v>
      </c>
      <c r="E212" s="14" t="inlineStr">
        <is>
          <t>Экономыч</t>
        </is>
      </c>
      <c r="F212" s="16" t="n"/>
    </row>
    <row r="213">
      <c r="A213" s="14" t="inlineStr">
        <is>
          <t>2026 P05</t>
        </is>
      </c>
      <c r="B213" s="15" t="n"/>
      <c r="C213" s="15" t="n">
        <v>0.7900252698243895</v>
      </c>
      <c r="D213" s="15" t="n">
        <v>-0.7900252698243895</v>
      </c>
      <c r="E213" s="14" t="inlineStr">
        <is>
          <t>Чижик</t>
        </is>
      </c>
      <c r="F213" s="16" t="n"/>
    </row>
    <row r="214">
      <c r="A214" s="14" t="inlineStr">
        <is>
          <t>2026 P07</t>
        </is>
      </c>
      <c r="B214" s="15" t="n">
        <v>0.9619864920997626</v>
      </c>
      <c r="C214" s="15" t="n">
        <v>0.7896722091115247</v>
      </c>
      <c r="D214" s="15" t="n">
        <v>0.1723142829882379</v>
      </c>
      <c r="E214" s="14" t="inlineStr">
        <is>
          <t>Макси</t>
        </is>
      </c>
      <c r="F214" s="16" t="n"/>
    </row>
    <row r="215">
      <c r="A215" s="14" t="inlineStr">
        <is>
          <t>2026 P03</t>
        </is>
      </c>
      <c r="B215" s="15" t="n">
        <v>0.9690507165600331</v>
      </c>
      <c r="C215" s="15" t="n">
        <v>0.7894134444991218</v>
      </c>
      <c r="D215" s="15" t="n">
        <v>0.1796372720609113</v>
      </c>
      <c r="E215" s="14" t="inlineStr">
        <is>
          <t>Пятерочка</t>
        </is>
      </c>
      <c r="F215" s="16" t="n"/>
    </row>
    <row r="216">
      <c r="A216" s="14" t="inlineStr">
        <is>
          <t>2026 P06</t>
        </is>
      </c>
      <c r="B216" s="15" t="n">
        <v>0.9451601497324759</v>
      </c>
      <c r="C216" s="15" t="n">
        <v>0.788930747781694</v>
      </c>
      <c r="D216" s="15" t="n">
        <v>0.1562294019507818</v>
      </c>
      <c r="E216" s="14" t="inlineStr">
        <is>
          <t>Магнит ГМ</t>
        </is>
      </c>
      <c r="F216" s="16" t="n"/>
    </row>
    <row r="217">
      <c r="A217" s="14" t="inlineStr">
        <is>
          <t>2026 P08</t>
        </is>
      </c>
      <c r="B217" s="15" t="n">
        <v>0.8085326535916563</v>
      </c>
      <c r="C217" s="15" t="n">
        <v>0.7888789640816094</v>
      </c>
      <c r="D217" s="15" t="n">
        <v>0.01965368951004687</v>
      </c>
      <c r="E217" s="14" t="inlineStr">
        <is>
          <t>Панин</t>
        </is>
      </c>
      <c r="F217" s="16" t="n"/>
    </row>
    <row r="218">
      <c r="A218" s="14" t="inlineStr">
        <is>
          <t>2026 P08</t>
        </is>
      </c>
      <c r="B218" s="15" t="n">
        <v>0.9575434347878833</v>
      </c>
      <c r="C218" s="15" t="n">
        <v>0.7888548300425899</v>
      </c>
      <c r="D218" s="15" t="n">
        <v>0.1686886047452933</v>
      </c>
      <c r="E218" s="14" t="inlineStr">
        <is>
          <t>Лента HM</t>
        </is>
      </c>
      <c r="F218" s="16" t="n"/>
    </row>
    <row r="219">
      <c r="A219" s="14" t="inlineStr">
        <is>
          <t>2026 P04</t>
        </is>
      </c>
      <c r="B219" s="15" t="n">
        <v>0.8569450562205803</v>
      </c>
      <c r="C219" s="15" t="n">
        <v>0.7881486323907718</v>
      </c>
      <c r="D219" s="15" t="n">
        <v>0.06879642382980844</v>
      </c>
      <c r="E219" s="14" t="inlineStr">
        <is>
          <t>Панин</t>
        </is>
      </c>
      <c r="F219" s="16" t="n"/>
    </row>
    <row r="220">
      <c r="A220" s="14" t="inlineStr">
        <is>
          <t>2026 P03</t>
        </is>
      </c>
      <c r="B220" s="15" t="n">
        <v>0.8261306887652713</v>
      </c>
      <c r="C220" s="15" t="n">
        <v>0.787830991402344</v>
      </c>
      <c r="D220" s="15" t="n">
        <v>0.03829969736292727</v>
      </c>
      <c r="E220" s="14" t="inlineStr">
        <is>
          <t>Сима Ленд</t>
        </is>
      </c>
      <c r="F220" s="16" t="n"/>
    </row>
    <row r="221">
      <c r="A221" s="14" t="inlineStr">
        <is>
          <t>2026 P03</t>
        </is>
      </c>
      <c r="B221" s="15" t="n">
        <v>0.9442627580656431</v>
      </c>
      <c r="C221" s="15" t="n">
        <v>0.7877734454492453</v>
      </c>
      <c r="D221" s="15" t="n">
        <v>0.1564893126163978</v>
      </c>
      <c r="E221" s="14" t="inlineStr">
        <is>
          <t>Лента HM</t>
        </is>
      </c>
      <c r="F221" s="16" t="n"/>
    </row>
    <row r="222">
      <c r="A222" s="14" t="inlineStr">
        <is>
          <t>2026 P07</t>
        </is>
      </c>
      <c r="B222" s="15" t="n">
        <v>0.9511518331197973</v>
      </c>
      <c r="C222" s="15" t="n">
        <v>0.7873368707164592</v>
      </c>
      <c r="D222" s="15" t="n">
        <v>0.1638149624033381</v>
      </c>
      <c r="E222" s="14" t="inlineStr">
        <is>
          <t>SPAR Волга</t>
        </is>
      </c>
      <c r="F222" s="16" t="n"/>
    </row>
    <row r="223">
      <c r="A223" s="14" t="inlineStr">
        <is>
          <t>2026 P07</t>
        </is>
      </c>
      <c r="B223" s="15" t="n">
        <v>0.9579849882208101</v>
      </c>
      <c r="C223" s="15" t="n">
        <v>0.7870636227980968</v>
      </c>
      <c r="D223" s="15" t="n">
        <v>0.1709213654227133</v>
      </c>
      <c r="E223" s="14" t="inlineStr">
        <is>
          <t>Лента HM</t>
        </is>
      </c>
      <c r="F223" s="16" t="n"/>
    </row>
    <row r="224">
      <c r="A224" s="14" t="inlineStr">
        <is>
          <t>2026 P08</t>
        </is>
      </c>
      <c r="B224" s="15" t="n">
        <v>0.9624990756749123</v>
      </c>
      <c r="C224" s="15" t="n">
        <v>0.7861722473723376</v>
      </c>
      <c r="D224" s="15" t="n">
        <v>0.1763268283025747</v>
      </c>
      <c r="E224" s="14" t="inlineStr">
        <is>
          <t>SPAR Волга</t>
        </is>
      </c>
      <c r="F224" s="16" t="n"/>
    </row>
    <row r="225">
      <c r="A225" s="14" t="inlineStr">
        <is>
          <t>2026 P05</t>
        </is>
      </c>
      <c r="B225" s="15" t="n">
        <v>0.8620159857702011</v>
      </c>
      <c r="C225" s="15" t="n">
        <v>0.786038672419873</v>
      </c>
      <c r="D225" s="15" t="n">
        <v>0.07597731335032809</v>
      </c>
      <c r="E225" s="14" t="inlineStr">
        <is>
          <t>Глобус Киров</t>
        </is>
      </c>
      <c r="F225" s="16" t="n"/>
    </row>
    <row r="226">
      <c r="A226" s="14" t="inlineStr">
        <is>
          <t>2026 P06</t>
        </is>
      </c>
      <c r="B226" s="15" t="n">
        <v>0.9683656093941589</v>
      </c>
      <c r="C226" s="15" t="n">
        <v>0.7856637498293798</v>
      </c>
      <c r="D226" s="15" t="n">
        <v>0.1827018595647791</v>
      </c>
      <c r="E226" s="14" t="inlineStr">
        <is>
          <t>Локальная сеть "Любимец"</t>
        </is>
      </c>
      <c r="F226" s="16" t="n"/>
    </row>
    <row r="227">
      <c r="A227" s="14" t="inlineStr">
        <is>
          <t>2026 P06</t>
        </is>
      </c>
      <c r="B227" s="15" t="n">
        <v>0.9086635211457202</v>
      </c>
      <c r="C227" s="15" t="n">
        <v>0.7854149491468656</v>
      </c>
      <c r="D227" s="15" t="n">
        <v>0.1232485719988546</v>
      </c>
      <c r="E227" s="14" t="inlineStr">
        <is>
          <t>Титан</t>
        </is>
      </c>
      <c r="F227" s="16" t="n"/>
    </row>
    <row r="228">
      <c r="A228" s="14" t="inlineStr">
        <is>
          <t>2026 P04</t>
        </is>
      </c>
      <c r="B228" s="15" t="n">
        <v>0.9633963040389234</v>
      </c>
      <c r="C228" s="15" t="n">
        <v>0.7851545750500954</v>
      </c>
      <c r="D228" s="15" t="n">
        <v>0.178241728988828</v>
      </c>
      <c r="E228" s="14" t="inlineStr">
        <is>
          <t>Макси</t>
        </is>
      </c>
      <c r="F228" s="16" t="n"/>
    </row>
    <row r="229">
      <c r="A229" s="14" t="inlineStr">
        <is>
          <t>2026 P05</t>
        </is>
      </c>
      <c r="B229" s="15" t="n">
        <v>0.8310577683116372</v>
      </c>
      <c r="C229" s="15" t="n">
        <v>0.7850261751203668</v>
      </c>
      <c r="D229" s="15" t="n">
        <v>0.04603159319127048</v>
      </c>
      <c r="E229" s="14" t="inlineStr">
        <is>
          <t>Неотрейд ООО</t>
        </is>
      </c>
      <c r="F229" s="16" t="n"/>
    </row>
    <row r="230">
      <c r="A230" s="14" t="inlineStr">
        <is>
          <t>2026 P06</t>
        </is>
      </c>
      <c r="B230" s="15" t="n">
        <v>0.9410248172821091</v>
      </c>
      <c r="C230" s="15" t="n">
        <v>0.7847879263409641</v>
      </c>
      <c r="D230" s="15" t="n">
        <v>0.156236890941145</v>
      </c>
      <c r="E230" s="14" t="inlineStr">
        <is>
          <t>Магнит МЦ</t>
        </is>
      </c>
      <c r="F230" s="16" t="n"/>
    </row>
    <row r="231">
      <c r="A231" s="14" t="inlineStr">
        <is>
          <t>2026 P03</t>
        </is>
      </c>
      <c r="B231" s="15" t="n">
        <v>0.959958491544245</v>
      </c>
      <c r="C231" s="15" t="n">
        <v>0.7832743444889114</v>
      </c>
      <c r="D231" s="15" t="n">
        <v>0.1766841470553335</v>
      </c>
      <c r="E231" s="14" t="inlineStr">
        <is>
          <t>ООО Формат</t>
        </is>
      </c>
      <c r="F231" s="16" t="n"/>
    </row>
    <row r="232">
      <c r="A232" s="14" t="inlineStr">
        <is>
          <t>2026 P07</t>
        </is>
      </c>
      <c r="B232" s="15" t="n">
        <v>0.945530643365714</v>
      </c>
      <c r="C232" s="15" t="n">
        <v>0.7832690104166345</v>
      </c>
      <c r="D232" s="15" t="n">
        <v>0.1622616329490795</v>
      </c>
      <c r="E232" s="14" t="inlineStr">
        <is>
          <t>Магнит ГМ</t>
        </is>
      </c>
      <c r="F232" s="16" t="n"/>
    </row>
    <row r="233">
      <c r="A233" s="14" t="inlineStr">
        <is>
          <t>2026 P08</t>
        </is>
      </c>
      <c r="B233" s="15" t="n">
        <v>0.8512581510857595</v>
      </c>
      <c r="C233" s="15" t="n">
        <v>0.7828091871327276</v>
      </c>
      <c r="D233" s="15" t="n">
        <v>0.0684489639530319</v>
      </c>
      <c r="E233" s="14" t="inlineStr">
        <is>
          <t>Кот и Пес</t>
        </is>
      </c>
      <c r="F233" s="16" t="n"/>
    </row>
    <row r="234">
      <c r="A234" s="14" t="inlineStr">
        <is>
          <t>2026 P04</t>
        </is>
      </c>
      <c r="B234" s="15" t="n"/>
      <c r="C234" s="15" t="n">
        <v>0.7824402910121094</v>
      </c>
      <c r="D234" s="15" t="n">
        <v>-0.7824402910121094</v>
      </c>
      <c r="E234" s="14" t="inlineStr">
        <is>
          <t>Магнит МВ</t>
        </is>
      </c>
      <c r="F234" s="16" t="n"/>
    </row>
    <row r="235">
      <c r="A235" s="14" t="inlineStr">
        <is>
          <t>2026 P07</t>
        </is>
      </c>
      <c r="B235" s="15" t="n">
        <v>0.9329894906372891</v>
      </c>
      <c r="C235" s="15" t="n">
        <v>0.7798466440780368</v>
      </c>
      <c r="D235" s="15" t="n">
        <v>0.1531428465592523</v>
      </c>
      <c r="E235" s="14" t="inlineStr">
        <is>
          <t>Быстроном</t>
        </is>
      </c>
      <c r="F235" s="16" t="n"/>
    </row>
    <row r="236">
      <c r="A236" s="14" t="inlineStr">
        <is>
          <t>2026 P03</t>
        </is>
      </c>
      <c r="B236" s="15" t="n">
        <v>0.950475333046066</v>
      </c>
      <c r="C236" s="15" t="n">
        <v>0.7797870074184565</v>
      </c>
      <c r="D236" s="15" t="n">
        <v>0.1706883256276095</v>
      </c>
      <c r="E236" s="14" t="inlineStr">
        <is>
          <t>Экономыч</t>
        </is>
      </c>
      <c r="F236" s="16" t="n"/>
    </row>
    <row r="237">
      <c r="A237" s="14" t="inlineStr">
        <is>
          <t>2026 P04</t>
        </is>
      </c>
      <c r="B237" s="15" t="n"/>
      <c r="C237" s="15" t="n">
        <v>0.7794689802480667</v>
      </c>
      <c r="D237" s="15" t="n">
        <v>-0.7794689802480667</v>
      </c>
      <c r="E237" s="14" t="inlineStr">
        <is>
          <t>Чижик</t>
        </is>
      </c>
      <c r="F237" s="16" t="n"/>
    </row>
    <row r="238">
      <c r="A238" s="14" t="inlineStr">
        <is>
          <t>2026 P05</t>
        </is>
      </c>
      <c r="B238" s="15" t="n">
        <v>0.8493186932022595</v>
      </c>
      <c r="C238" s="15" t="n">
        <v>0.7793463355715661</v>
      </c>
      <c r="D238" s="15" t="n">
        <v>0.06997235763069343</v>
      </c>
      <c r="E238" s="14" t="inlineStr">
        <is>
          <t>Кот и Пес</t>
        </is>
      </c>
      <c r="F238" s="16" t="n"/>
    </row>
    <row r="239">
      <c r="A239" s="14" t="inlineStr">
        <is>
          <t>2026 P02</t>
        </is>
      </c>
      <c r="B239" s="15" t="n">
        <v>0.8397136794292888</v>
      </c>
      <c r="C239" s="15" t="n">
        <v>0.7792800112045772</v>
      </c>
      <c r="D239" s="15" t="n">
        <v>0.06043366822471152</v>
      </c>
      <c r="E239" s="14" t="inlineStr">
        <is>
          <t>Лотос</t>
        </is>
      </c>
      <c r="F239" s="16" t="n"/>
    </row>
    <row r="240">
      <c r="A240" s="14" t="inlineStr">
        <is>
          <t>2026 P08</t>
        </is>
      </c>
      <c r="B240" s="15" t="n">
        <v>0.8278934224400539</v>
      </c>
      <c r="C240" s="15" t="n">
        <v>0.7792209199503037</v>
      </c>
      <c r="D240" s="15" t="n">
        <v>0.04867250248975019</v>
      </c>
      <c r="E240" s="14" t="inlineStr">
        <is>
          <t>Сима Ленд</t>
        </is>
      </c>
      <c r="F240" s="16" t="n"/>
    </row>
    <row r="241">
      <c r="A241" s="14" t="inlineStr">
        <is>
          <t>2026 P01</t>
        </is>
      </c>
      <c r="B241" s="15" t="n">
        <v>0.8216237069886293</v>
      </c>
      <c r="C241" s="15" t="n">
        <v>0.7785976722594972</v>
      </c>
      <c r="D241" s="15" t="n">
        <v>0.04302603472913213</v>
      </c>
      <c r="E241" s="14" t="inlineStr">
        <is>
          <t>Вега (Киров)</t>
        </is>
      </c>
      <c r="F241" s="16" t="n"/>
    </row>
    <row r="242">
      <c r="A242" s="14" t="inlineStr">
        <is>
          <t>2026 P03</t>
        </is>
      </c>
      <c r="B242" s="15" t="n">
        <v>0.9880209690434566</v>
      </c>
      <c r="C242" s="15" t="n">
        <v>0.7782266534586639</v>
      </c>
      <c r="D242" s="15" t="n">
        <v>0.2097943155847927</v>
      </c>
      <c r="E242" s="14" t="inlineStr">
        <is>
          <t>Нем</t>
        </is>
      </c>
      <c r="F242" s="16" t="n"/>
    </row>
    <row r="243">
      <c r="A243" s="14" t="inlineStr">
        <is>
          <t>2026 P07</t>
        </is>
      </c>
      <c r="B243" s="15" t="n">
        <v>0.9729908602148373</v>
      </c>
      <c r="C243" s="15" t="n">
        <v>0.777950365163726</v>
      </c>
      <c r="D243" s="15" t="n">
        <v>0.1950404950511113</v>
      </c>
      <c r="E243" s="14" t="inlineStr">
        <is>
          <t>Дикси</t>
        </is>
      </c>
      <c r="F243" s="16" t="n"/>
    </row>
    <row r="244">
      <c r="A244" s="14" t="inlineStr">
        <is>
          <t>2026 P08</t>
        </is>
      </c>
      <c r="B244" s="15" t="n">
        <v>0.9715444637208157</v>
      </c>
      <c r="C244" s="15" t="n">
        <v>0.7778149086032394</v>
      </c>
      <c r="D244" s="15" t="n">
        <v>0.1937295551175763</v>
      </c>
      <c r="E244" s="14" t="inlineStr">
        <is>
          <t>Дикси</t>
        </is>
      </c>
      <c r="F244" s="16" t="n"/>
    </row>
    <row r="245">
      <c r="A245" s="14" t="inlineStr">
        <is>
          <t>2026 P05</t>
        </is>
      </c>
      <c r="B245" s="15" t="n">
        <v>0.8852959036829222</v>
      </c>
      <c r="C245" s="15" t="n">
        <v>0.7774257260734705</v>
      </c>
      <c r="D245" s="15" t="n">
        <v>0.1078701776094517</v>
      </c>
      <c r="E245" s="14" t="inlineStr">
        <is>
          <t>ЗооТерра</t>
        </is>
      </c>
      <c r="F245" s="16" t="n"/>
    </row>
    <row r="246">
      <c r="A246" s="14" t="inlineStr">
        <is>
          <t>2026 P06</t>
        </is>
      </c>
      <c r="B246" s="15" t="n">
        <v>0.9667632622551345</v>
      </c>
      <c r="C246" s="15" t="n">
        <v>0.7767414163606532</v>
      </c>
      <c r="D246" s="15" t="n">
        <v>0.1900218458944813</v>
      </c>
      <c r="E246" s="14" t="inlineStr">
        <is>
          <t>Пятерочка</t>
        </is>
      </c>
      <c r="F246" s="16" t="n"/>
    </row>
    <row r="247">
      <c r="A247" s="14" t="inlineStr">
        <is>
          <t>2026 P03</t>
        </is>
      </c>
      <c r="B247" s="15" t="n">
        <v>0.8963488854892653</v>
      </c>
      <c r="C247" s="15" t="n">
        <v>0.7764199762169638</v>
      </c>
      <c r="D247" s="15" t="n">
        <v>0.1199289092723015</v>
      </c>
      <c r="E247" s="14" t="inlineStr">
        <is>
          <t>Белый Кролик</t>
        </is>
      </c>
      <c r="F247" s="16" t="n"/>
    </row>
    <row r="248">
      <c r="A248" s="14" t="inlineStr">
        <is>
          <t>2026 P02</t>
        </is>
      </c>
      <c r="B248" s="15" t="n">
        <v>0.9647352238569464</v>
      </c>
      <c r="C248" s="15" t="n">
        <v>0.7762782140532669</v>
      </c>
      <c r="D248" s="15" t="n">
        <v>0.1884570098036795</v>
      </c>
      <c r="E248" s="14" t="inlineStr">
        <is>
          <t>Пятерочка</t>
        </is>
      </c>
      <c r="F248" s="16" t="n"/>
    </row>
    <row r="249">
      <c r="A249" s="14" t="inlineStr">
        <is>
          <t>2026 P05</t>
        </is>
      </c>
      <c r="B249" s="15" t="n"/>
      <c r="C249" s="15" t="n">
        <v>0.7757122450827115</v>
      </c>
      <c r="D249" s="15" t="n">
        <v>-0.7757122450827115</v>
      </c>
      <c r="E249" s="14" t="inlineStr">
        <is>
          <t>Магнит МЦ</t>
        </is>
      </c>
      <c r="F249" s="16" t="n"/>
    </row>
    <row r="250">
      <c r="A250" s="14" t="inlineStr">
        <is>
          <t>2026 P07</t>
        </is>
      </c>
      <c r="B250" s="15" t="n">
        <v>0.8596956618052816</v>
      </c>
      <c r="C250" s="15" t="n">
        <v>0.7753489031536116</v>
      </c>
      <c r="D250" s="15" t="n">
        <v>0.08434675865166996</v>
      </c>
      <c r="E250" s="14" t="inlineStr">
        <is>
          <t>Глобус Киров</t>
        </is>
      </c>
      <c r="F250" s="16" t="n"/>
    </row>
    <row r="251">
      <c r="A251" s="14" t="inlineStr">
        <is>
          <t>2026 P04</t>
        </is>
      </c>
      <c r="B251" s="15" t="n">
        <v>0.9500041295018434</v>
      </c>
      <c r="C251" s="15" t="n">
        <v>0.7750841482923283</v>
      </c>
      <c r="D251" s="15" t="n">
        <v>0.1749199812095151</v>
      </c>
      <c r="E251" s="14" t="inlineStr">
        <is>
          <t>Перекресток</t>
        </is>
      </c>
      <c r="F251" s="16" t="n"/>
    </row>
    <row r="252">
      <c r="A252" s="14" t="inlineStr">
        <is>
          <t>2026 P04</t>
        </is>
      </c>
      <c r="B252" s="15" t="n"/>
      <c r="C252" s="15" t="n">
        <v>0.7750439119907166</v>
      </c>
      <c r="D252" s="15" t="n">
        <v>-0.7750439119907166</v>
      </c>
      <c r="E252" s="14" t="inlineStr">
        <is>
          <t>Магнит МЦ</t>
        </is>
      </c>
      <c r="F252" s="16" t="n"/>
    </row>
    <row r="253">
      <c r="A253" s="14" t="inlineStr">
        <is>
          <t>2026 P05</t>
        </is>
      </c>
      <c r="B253" s="15" t="n">
        <v>0.9287881523045264</v>
      </c>
      <c r="C253" s="15" t="n">
        <v>0.7745591348062894</v>
      </c>
      <c r="D253" s="15" t="n">
        <v>0.154229017498237</v>
      </c>
      <c r="E253" s="14" t="inlineStr">
        <is>
          <t>SPAR Калининград</t>
        </is>
      </c>
      <c r="F253" s="16" t="n"/>
    </row>
    <row r="254">
      <c r="A254" s="14" t="inlineStr">
        <is>
          <t>2026 P01</t>
        </is>
      </c>
      <c r="B254" s="15" t="n">
        <v>0.9002174171790377</v>
      </c>
      <c r="C254" s="15" t="n">
        <v>0.7744055742233875</v>
      </c>
      <c r="D254" s="15" t="n">
        <v>0.1258118429556502</v>
      </c>
      <c r="E254" s="14" t="inlineStr">
        <is>
          <t>Гиперглобус</t>
        </is>
      </c>
      <c r="F254" s="16" t="n"/>
    </row>
    <row r="255">
      <c r="A255" s="14" t="inlineStr">
        <is>
          <t>2026 P03</t>
        </is>
      </c>
      <c r="B255" s="15" t="n">
        <v>0.9307561447136128</v>
      </c>
      <c r="C255" s="15" t="n">
        <v>0.774255814855318</v>
      </c>
      <c r="D255" s="15" t="n">
        <v>0.1565003298582948</v>
      </c>
      <c r="E255" s="14" t="inlineStr">
        <is>
          <t>Магнит ГМ</t>
        </is>
      </c>
      <c r="F255" s="16" t="n"/>
    </row>
    <row r="256">
      <c r="A256" s="14" t="inlineStr">
        <is>
          <t>2026 P07</t>
        </is>
      </c>
      <c r="B256" s="15" t="n">
        <v>0.965065711147954</v>
      </c>
      <c r="C256" s="15" t="n">
        <v>0.7733576153827241</v>
      </c>
      <c r="D256" s="15" t="n">
        <v>0.19170809576523</v>
      </c>
      <c r="E256" s="14" t="inlineStr">
        <is>
          <t>Пятерочка</t>
        </is>
      </c>
      <c r="F256" s="16" t="n"/>
    </row>
    <row r="257">
      <c r="A257" s="14" t="inlineStr">
        <is>
          <t>2026 P02</t>
        </is>
      </c>
      <c r="B257" s="15" t="n">
        <v>0.7941623201663025</v>
      </c>
      <c r="C257" s="15" t="n">
        <v>0.7729785424117454</v>
      </c>
      <c r="D257" s="15" t="n">
        <v>0.02118377775455715</v>
      </c>
      <c r="E257" s="14" t="inlineStr">
        <is>
          <t>Глобус Киров</t>
        </is>
      </c>
      <c r="F257" s="16" t="n"/>
    </row>
    <row r="258">
      <c r="A258" s="14" t="inlineStr">
        <is>
          <t>2026 P08</t>
        </is>
      </c>
      <c r="B258" s="15" t="n">
        <v>0.934391141560357</v>
      </c>
      <c r="C258" s="15" t="n">
        <v>0.7715377756640318</v>
      </c>
      <c r="D258" s="15" t="n">
        <v>0.1628533658963252</v>
      </c>
      <c r="E258" s="14" t="inlineStr">
        <is>
          <t>Реми</t>
        </is>
      </c>
      <c r="F258" s="16" t="n"/>
    </row>
    <row r="259">
      <c r="A259" s="14" t="inlineStr">
        <is>
          <t>2026 P02</t>
        </is>
      </c>
      <c r="B259" s="15" t="n">
        <v>0.9272227942806193</v>
      </c>
      <c r="C259" s="15" t="n">
        <v>0.7714071124309252</v>
      </c>
      <c r="D259" s="15" t="n">
        <v>0.1558156818496941</v>
      </c>
      <c r="E259" s="14" t="inlineStr">
        <is>
          <t>RegX5_SS</t>
        </is>
      </c>
      <c r="F259" s="16" t="n"/>
    </row>
    <row r="260">
      <c r="A260" s="14" t="inlineStr">
        <is>
          <t>2026 P04</t>
        </is>
      </c>
      <c r="B260" s="15" t="n">
        <v>0.8659132876021072</v>
      </c>
      <c r="C260" s="15" t="n">
        <v>0.7713488581816071</v>
      </c>
      <c r="D260" s="15" t="n">
        <v>0.09456442942050003</v>
      </c>
      <c r="E260" s="14" t="inlineStr">
        <is>
          <t>ЗооТерра</t>
        </is>
      </c>
      <c r="F260" s="16" t="n"/>
    </row>
    <row r="261">
      <c r="A261" s="14" t="inlineStr">
        <is>
          <t>2026 P04</t>
        </is>
      </c>
      <c r="B261" s="15" t="n">
        <v>0.9469419176759497</v>
      </c>
      <c r="C261" s="15" t="n">
        <v>0.7705739741345526</v>
      </c>
      <c r="D261" s="15" t="n">
        <v>0.1763679435413971</v>
      </c>
      <c r="E261" s="14" t="inlineStr">
        <is>
          <t>Пятерочка</t>
        </is>
      </c>
      <c r="F261" s="16" t="n"/>
    </row>
    <row r="262">
      <c r="A262" s="14" t="inlineStr">
        <is>
          <t>2026 P08</t>
        </is>
      </c>
      <c r="B262" s="15" t="n">
        <v>0.9683214378838757</v>
      </c>
      <c r="C262" s="15" t="n">
        <v>0.7704958111029013</v>
      </c>
      <c r="D262" s="15" t="n">
        <v>0.1978256267809744</v>
      </c>
      <c r="E262" s="14" t="inlineStr">
        <is>
          <t>Пятерочка</t>
        </is>
      </c>
      <c r="F262" s="16" t="n"/>
    </row>
    <row r="263">
      <c r="A263" s="14" t="inlineStr">
        <is>
          <t>2026 P06</t>
        </is>
      </c>
      <c r="B263" s="15" t="n">
        <v>0.8444273738515048</v>
      </c>
      <c r="C263" s="15" t="n">
        <v>0.7699748345513802</v>
      </c>
      <c r="D263" s="15" t="n">
        <v>0.07445253930012463</v>
      </c>
      <c r="E263" s="14" t="inlineStr">
        <is>
          <t>Глобус Киров</t>
        </is>
      </c>
      <c r="F263" s="16" t="n"/>
    </row>
    <row r="264">
      <c r="A264" s="14" t="inlineStr">
        <is>
          <t>2026 P05</t>
        </is>
      </c>
      <c r="B264" s="15" t="n">
        <v>0.9530365371715264</v>
      </c>
      <c r="C264" s="15" t="n">
        <v>0.7697675570472947</v>
      </c>
      <c r="D264" s="15" t="n">
        <v>0.1832689801242317</v>
      </c>
      <c r="E264" s="14" t="inlineStr">
        <is>
          <t>Дикси</t>
        </is>
      </c>
      <c r="F264" s="16" t="n"/>
    </row>
    <row r="265">
      <c r="A265" s="14" t="inlineStr">
        <is>
          <t>2026 P06</t>
        </is>
      </c>
      <c r="B265" s="15" t="n">
        <v>0.8662377022470897</v>
      </c>
      <c r="C265" s="15" t="n">
        <v>0.7696995911815079</v>
      </c>
      <c r="D265" s="15" t="n">
        <v>0.09653811106558186</v>
      </c>
      <c r="E265" s="14" t="inlineStr">
        <is>
          <t>Ассорти</t>
        </is>
      </c>
      <c r="F265" s="16" t="n"/>
    </row>
    <row r="266">
      <c r="A266" s="14" t="inlineStr">
        <is>
          <t>2026 P07</t>
        </is>
      </c>
      <c r="B266" s="15" t="n">
        <v>0.8529003154083886</v>
      </c>
      <c r="C266" s="15" t="n">
        <v>0.7687630050053346</v>
      </c>
      <c r="D266" s="15" t="n">
        <v>0.08413731040305406</v>
      </c>
      <c r="E266" s="14" t="inlineStr">
        <is>
          <t>Ассорти</t>
        </is>
      </c>
      <c r="F266" s="16" t="n"/>
    </row>
    <row r="267">
      <c r="A267" s="14" t="inlineStr">
        <is>
          <t>2026 P03</t>
        </is>
      </c>
      <c r="B267" s="15" t="n">
        <v>0.9529797739979049</v>
      </c>
      <c r="C267" s="15" t="n">
        <v>0.7686938541374368</v>
      </c>
      <c r="D267" s="15" t="n">
        <v>0.1842859198604681</v>
      </c>
      <c r="E267" s="14" t="inlineStr">
        <is>
          <t>Перекресток</t>
        </is>
      </c>
      <c r="F267" s="16" t="n"/>
    </row>
    <row r="268">
      <c r="A268" s="14" t="inlineStr">
        <is>
          <t>2026 P03</t>
        </is>
      </c>
      <c r="B268" s="15" t="n"/>
      <c r="C268" s="15" t="n">
        <v>0.7686203098013222</v>
      </c>
      <c r="D268" s="15" t="n">
        <v>-0.7686203098013222</v>
      </c>
      <c r="E268" s="14" t="inlineStr">
        <is>
          <t>Чижик</t>
        </is>
      </c>
      <c r="F268" s="16" t="n"/>
    </row>
    <row r="269">
      <c r="A269" s="14" t="inlineStr">
        <is>
          <t>2026 P06</t>
        </is>
      </c>
      <c r="B269" s="15" t="n">
        <v>0.9688790612249452</v>
      </c>
      <c r="C269" s="15" t="n">
        <v>0.7676363782047625</v>
      </c>
      <c r="D269" s="15" t="n">
        <v>0.2012426830201827</v>
      </c>
      <c r="E269" s="14" t="inlineStr">
        <is>
          <t>Дикси</t>
        </is>
      </c>
      <c r="F269" s="16" t="n"/>
    </row>
    <row r="270">
      <c r="A270" s="14" t="inlineStr">
        <is>
          <t>2026 P04</t>
        </is>
      </c>
      <c r="B270" s="15" t="n">
        <v>0.9256100601397669</v>
      </c>
      <c r="C270" s="15" t="n">
        <v>0.7676196366602117</v>
      </c>
      <c r="D270" s="15" t="n">
        <v>0.1579904234795552</v>
      </c>
      <c r="E270" s="14" t="inlineStr">
        <is>
          <t>Лента SM</t>
        </is>
      </c>
      <c r="F270" s="16" t="n"/>
    </row>
    <row r="271">
      <c r="A271" s="14" t="inlineStr">
        <is>
          <t>2026 P07</t>
        </is>
      </c>
      <c r="B271" s="15" t="n">
        <v>0.8781066955631085</v>
      </c>
      <c r="C271" s="15" t="n">
        <v>0.767142047526491</v>
      </c>
      <c r="D271" s="15" t="n">
        <v>0.1109646480366175</v>
      </c>
      <c r="E271" s="14" t="inlineStr">
        <is>
          <t>Арт-Маркет</t>
        </is>
      </c>
      <c r="F271" s="16" t="n"/>
    </row>
    <row r="272">
      <c r="A272" s="14" t="inlineStr">
        <is>
          <t>2026 P07</t>
        </is>
      </c>
      <c r="B272" s="15" t="n">
        <v>0.8573366723680639</v>
      </c>
      <c r="C272" s="15" t="n">
        <v>0.7670473820043644</v>
      </c>
      <c r="D272" s="15" t="n">
        <v>0.09028929036369948</v>
      </c>
      <c r="E272" s="14" t="inlineStr">
        <is>
          <t>Миндаль</t>
        </is>
      </c>
      <c r="F272" s="16" t="n"/>
    </row>
    <row r="273">
      <c r="A273" s="14" t="inlineStr">
        <is>
          <t>2026 P03</t>
        </is>
      </c>
      <c r="B273" s="15" t="n">
        <v>0.9551113694266123</v>
      </c>
      <c r="C273" s="15" t="n">
        <v>0.7668496283771644</v>
      </c>
      <c r="D273" s="15" t="n">
        <v>0.1882617410494479</v>
      </c>
      <c r="E273" s="14" t="inlineStr">
        <is>
          <t>Магнит МЦ</t>
        </is>
      </c>
      <c r="F273" s="16" t="n"/>
    </row>
    <row r="274">
      <c r="A274" s="14" t="inlineStr">
        <is>
          <t>2026 P03</t>
        </is>
      </c>
      <c r="B274" s="15" t="n">
        <v>0.8858354124188337</v>
      </c>
      <c r="C274" s="15" t="n">
        <v>0.7659693607542832</v>
      </c>
      <c r="D274" s="15" t="n">
        <v>0.1198660516645504</v>
      </c>
      <c r="E274" s="14" t="inlineStr">
        <is>
          <t>Титан</t>
        </is>
      </c>
      <c r="F274" s="16" t="n"/>
    </row>
    <row r="275">
      <c r="A275" s="14" t="inlineStr">
        <is>
          <t>2026 P07</t>
        </is>
      </c>
      <c r="B275" s="15" t="n">
        <v>0.822751379507592</v>
      </c>
      <c r="C275" s="15" t="n">
        <v>0.7659644730544574</v>
      </c>
      <c r="D275" s="15" t="n">
        <v>0.05678690645313467</v>
      </c>
      <c r="E275" s="14" t="inlineStr">
        <is>
          <t>Неотрейд ООО</t>
        </is>
      </c>
      <c r="F275" s="16" t="n"/>
    </row>
    <row r="276">
      <c r="A276" s="14" t="inlineStr">
        <is>
          <t>2026 P08</t>
        </is>
      </c>
      <c r="B276" s="15" t="n">
        <v>0.9440179631798445</v>
      </c>
      <c r="C276" s="15" t="n">
        <v>0.7658080940380211</v>
      </c>
      <c r="D276" s="15" t="n">
        <v>0.1782098691418235</v>
      </c>
      <c r="E276" s="14" t="inlineStr">
        <is>
          <t>SPAR Калининград</t>
        </is>
      </c>
      <c r="F276" s="16" t="n"/>
    </row>
    <row r="277">
      <c r="A277" s="14" t="inlineStr">
        <is>
          <t>2026 P05</t>
        </is>
      </c>
      <c r="B277" s="15" t="n">
        <v>0.8385507389142165</v>
      </c>
      <c r="C277" s="15" t="n">
        <v>0.7653052865248134</v>
      </c>
      <c r="D277" s="15" t="n">
        <v>0.07324545238940305</v>
      </c>
      <c r="E277" s="14" t="inlineStr">
        <is>
          <t>Миндаль</t>
        </is>
      </c>
      <c r="F277" s="16" t="n"/>
    </row>
    <row r="278">
      <c r="A278" s="14" t="inlineStr">
        <is>
          <t>2026 P05</t>
        </is>
      </c>
      <c r="B278" s="15" t="n">
        <v>0.9413320973696432</v>
      </c>
      <c r="C278" s="15" t="n">
        <v>0.7648118942430862</v>
      </c>
      <c r="D278" s="15" t="n">
        <v>0.176520203126557</v>
      </c>
      <c r="E278" s="14" t="inlineStr">
        <is>
          <t>Пятерочка</t>
        </is>
      </c>
      <c r="F278" s="16" t="n"/>
    </row>
    <row r="279">
      <c r="A279" s="14" t="inlineStr">
        <is>
          <t>2026 P07</t>
        </is>
      </c>
      <c r="B279" s="15" t="n"/>
      <c r="C279" s="15" t="n">
        <v>0.7647371247927635</v>
      </c>
      <c r="D279" s="15" t="n">
        <v>-0.7647371247927635</v>
      </c>
      <c r="E279" s="14" t="inlineStr">
        <is>
          <t>Магнит МВ</t>
        </is>
      </c>
      <c r="F279" s="16" t="n"/>
    </row>
    <row r="280">
      <c r="A280" s="14" t="inlineStr">
        <is>
          <t>2026 P02</t>
        </is>
      </c>
      <c r="B280" s="15" t="n">
        <v>0.8802805927354631</v>
      </c>
      <c r="C280" s="15" t="n">
        <v>0.7643374350076753</v>
      </c>
      <c r="D280" s="15" t="n">
        <v>0.1159431577277878</v>
      </c>
      <c r="E280" s="14" t="inlineStr">
        <is>
          <t>Линия</t>
        </is>
      </c>
      <c r="F280" s="16" t="n"/>
    </row>
    <row r="281">
      <c r="A281" s="14" t="inlineStr">
        <is>
          <t>2026 P01</t>
        </is>
      </c>
      <c r="B281" s="15" t="n">
        <v>0.9247419613707527</v>
      </c>
      <c r="C281" s="15" t="n">
        <v>0.7642644374384115</v>
      </c>
      <c r="D281" s="15" t="n">
        <v>0.1604775239323412</v>
      </c>
      <c r="E281" s="14" t="inlineStr">
        <is>
          <t>Самбери</t>
        </is>
      </c>
      <c r="F281" s="16" t="n"/>
    </row>
    <row r="282">
      <c r="A282" s="14" t="inlineStr">
        <is>
          <t>2026 P06</t>
        </is>
      </c>
      <c r="B282" s="15" t="n">
        <v>0.9347482477731321</v>
      </c>
      <c r="C282" s="15" t="n">
        <v>0.7642456324004344</v>
      </c>
      <c r="D282" s="15" t="n">
        <v>0.1705026153726977</v>
      </c>
      <c r="E282" s="14" t="inlineStr">
        <is>
          <t>Лента HM</t>
        </is>
      </c>
      <c r="F282" s="16" t="n"/>
    </row>
    <row r="283">
      <c r="A283" s="14" t="inlineStr">
        <is>
          <t>2026 P01</t>
        </is>
      </c>
      <c r="B283" s="15" t="n">
        <v>1</v>
      </c>
      <c r="C283" s="15" t="n">
        <v>0.7642427590609245</v>
      </c>
      <c r="D283" s="15" t="n">
        <v>0.2357572409390755</v>
      </c>
      <c r="E283" s="14" t="inlineStr">
        <is>
          <t>ИП Щебетовский</t>
        </is>
      </c>
      <c r="F283" s="16" t="n"/>
    </row>
    <row r="284">
      <c r="A284" s="14" t="inlineStr">
        <is>
          <t>2026 P06</t>
        </is>
      </c>
      <c r="B284" s="15" t="n">
        <v>0.9355014289777678</v>
      </c>
      <c r="C284" s="15" t="n">
        <v>0.7641511097583752</v>
      </c>
      <c r="D284" s="15" t="n">
        <v>0.1713503192193926</v>
      </c>
      <c r="E284" s="14" t="inlineStr">
        <is>
          <t>Реми</t>
        </is>
      </c>
      <c r="F284" s="16" t="n"/>
    </row>
    <row r="285">
      <c r="A285" s="14" t="inlineStr">
        <is>
          <t>2026 P06</t>
        </is>
      </c>
      <c r="B285" s="15" t="n">
        <v>0.8161225349590642</v>
      </c>
      <c r="C285" s="15" t="n">
        <v>0.7640917022464497</v>
      </c>
      <c r="D285" s="15" t="n">
        <v>0.05203083271261444</v>
      </c>
      <c r="E285" s="14" t="inlineStr">
        <is>
          <t>Неотрейд ООО</t>
        </is>
      </c>
      <c r="F285" s="16" t="n"/>
    </row>
    <row r="286">
      <c r="A286" s="14" t="inlineStr">
        <is>
          <t>2026 P07</t>
        </is>
      </c>
      <c r="B286" s="15" t="n">
        <v>0.8558124769896577</v>
      </c>
      <c r="C286" s="15" t="n">
        <v>0.762936073496236</v>
      </c>
      <c r="D286" s="15" t="n">
        <v>0.09287640349342163</v>
      </c>
      <c r="E286" s="14" t="inlineStr">
        <is>
          <t>ЗооТерра</t>
        </is>
      </c>
      <c r="F286" s="16" t="n"/>
    </row>
    <row r="287">
      <c r="A287" s="14" t="inlineStr">
        <is>
          <t>2026 P04</t>
        </is>
      </c>
      <c r="B287" s="15" t="n">
        <v>0.9593981017404555</v>
      </c>
      <c r="C287" s="15" t="n">
        <v>0.7629182855719484</v>
      </c>
      <c r="D287" s="15" t="n">
        <v>0.1964798161685071</v>
      </c>
      <c r="E287" s="14" t="inlineStr">
        <is>
          <t>Дикси</t>
        </is>
      </c>
      <c r="F287" s="16" t="n"/>
    </row>
    <row r="288">
      <c r="A288" s="14" t="inlineStr">
        <is>
          <t>2026 P06</t>
        </is>
      </c>
      <c r="B288" s="15" t="n">
        <v>0.930311595844639</v>
      </c>
      <c r="C288" s="15" t="n">
        <v>0.7628794915427876</v>
      </c>
      <c r="D288" s="15" t="n">
        <v>0.1674321043018514</v>
      </c>
      <c r="E288" s="14" t="inlineStr">
        <is>
          <t>Брезгина К.А.</t>
        </is>
      </c>
      <c r="F288" s="16" t="n"/>
    </row>
    <row r="289">
      <c r="A289" s="14" t="inlineStr">
        <is>
          <t>2026 P05</t>
        </is>
      </c>
      <c r="B289" s="15" t="n">
        <v>0.9180788502363093</v>
      </c>
      <c r="C289" s="15" t="n">
        <v>0.7626055355660432</v>
      </c>
      <c r="D289" s="15" t="n">
        <v>0.1554733146702661</v>
      </c>
      <c r="E289" s="14" t="inlineStr">
        <is>
          <t>Лента SM</t>
        </is>
      </c>
      <c r="F289" s="16" t="n"/>
    </row>
    <row r="290">
      <c r="A290" s="14" t="inlineStr">
        <is>
          <t>2026 P06</t>
        </is>
      </c>
      <c r="B290" s="15" t="n">
        <v>0.8322763315878108</v>
      </c>
      <c r="C290" s="15" t="n">
        <v>0.7625562857115649</v>
      </c>
      <c r="D290" s="15" t="n">
        <v>0.06972004587624592</v>
      </c>
      <c r="E290" s="14" t="inlineStr">
        <is>
          <t>Миндаль</t>
        </is>
      </c>
      <c r="F290" s="16" t="n"/>
    </row>
    <row r="291">
      <c r="A291" s="14" t="inlineStr">
        <is>
          <t>2026 P08</t>
        </is>
      </c>
      <c r="B291" s="15" t="n">
        <v>0.9498789772178077</v>
      </c>
      <c r="C291" s="15" t="n">
        <v>0.7625338544111907</v>
      </c>
      <c r="D291" s="15" t="n">
        <v>0.187345122806617</v>
      </c>
      <c r="E291" s="14" t="inlineStr">
        <is>
          <t>Макси</t>
        </is>
      </c>
      <c r="F291" s="16" t="n"/>
    </row>
    <row r="292">
      <c r="A292" s="14" t="inlineStr">
        <is>
          <t>2026 P07</t>
        </is>
      </c>
      <c r="B292" s="15" t="n">
        <v>0.9362878539217238</v>
      </c>
      <c r="C292" s="15" t="n">
        <v>0.7624897492904658</v>
      </c>
      <c r="D292" s="15" t="n">
        <v>0.173798104631258</v>
      </c>
      <c r="E292" s="14" t="inlineStr">
        <is>
          <t>Реми</t>
        </is>
      </c>
      <c r="F292" s="16" t="n"/>
    </row>
    <row r="293">
      <c r="A293" s="14" t="inlineStr">
        <is>
          <t>2026 P04</t>
        </is>
      </c>
      <c r="B293" s="15" t="n">
        <v>0.8927646722225085</v>
      </c>
      <c r="C293" s="15" t="n">
        <v>0.7619548877357735</v>
      </c>
      <c r="D293" s="15" t="n">
        <v>0.1308097844867351</v>
      </c>
      <c r="E293" s="14" t="inlineStr">
        <is>
          <t>Яблоко (Крым)</t>
        </is>
      </c>
      <c r="F293" s="16" t="n"/>
    </row>
    <row r="294">
      <c r="A294" s="14" t="inlineStr">
        <is>
          <t>2026 P06</t>
        </is>
      </c>
      <c r="B294" s="15" t="n">
        <v>0.9430219983486484</v>
      </c>
      <c r="C294" s="15" t="n">
        <v>0.7618262848600087</v>
      </c>
      <c r="D294" s="15" t="n">
        <v>0.1811957134886397</v>
      </c>
      <c r="E294" s="14" t="inlineStr">
        <is>
          <t>SPAR Калининград</t>
        </is>
      </c>
      <c r="F294" s="16" t="n"/>
    </row>
    <row r="295">
      <c r="A295" s="14" t="inlineStr">
        <is>
          <t>2026 P07</t>
        </is>
      </c>
      <c r="B295" s="15" t="n">
        <v>0.7794453359530837</v>
      </c>
      <c r="C295" s="15" t="n">
        <v>0.7617782179249841</v>
      </c>
      <c r="D295" s="15" t="n">
        <v>0.01766711802809962</v>
      </c>
      <c r="E295" s="14" t="inlineStr">
        <is>
          <t>Сима Ленд</t>
        </is>
      </c>
      <c r="F295" s="16" t="n"/>
    </row>
    <row r="296">
      <c r="A296" s="14" t="inlineStr">
        <is>
          <t>2026 P05</t>
        </is>
      </c>
      <c r="B296" s="15" t="n">
        <v>0.8226370739361721</v>
      </c>
      <c r="C296" s="15" t="n">
        <v>0.7616804672636966</v>
      </c>
      <c r="D296" s="15" t="n">
        <v>0.06095660667247549</v>
      </c>
      <c r="E296" s="14" t="inlineStr">
        <is>
          <t>Сима Ленд</t>
        </is>
      </c>
      <c r="F296" s="16" t="n"/>
    </row>
    <row r="297">
      <c r="A297" s="14" t="inlineStr">
        <is>
          <t>2026 P03</t>
        </is>
      </c>
      <c r="B297" s="15" t="n">
        <v>0.8920472761391421</v>
      </c>
      <c r="C297" s="15" t="n">
        <v>0.7616792812065962</v>
      </c>
      <c r="D297" s="15" t="n">
        <v>0.1303679949325459</v>
      </c>
      <c r="E297" s="14" t="inlineStr">
        <is>
          <t>Ассорти</t>
        </is>
      </c>
      <c r="F297" s="16" t="n"/>
    </row>
    <row r="298">
      <c r="A298" s="14" t="inlineStr">
        <is>
          <t>2026 P02</t>
        </is>
      </c>
      <c r="B298" s="15" t="n">
        <v>0.8085483507909097</v>
      </c>
      <c r="C298" s="15" t="n">
        <v>0.7616674792573239</v>
      </c>
      <c r="D298" s="15" t="n">
        <v>0.04688087153358578</v>
      </c>
      <c r="E298" s="14" t="inlineStr">
        <is>
          <t>Вега (Киров)</t>
        </is>
      </c>
      <c r="F298" s="16" t="n"/>
    </row>
    <row r="299">
      <c r="A299" s="14" t="inlineStr">
        <is>
          <t>2026 P06</t>
        </is>
      </c>
      <c r="B299" s="15" t="n">
        <v>0.7779149550811763</v>
      </c>
      <c r="C299" s="15" t="n">
        <v>0.7615999112200821</v>
      </c>
      <c r="D299" s="15" t="n">
        <v>0.01631504386109417</v>
      </c>
      <c r="E299" s="14" t="inlineStr">
        <is>
          <t>ПУД</t>
        </is>
      </c>
      <c r="F299" s="16" t="n"/>
    </row>
    <row r="300">
      <c r="A300" s="14" t="inlineStr">
        <is>
          <t>2026 P03</t>
        </is>
      </c>
      <c r="B300" s="15" t="n">
        <v>0.9135374565930495</v>
      </c>
      <c r="C300" s="15" t="n">
        <v>0.7613871555850071</v>
      </c>
      <c r="D300" s="15" t="n">
        <v>0.1521503010080424</v>
      </c>
      <c r="E300" s="14" t="inlineStr">
        <is>
          <t>АТАК</t>
        </is>
      </c>
      <c r="F300" s="16" t="n"/>
    </row>
    <row r="301">
      <c r="A301" s="14" t="inlineStr">
        <is>
          <t>2026 P06</t>
        </is>
      </c>
      <c r="B301" s="15" t="n">
        <v>0.8488944628131849</v>
      </c>
      <c r="C301" s="15" t="n">
        <v>0.7612721936153788</v>
      </c>
      <c r="D301" s="15" t="n">
        <v>0.08762226919780614</v>
      </c>
      <c r="E301" s="14" t="inlineStr">
        <is>
          <t>ЗооТерра</t>
        </is>
      </c>
      <c r="F301" s="16" t="n"/>
    </row>
    <row r="302">
      <c r="A302" s="14" t="inlineStr">
        <is>
          <t>2026 P07</t>
        </is>
      </c>
      <c r="B302" s="15" t="n">
        <v>0.9468559252265539</v>
      </c>
      <c r="C302" s="15" t="n">
        <v>0.7610559524910001</v>
      </c>
      <c r="D302" s="15" t="n">
        <v>0.1857999727355538</v>
      </c>
      <c r="E302" s="14" t="inlineStr">
        <is>
          <t>SPAR Калининград</t>
        </is>
      </c>
      <c r="F302" s="16" t="n"/>
    </row>
    <row r="303">
      <c r="A303" s="14" t="inlineStr">
        <is>
          <t>2026 P08</t>
        </is>
      </c>
      <c r="B303" s="15" t="n">
        <v>0.888804491299181</v>
      </c>
      <c r="C303" s="15" t="n">
        <v>0.7608077242838073</v>
      </c>
      <c r="D303" s="15" t="n">
        <v>0.1279967670153738</v>
      </c>
      <c r="E303" s="14" t="inlineStr">
        <is>
          <t>Титан</t>
        </is>
      </c>
      <c r="F303" s="16" t="n"/>
    </row>
    <row r="304">
      <c r="A304" s="14" t="inlineStr">
        <is>
          <t>2026 P02</t>
        </is>
      </c>
      <c r="B304" s="15" t="n">
        <v>0.9447583210710093</v>
      </c>
      <c r="C304" s="15" t="n">
        <v>0.7604553018150086</v>
      </c>
      <c r="D304" s="15" t="n">
        <v>0.1843030192560007</v>
      </c>
      <c r="E304" s="14" t="inlineStr">
        <is>
          <t>Магнит МЦ</t>
        </is>
      </c>
      <c r="F304" s="16" t="n"/>
    </row>
    <row r="305">
      <c r="A305" s="14" t="inlineStr">
        <is>
          <t>2026 P04</t>
        </is>
      </c>
      <c r="B305" s="15" t="n">
        <v>0.912188935798002</v>
      </c>
      <c r="C305" s="15" t="n">
        <v>0.7600142979442865</v>
      </c>
      <c r="D305" s="15" t="n">
        <v>0.1521746378537154</v>
      </c>
      <c r="E305" s="14" t="inlineStr">
        <is>
          <t>Реми</t>
        </is>
      </c>
      <c r="F305" s="16" t="n"/>
    </row>
    <row r="306">
      <c r="A306" s="14" t="inlineStr">
        <is>
          <t>2026 P01</t>
        </is>
      </c>
      <c r="B306" s="15" t="n">
        <v>0.9174777941146398</v>
      </c>
      <c r="C306" s="15" t="n">
        <v>0.7597333328069791</v>
      </c>
      <c r="D306" s="15" t="n">
        <v>0.1577444613076607</v>
      </c>
      <c r="E306" s="14" t="inlineStr">
        <is>
          <t>Котопес</t>
        </is>
      </c>
      <c r="F306" s="16" t="n"/>
    </row>
    <row r="307">
      <c r="A307" s="14" t="inlineStr">
        <is>
          <t>2026 P06</t>
        </is>
      </c>
      <c r="B307" s="15" t="n">
        <v>0.8428342272881622</v>
      </c>
      <c r="C307" s="15" t="n">
        <v>0.759564070420791</v>
      </c>
      <c r="D307" s="15" t="n">
        <v>0.08327015686737116</v>
      </c>
      <c r="E307" s="14" t="inlineStr">
        <is>
          <t>Арт-Маркет</t>
        </is>
      </c>
      <c r="F307" s="16" t="n"/>
    </row>
    <row r="308">
      <c r="A308" s="14" t="inlineStr">
        <is>
          <t>2026 P08</t>
        </is>
      </c>
      <c r="B308" s="15" t="n">
        <v>0.8216916256475383</v>
      </c>
      <c r="C308" s="15" t="n">
        <v>0.7592626248695805</v>
      </c>
      <c r="D308" s="15" t="n">
        <v>0.06242900077795777</v>
      </c>
      <c r="E308" s="14" t="inlineStr">
        <is>
          <t>Неотрейд ООО</t>
        </is>
      </c>
      <c r="F308" s="16" t="n"/>
    </row>
    <row r="309">
      <c r="A309" s="14" t="inlineStr">
        <is>
          <t>2026 P06</t>
        </is>
      </c>
      <c r="B309" s="15" t="n">
        <v>0.9326121756241693</v>
      </c>
      <c r="C309" s="15" t="n">
        <v>0.7591711432119188</v>
      </c>
      <c r="D309" s="15" t="n">
        <v>0.1734410324122505</v>
      </c>
      <c r="E309" s="14" t="inlineStr">
        <is>
          <t>Лента SM</t>
        </is>
      </c>
      <c r="F309" s="16" t="n"/>
    </row>
    <row r="310">
      <c r="A310" s="14" t="inlineStr">
        <is>
          <t>2026 P03</t>
        </is>
      </c>
      <c r="B310" s="15" t="n">
        <v>0.963827732363757</v>
      </c>
      <c r="C310" s="15" t="n">
        <v>0.7586309165417785</v>
      </c>
      <c r="D310" s="15" t="n">
        <v>0.2051968158219785</v>
      </c>
      <c r="E310" s="14" t="inlineStr">
        <is>
          <t>Дикси</t>
        </is>
      </c>
      <c r="F310" s="16" t="n"/>
    </row>
    <row r="311">
      <c r="A311" s="14" t="inlineStr">
        <is>
          <t>2026 P08</t>
        </is>
      </c>
      <c r="B311" s="15" t="n">
        <v>0.9590280880591718</v>
      </c>
      <c r="C311" s="15" t="n">
        <v>0.7585498128635354</v>
      </c>
      <c r="D311" s="15" t="n">
        <v>0.2004782751956364</v>
      </c>
      <c r="E311" s="14" t="inlineStr">
        <is>
          <t>Метрополис</t>
        </is>
      </c>
      <c r="F311" s="16" t="n"/>
    </row>
    <row r="312">
      <c r="A312" s="14" t="inlineStr">
        <is>
          <t>2026 P05</t>
        </is>
      </c>
      <c r="B312" s="15" t="n">
        <v>0.9398008446153756</v>
      </c>
      <c r="C312" s="15" t="n">
        <v>0.7579233551582579</v>
      </c>
      <c r="D312" s="15" t="n">
        <v>0.1818774894571177</v>
      </c>
      <c r="E312" s="14" t="inlineStr">
        <is>
          <t>Перекресток</t>
        </is>
      </c>
      <c r="F312" s="16" t="n"/>
    </row>
    <row r="313">
      <c r="A313" s="14" t="inlineStr">
        <is>
          <t>2026 P05</t>
        </is>
      </c>
      <c r="B313" s="15" t="n">
        <v>0.8275648285857501</v>
      </c>
      <c r="C313" s="15" t="n">
        <v>0.7579090895886612</v>
      </c>
      <c r="D313" s="15" t="n">
        <v>0.06965573899708888</v>
      </c>
      <c r="E313" s="14" t="inlineStr">
        <is>
          <t>Арт-Маркет</t>
        </is>
      </c>
      <c r="F313" s="16" t="n"/>
    </row>
    <row r="314">
      <c r="A314" s="14" t="inlineStr">
        <is>
          <t>2026 P05</t>
        </is>
      </c>
      <c r="B314" s="15" t="n">
        <v>0.8335694837827264</v>
      </c>
      <c r="C314" s="15" t="n">
        <v>0.7575664015252415</v>
      </c>
      <c r="D314" s="15" t="n">
        <v>0.07600308225748498</v>
      </c>
      <c r="E314" s="14" t="inlineStr">
        <is>
          <t>Ассорти</t>
        </is>
      </c>
      <c r="F314" s="16" t="n"/>
    </row>
    <row r="315">
      <c r="A315" s="14" t="inlineStr">
        <is>
          <t>2026 P02</t>
        </is>
      </c>
      <c r="B315" s="15" t="n"/>
      <c r="C315" s="15" t="n">
        <v>0.7559600662874492</v>
      </c>
      <c r="D315" s="15" t="n">
        <v>-0.7559600662874492</v>
      </c>
      <c r="E315" s="14" t="inlineStr">
        <is>
          <t>Fix Price</t>
        </is>
      </c>
      <c r="F315" s="16" t="n"/>
    </row>
    <row r="316">
      <c r="A316" s="14" t="inlineStr">
        <is>
          <t>2026 P06</t>
        </is>
      </c>
      <c r="B316" s="15" t="n">
        <v>0.9231076032445076</v>
      </c>
      <c r="C316" s="15" t="n">
        <v>0.7559387594280393</v>
      </c>
      <c r="D316" s="15" t="n">
        <v>0.1671688438164682</v>
      </c>
      <c r="E316" s="14" t="inlineStr">
        <is>
          <t>SPAR Волга</t>
        </is>
      </c>
      <c r="F316" s="16" t="n"/>
    </row>
    <row r="317">
      <c r="A317" s="14" t="inlineStr">
        <is>
          <t>2026 P01</t>
        </is>
      </c>
      <c r="B317" s="15" t="n">
        <v>0.9531624424689259</v>
      </c>
      <c r="C317" s="15" t="n">
        <v>0.7553883307847477</v>
      </c>
      <c r="D317" s="15" t="n">
        <v>0.1977741116841782</v>
      </c>
      <c r="E317" s="14" t="inlineStr">
        <is>
          <t>Пятерочка</t>
        </is>
      </c>
      <c r="F317" s="16" t="n"/>
    </row>
    <row r="318">
      <c r="A318" s="14" t="inlineStr">
        <is>
          <t>2026 P02</t>
        </is>
      </c>
      <c r="B318" s="15" t="n"/>
      <c r="C318" s="15" t="n">
        <v>0.7551705696668675</v>
      </c>
      <c r="D318" s="15" t="n">
        <v>-0.7551705696668675</v>
      </c>
      <c r="E318" s="14" t="inlineStr">
        <is>
          <t>Чижик</t>
        </is>
      </c>
      <c r="F318" s="16" t="n"/>
    </row>
    <row r="319">
      <c r="A319" s="14" t="inlineStr">
        <is>
          <t>2026 P08</t>
        </is>
      </c>
      <c r="B319" s="15" t="n">
        <v>0.8443504488674279</v>
      </c>
      <c r="C319" s="15" t="n">
        <v>0.7544038366977174</v>
      </c>
      <c r="D319" s="15" t="n">
        <v>0.08994661216971056</v>
      </c>
      <c r="E319" s="14" t="inlineStr">
        <is>
          <t>Миндаль</t>
        </is>
      </c>
      <c r="F319" s="16" t="n"/>
    </row>
    <row r="320">
      <c r="A320" s="14" t="inlineStr">
        <is>
          <t>2026 P02</t>
        </is>
      </c>
      <c r="B320" s="15" t="n">
        <v>0.9532789062931623</v>
      </c>
      <c r="C320" s="15" t="n">
        <v>0.754041609988545</v>
      </c>
      <c r="D320" s="15" t="n">
        <v>0.1992372963046173</v>
      </c>
      <c r="E320" s="14" t="inlineStr">
        <is>
          <t>Перекресток</t>
        </is>
      </c>
      <c r="F320" s="16" t="n"/>
    </row>
    <row r="321">
      <c r="A321" s="14" t="inlineStr">
        <is>
          <t>2026 P03</t>
        </is>
      </c>
      <c r="B321" s="15" t="n">
        <v>0.8922451662659392</v>
      </c>
      <c r="C321" s="15" t="n">
        <v>0.7539819334679336</v>
      </c>
      <c r="D321" s="15" t="n">
        <v>0.1382632327980056</v>
      </c>
      <c r="E321" s="14" t="inlineStr">
        <is>
          <t>Яблоко (Крым)</t>
        </is>
      </c>
      <c r="F321" s="16" t="n"/>
    </row>
    <row r="322">
      <c r="A322" s="14" t="inlineStr">
        <is>
          <t>2026 P03</t>
        </is>
      </c>
      <c r="B322" s="15" t="n">
        <v>0.8688365826467965</v>
      </c>
      <c r="C322" s="15" t="n">
        <v>0.7537839089204028</v>
      </c>
      <c r="D322" s="15" t="n">
        <v>0.1150526737263937</v>
      </c>
      <c r="E322" s="14" t="inlineStr">
        <is>
          <t>Быстроном</t>
        </is>
      </c>
      <c r="F322" s="16" t="n"/>
    </row>
    <row r="323">
      <c r="A323" s="14" t="inlineStr">
        <is>
          <t>2026 P08</t>
        </is>
      </c>
      <c r="B323" s="15" t="n">
        <v>0.9560136594571828</v>
      </c>
      <c r="C323" s="15" t="n">
        <v>0.7534900854142621</v>
      </c>
      <c r="D323" s="15" t="n">
        <v>0.2025235740429207</v>
      </c>
      <c r="E323" s="14" t="inlineStr">
        <is>
          <t>Перекресток</t>
        </is>
      </c>
      <c r="F323" s="16" t="n"/>
    </row>
    <row r="324">
      <c r="A324" s="14" t="inlineStr">
        <is>
          <t>2026 P08</t>
        </is>
      </c>
      <c r="B324" s="15" t="n">
        <v>0.9448646074610487</v>
      </c>
      <c r="C324" s="15" t="n">
        <v>0.7530356902875078</v>
      </c>
      <c r="D324" s="15" t="n">
        <v>0.1918289171735409</v>
      </c>
      <c r="E324" s="14" t="inlineStr">
        <is>
          <t>Магнит ММ</t>
        </is>
      </c>
      <c r="F324" s="16" t="n"/>
    </row>
    <row r="325">
      <c r="A325" s="14" t="inlineStr">
        <is>
          <t>2026 P02</t>
        </is>
      </c>
      <c r="B325" s="15" t="n">
        <v>0.94525443218719</v>
      </c>
      <c r="C325" s="15" t="n">
        <v>0.752433399814295</v>
      </c>
      <c r="D325" s="15" t="n">
        <v>0.1928210323728949</v>
      </c>
      <c r="E325" s="14" t="inlineStr">
        <is>
          <t>ООО Формат</t>
        </is>
      </c>
      <c r="F325" s="16" t="n"/>
    </row>
    <row r="326">
      <c r="A326" s="14" t="inlineStr">
        <is>
          <t>2026 P05</t>
        </is>
      </c>
      <c r="B326" s="15" t="n">
        <v>0.9127212310112806</v>
      </c>
      <c r="C326" s="15" t="n">
        <v>0.7520910870801794</v>
      </c>
      <c r="D326" s="15" t="n">
        <v>0.1606301439311012</v>
      </c>
      <c r="E326" s="14" t="inlineStr">
        <is>
          <t>Реми</t>
        </is>
      </c>
      <c r="F326" s="16" t="n"/>
    </row>
    <row r="327">
      <c r="A327" s="14" t="inlineStr">
        <is>
          <t>2026 P04</t>
        </is>
      </c>
      <c r="B327" s="15" t="n">
        <v>0.9412671857878487</v>
      </c>
      <c r="C327" s="15" t="n">
        <v>0.7520103692031637</v>
      </c>
      <c r="D327" s="15" t="n">
        <v>0.1892568165846851</v>
      </c>
      <c r="E327" s="14" t="inlineStr">
        <is>
          <t>Магнит ММ</t>
        </is>
      </c>
      <c r="F327" s="16" t="n"/>
    </row>
    <row r="328">
      <c r="A328" s="14" t="inlineStr">
        <is>
          <t>2026 P02</t>
        </is>
      </c>
      <c r="B328" s="15" t="n">
        <v>0.9208870248368705</v>
      </c>
      <c r="C328" s="15" t="n">
        <v>0.7511792816966534</v>
      </c>
      <c r="D328" s="15" t="n">
        <v>0.1697077431402171</v>
      </c>
      <c r="E328" s="14" t="inlineStr">
        <is>
          <t>Магнит ГМ</t>
        </is>
      </c>
      <c r="F328" s="16" t="n"/>
    </row>
    <row r="329">
      <c r="A329" s="14" t="inlineStr">
        <is>
          <t>2026 P04</t>
        </is>
      </c>
      <c r="B329" s="15" t="n">
        <v>0.8300188380846343</v>
      </c>
      <c r="C329" s="15" t="n">
        <v>0.751169480270991</v>
      </c>
      <c r="D329" s="15" t="n">
        <v>0.07884935781364333</v>
      </c>
      <c r="E329" s="14" t="inlineStr">
        <is>
          <t>Байрам</t>
        </is>
      </c>
      <c r="F329" s="16" t="n"/>
    </row>
    <row r="330">
      <c r="A330" s="14" t="inlineStr">
        <is>
          <t>2026 P04</t>
        </is>
      </c>
      <c r="B330" s="15" t="n">
        <v>0.8650644793860298</v>
      </c>
      <c r="C330" s="15" t="n">
        <v>0.7502096464329885</v>
      </c>
      <c r="D330" s="15" t="n">
        <v>0.1148548329530413</v>
      </c>
      <c r="E330" s="14" t="inlineStr">
        <is>
          <t>Брезгина К.А.</t>
        </is>
      </c>
      <c r="F330" s="16" t="n"/>
    </row>
    <row r="331">
      <c r="A331" s="14" t="inlineStr">
        <is>
          <t>2026 P03</t>
        </is>
      </c>
      <c r="B331" s="15" t="n">
        <v>0.9279331687060163</v>
      </c>
      <c r="C331" s="15" t="n">
        <v>0.7494651056410365</v>
      </c>
      <c r="D331" s="15" t="n">
        <v>0.1784680630649798</v>
      </c>
      <c r="E331" s="14" t="inlineStr">
        <is>
          <t>Метрополис</t>
        </is>
      </c>
      <c r="F331" s="16" t="n"/>
    </row>
    <row r="332">
      <c r="A332" s="14" t="inlineStr">
        <is>
          <t>2026 P05</t>
        </is>
      </c>
      <c r="B332" s="15" t="n">
        <v>0.8301298541421006</v>
      </c>
      <c r="C332" s="15" t="n">
        <v>0.7492794887226524</v>
      </c>
      <c r="D332" s="15" t="n">
        <v>0.08085036541944823</v>
      </c>
      <c r="E332" s="14" t="inlineStr">
        <is>
          <t>Магнолия</t>
        </is>
      </c>
      <c r="F332" s="16" t="n"/>
    </row>
    <row r="333">
      <c r="A333" s="14" t="inlineStr">
        <is>
          <t>2026 P02</t>
        </is>
      </c>
      <c r="B333" s="15" t="n">
        <v>0.9132251895958535</v>
      </c>
      <c r="C333" s="15" t="n">
        <v>0.7489378515121827</v>
      </c>
      <c r="D333" s="15" t="n">
        <v>0.1642873380836708</v>
      </c>
      <c r="E333" s="14" t="inlineStr">
        <is>
          <t>Командор</t>
        </is>
      </c>
      <c r="F333" s="16" t="n"/>
    </row>
    <row r="334">
      <c r="A334" s="14" t="inlineStr">
        <is>
          <t>2026 P01</t>
        </is>
      </c>
      <c r="B334" s="15" t="n"/>
      <c r="C334" s="15" t="n">
        <v>0.7487794736552538</v>
      </c>
      <c r="D334" s="15" t="n">
        <v>-0.7487794736552538</v>
      </c>
      <c r="E334" s="14" t="inlineStr">
        <is>
          <t>Чижик</t>
        </is>
      </c>
      <c r="F334" s="16" t="n"/>
    </row>
    <row r="335">
      <c r="A335" s="14" t="inlineStr">
        <is>
          <t>2026 P05</t>
        </is>
      </c>
      <c r="B335" s="15" t="n">
        <v>0.9323799024872234</v>
      </c>
      <c r="C335" s="15" t="n">
        <v>0.7478752733343488</v>
      </c>
      <c r="D335" s="15" t="n">
        <v>0.1845046291528746</v>
      </c>
      <c r="E335" s="14" t="inlineStr">
        <is>
          <t>Магнит ММ</t>
        </is>
      </c>
      <c r="F335" s="16" t="n"/>
    </row>
    <row r="336">
      <c r="A336" s="14" t="inlineStr">
        <is>
          <t>2026 P08</t>
        </is>
      </c>
      <c r="B336" s="15" t="n">
        <v>0.9476303136145157</v>
      </c>
      <c r="C336" s="15" t="n">
        <v>0.7476966606552951</v>
      </c>
      <c r="D336" s="15" t="n">
        <v>0.1999336529592206</v>
      </c>
      <c r="E336" s="14" t="inlineStr">
        <is>
          <t>Монетка Урал</t>
        </is>
      </c>
      <c r="F336" s="16" t="n"/>
    </row>
    <row r="337">
      <c r="A337" s="14" t="inlineStr">
        <is>
          <t>2026 P08</t>
        </is>
      </c>
      <c r="B337" s="15" t="n">
        <v>0.9138676739357268</v>
      </c>
      <c r="C337" s="15" t="n">
        <v>0.7472063126136556</v>
      </c>
      <c r="D337" s="15" t="n">
        <v>0.1666613613220712</v>
      </c>
      <c r="E337" s="14" t="inlineStr">
        <is>
          <t>Лента SM</t>
        </is>
      </c>
      <c r="F337" s="16" t="n"/>
    </row>
    <row r="338">
      <c r="A338" s="14" t="inlineStr">
        <is>
          <t>2026 P08</t>
        </is>
      </c>
      <c r="B338" s="15" t="n">
        <v>0.8477635200292883</v>
      </c>
      <c r="C338" s="15" t="n">
        <v>0.7465694982526614</v>
      </c>
      <c r="D338" s="15" t="n">
        <v>0.101194021776627</v>
      </c>
      <c r="E338" s="14" t="inlineStr">
        <is>
          <t>Магнолия</t>
        </is>
      </c>
      <c r="F338" s="16" t="n"/>
    </row>
    <row r="339">
      <c r="A339" s="14" t="inlineStr">
        <is>
          <t>2026 P02</t>
        </is>
      </c>
      <c r="B339" s="15" t="n">
        <v>0.9244940440268108</v>
      </c>
      <c r="C339" s="15" t="n">
        <v>0.7464678744815723</v>
      </c>
      <c r="D339" s="15" t="n">
        <v>0.1780261695452385</v>
      </c>
      <c r="E339" s="14" t="inlineStr">
        <is>
          <t>Метрополис</t>
        </is>
      </c>
      <c r="F339" s="16" t="n"/>
    </row>
    <row r="340">
      <c r="A340" s="14" t="inlineStr">
        <is>
          <t>2026 P04</t>
        </is>
      </c>
      <c r="B340" s="15" t="n">
        <v>0.9195912769464918</v>
      </c>
      <c r="C340" s="15" t="n">
        <v>0.7454637839431814</v>
      </c>
      <c r="D340" s="15" t="n">
        <v>0.1741274930033104</v>
      </c>
      <c r="E340" s="14" t="inlineStr">
        <is>
          <t>ЭКОНОМИЯ</t>
        </is>
      </c>
      <c r="F340" s="16" t="n"/>
    </row>
    <row r="341">
      <c r="A341" s="14" t="inlineStr">
        <is>
          <t>2026 P07</t>
        </is>
      </c>
      <c r="B341" s="15" t="n">
        <v>0.9401102739632634</v>
      </c>
      <c r="C341" s="15" t="n">
        <v>0.7449567298076608</v>
      </c>
      <c r="D341" s="15" t="n">
        <v>0.1951535441556026</v>
      </c>
      <c r="E341" s="14" t="inlineStr">
        <is>
          <t>Магнит ММ</t>
        </is>
      </c>
      <c r="F341" s="16" t="n"/>
    </row>
    <row r="342">
      <c r="A342" s="14" t="inlineStr">
        <is>
          <t>2026 P01</t>
        </is>
      </c>
      <c r="B342" s="15" t="n">
        <v>0.8152097036638123</v>
      </c>
      <c r="C342" s="15" t="n">
        <v>0.744138033027119</v>
      </c>
      <c r="D342" s="15" t="n">
        <v>0.07107167063669328</v>
      </c>
      <c r="E342" s="14" t="inlineStr">
        <is>
          <t>Магнит Косметик</t>
        </is>
      </c>
      <c r="F342" s="16" t="n"/>
    </row>
    <row r="343">
      <c r="A343" s="14" t="inlineStr">
        <is>
          <t>2026 P08</t>
        </is>
      </c>
      <c r="B343" s="15" t="n">
        <v>0.826909754592566</v>
      </c>
      <c r="C343" s="15" t="n">
        <v>0.7437755026284661</v>
      </c>
      <c r="D343" s="15" t="n">
        <v>0.08313425196409985</v>
      </c>
      <c r="E343" s="14" t="inlineStr">
        <is>
          <t>ЗооТерра</t>
        </is>
      </c>
      <c r="F343" s="16" t="n"/>
    </row>
    <row r="344">
      <c r="A344" s="14" t="inlineStr">
        <is>
          <t>2026 P05</t>
        </is>
      </c>
      <c r="B344" s="15" t="n">
        <v>0.9047712793813881</v>
      </c>
      <c r="C344" s="15" t="n">
        <v>0.7437212980744697</v>
      </c>
      <c r="D344" s="15" t="n">
        <v>0.1610499813069184</v>
      </c>
      <c r="E344" s="14" t="inlineStr">
        <is>
          <t>Брезгина К.А.</t>
        </is>
      </c>
      <c r="F344" s="16" t="n"/>
    </row>
    <row r="345">
      <c r="A345" s="14" t="inlineStr">
        <is>
          <t>2026 P03</t>
        </is>
      </c>
      <c r="B345" s="15" t="n">
        <v>0.8849848614495743</v>
      </c>
      <c r="C345" s="15" t="n">
        <v>0.7430325890376568</v>
      </c>
      <c r="D345" s="15" t="n">
        <v>0.1419522724119175</v>
      </c>
      <c r="E345" s="14" t="inlineStr">
        <is>
          <t>SPAR Волга</t>
        </is>
      </c>
      <c r="F345" s="16" t="n"/>
    </row>
    <row r="346">
      <c r="A346" s="14" t="inlineStr">
        <is>
          <t>2026 P07</t>
        </is>
      </c>
      <c r="B346" s="15" t="n">
        <v>0.8573267403056283</v>
      </c>
      <c r="C346" s="15" t="n">
        <v>0.7427411521820482</v>
      </c>
      <c r="D346" s="15" t="n">
        <v>0.1145855881235801</v>
      </c>
      <c r="E346" s="14" t="inlineStr">
        <is>
          <t>Магнолия</t>
        </is>
      </c>
      <c r="F346" s="16" t="n"/>
    </row>
    <row r="347">
      <c r="A347" s="14" t="inlineStr">
        <is>
          <t>2026 P06</t>
        </is>
      </c>
      <c r="B347" s="15" t="n">
        <v>0.806801729898681</v>
      </c>
      <c r="C347" s="15" t="n">
        <v>0.7426110950292593</v>
      </c>
      <c r="D347" s="15" t="n">
        <v>0.06419063486942178</v>
      </c>
      <c r="E347" s="14" t="inlineStr">
        <is>
          <t>Кот и Пес</t>
        </is>
      </c>
      <c r="F347" s="16" t="n"/>
    </row>
    <row r="348">
      <c r="A348" s="14" t="inlineStr">
        <is>
          <t>2026 P04</t>
        </is>
      </c>
      <c r="B348" s="15" t="n">
        <v>0.7783409365888093</v>
      </c>
      <c r="C348" s="15" t="n">
        <v>0.741391757786548</v>
      </c>
      <c r="D348" s="15" t="n">
        <v>0.03694917880226134</v>
      </c>
      <c r="E348" s="14" t="inlineStr">
        <is>
          <t>Неотрейд ООО</t>
        </is>
      </c>
      <c r="F348" s="16" t="n"/>
    </row>
    <row r="349">
      <c r="A349" s="14" t="inlineStr">
        <is>
          <t>2026 P06</t>
        </is>
      </c>
      <c r="B349" s="15" t="n">
        <v>0.8596606136953353</v>
      </c>
      <c r="C349" s="15" t="n">
        <v>0.7408354913348315</v>
      </c>
      <c r="D349" s="15" t="n">
        <v>0.1188251223605038</v>
      </c>
      <c r="E349" s="14" t="inlineStr">
        <is>
          <t>Магнолия</t>
        </is>
      </c>
      <c r="F349" s="16" t="n"/>
    </row>
    <row r="350">
      <c r="A350" s="14" t="inlineStr">
        <is>
          <t>2026 P05</t>
        </is>
      </c>
      <c r="B350" s="15" t="n">
        <v>0.8972668867018336</v>
      </c>
      <c r="C350" s="15" t="n">
        <v>0.7400776271796405</v>
      </c>
      <c r="D350" s="15" t="n">
        <v>0.1571892595221931</v>
      </c>
      <c r="E350" s="14" t="inlineStr">
        <is>
          <t>SPAR Волга</t>
        </is>
      </c>
      <c r="F350" s="16" t="n"/>
    </row>
    <row r="351">
      <c r="A351" s="14" t="inlineStr">
        <is>
          <t>2026 P01</t>
        </is>
      </c>
      <c r="B351" s="15" t="n">
        <v>0.7628587420710425</v>
      </c>
      <c r="C351" s="15" t="n">
        <v>0.7400568339314046</v>
      </c>
      <c r="D351" s="15" t="n">
        <v>0.02280190813963789</v>
      </c>
      <c r="E351" s="14" t="inlineStr">
        <is>
          <t>Глобус Киров</t>
        </is>
      </c>
      <c r="F351" s="16" t="n"/>
    </row>
    <row r="352">
      <c r="A352" s="14" t="inlineStr">
        <is>
          <t>2026 P01</t>
        </is>
      </c>
      <c r="B352" s="15" t="n">
        <v>0.8708966280678786</v>
      </c>
      <c r="C352" s="15" t="n">
        <v>0.7400210128132089</v>
      </c>
      <c r="D352" s="15" t="n">
        <v>0.1308756152546697</v>
      </c>
      <c r="E352" s="14" t="inlineStr">
        <is>
          <t>Белый Кролик</t>
        </is>
      </c>
      <c r="F352" s="16" t="n"/>
    </row>
    <row r="353">
      <c r="A353" s="14" t="inlineStr">
        <is>
          <t>2026 P07</t>
        </is>
      </c>
      <c r="B353" s="15" t="n">
        <v>0.8754139297962154</v>
      </c>
      <c r="C353" s="15" t="n">
        <v>0.7396814274034509</v>
      </c>
      <c r="D353" s="15" t="n">
        <v>0.1357325023927645</v>
      </c>
      <c r="E353" s="14" t="inlineStr">
        <is>
          <t>Титан</t>
        </is>
      </c>
      <c r="F353" s="16" t="n"/>
    </row>
    <row r="354">
      <c r="A354" s="14" t="inlineStr">
        <is>
          <t>2026 P07</t>
        </is>
      </c>
      <c r="B354" s="15" t="n">
        <v>0.9449389827836754</v>
      </c>
      <c r="C354" s="15" t="n">
        <v>0.7393122620589786</v>
      </c>
      <c r="D354" s="15" t="n">
        <v>0.2056267207246968</v>
      </c>
      <c r="E354" s="14" t="inlineStr">
        <is>
          <t>Монетка Урал</t>
        </is>
      </c>
      <c r="F354" s="16" t="n"/>
    </row>
    <row r="355">
      <c r="A355" s="14" t="inlineStr">
        <is>
          <t>2026 P04</t>
        </is>
      </c>
      <c r="B355" s="15" t="n">
        <v>0.9423501423474602</v>
      </c>
      <c r="C355" s="15" t="n">
        <v>0.7386204864876144</v>
      </c>
      <c r="D355" s="15" t="n">
        <v>0.2037296558598458</v>
      </c>
      <c r="E355" s="14" t="inlineStr">
        <is>
          <t>Верный</t>
        </is>
      </c>
      <c r="F355" s="16" t="n"/>
    </row>
    <row r="356">
      <c r="A356" s="14" t="inlineStr">
        <is>
          <t>2026 P02</t>
        </is>
      </c>
      <c r="B356" s="15" t="n">
        <v>0.9120857078196674</v>
      </c>
      <c r="C356" s="15" t="n">
        <v>0.73851387569441</v>
      </c>
      <c r="D356" s="15" t="n">
        <v>0.1735718321252574</v>
      </c>
      <c r="E356" s="14" t="inlineStr">
        <is>
          <t>Экономыч</t>
        </is>
      </c>
      <c r="F356" s="16" t="n"/>
    </row>
    <row r="357">
      <c r="A357" s="14" t="inlineStr">
        <is>
          <t>2026 P03</t>
        </is>
      </c>
      <c r="B357" s="15" t="n">
        <v>0.9614482551906359</v>
      </c>
      <c r="C357" s="15" t="n">
        <v>0.7382863930675964</v>
      </c>
      <c r="D357" s="15" t="n">
        <v>0.2231618621230396</v>
      </c>
      <c r="E357" s="14" t="inlineStr">
        <is>
          <t>Макси</t>
        </is>
      </c>
      <c r="F357" s="16" t="n"/>
    </row>
    <row r="358">
      <c r="A358" s="14" t="inlineStr">
        <is>
          <t>2026 P06</t>
        </is>
      </c>
      <c r="B358" s="15" t="n">
        <v>0.950405639234337</v>
      </c>
      <c r="C358" s="15" t="n">
        <v>0.7382669190739215</v>
      </c>
      <c r="D358" s="15" t="n">
        <v>0.2121387201604155</v>
      </c>
      <c r="E358" s="14" t="inlineStr">
        <is>
          <t>Перекресток</t>
        </is>
      </c>
      <c r="F358" s="16" t="n"/>
    </row>
    <row r="359">
      <c r="A359" s="14" t="inlineStr">
        <is>
          <t>2026 P07</t>
        </is>
      </c>
      <c r="B359" s="15" t="n">
        <v>0.9480298709441689</v>
      </c>
      <c r="C359" s="15" t="n">
        <v>0.7380553812635287</v>
      </c>
      <c r="D359" s="15" t="n">
        <v>0.2099744896806403</v>
      </c>
      <c r="E359" s="14" t="inlineStr">
        <is>
          <t>Перекресток</t>
        </is>
      </c>
      <c r="F359" s="16" t="n"/>
    </row>
    <row r="360">
      <c r="A360" s="14" t="inlineStr">
        <is>
          <t>2026 P01</t>
        </is>
      </c>
      <c r="B360" s="15" t="n">
        <v>0.9747702675870803</v>
      </c>
      <c r="C360" s="15" t="n">
        <v>0.7379892275968265</v>
      </c>
      <c r="D360" s="15" t="n">
        <v>0.2367810399902538</v>
      </c>
      <c r="E360" s="14" t="inlineStr">
        <is>
          <t>Нем</t>
        </is>
      </c>
      <c r="F360" s="16" t="n"/>
    </row>
    <row r="361">
      <c r="A361" s="14" t="inlineStr">
        <is>
          <t>2026 P03</t>
        </is>
      </c>
      <c r="B361" s="15" t="n"/>
      <c r="C361" s="15" t="n">
        <v>0.7379747834451941</v>
      </c>
      <c r="D361" s="15" t="n">
        <v>-0.7379747834451941</v>
      </c>
      <c r="E361" s="14" t="inlineStr">
        <is>
          <t>Fix Price</t>
        </is>
      </c>
      <c r="F361" s="16" t="n"/>
    </row>
    <row r="362">
      <c r="A362" s="14" t="inlineStr">
        <is>
          <t>2026 P02</t>
        </is>
      </c>
      <c r="B362" s="15" t="n">
        <v>0.8084268038357022</v>
      </c>
      <c r="C362" s="15" t="n">
        <v>0.7379115470393711</v>
      </c>
      <c r="D362" s="15" t="n">
        <v>0.07051525679633108</v>
      </c>
      <c r="E362" s="14" t="inlineStr">
        <is>
          <t>Магнолия</t>
        </is>
      </c>
      <c r="F362" s="16" t="n"/>
    </row>
    <row r="363">
      <c r="A363" s="14" t="inlineStr">
        <is>
          <t>2026 P02</t>
        </is>
      </c>
      <c r="B363" s="15" t="n">
        <v>0.8625288456366974</v>
      </c>
      <c r="C363" s="15" t="n">
        <v>0.7377497401437729</v>
      </c>
      <c r="D363" s="15" t="n">
        <v>0.1247791054929245</v>
      </c>
      <c r="E363" s="14" t="inlineStr">
        <is>
          <t>Белый Кролик</t>
        </is>
      </c>
      <c r="F363" s="16" t="n"/>
    </row>
    <row r="364">
      <c r="A364" s="14" t="inlineStr">
        <is>
          <t>2026 P07</t>
        </is>
      </c>
      <c r="B364" s="15" t="n">
        <v>0.9134910254868363</v>
      </c>
      <c r="C364" s="15" t="n">
        <v>0.7377386391899818</v>
      </c>
      <c r="D364" s="15" t="n">
        <v>0.1757523862968544</v>
      </c>
      <c r="E364" s="14" t="inlineStr">
        <is>
          <t>Лента SM</t>
        </is>
      </c>
      <c r="F364" s="16" t="n"/>
    </row>
    <row r="365">
      <c r="A365" s="14" t="inlineStr">
        <is>
          <t>2026 P02</t>
        </is>
      </c>
      <c r="B365" s="15" t="n">
        <v>0.8698455228021766</v>
      </c>
      <c r="C365" s="15" t="n">
        <v>0.7375943968183647</v>
      </c>
      <c r="D365" s="15" t="n">
        <v>0.1322511259838119</v>
      </c>
      <c r="E365" s="14" t="inlineStr">
        <is>
          <t>Титан</t>
        </is>
      </c>
      <c r="F365" s="16" t="n"/>
    </row>
    <row r="366">
      <c r="A366" s="14" t="inlineStr">
        <is>
          <t>2026 P04</t>
        </is>
      </c>
      <c r="B366" s="15" t="n">
        <v>0.8725588950021478</v>
      </c>
      <c r="C366" s="15" t="n">
        <v>0.7369970361513629</v>
      </c>
      <c r="D366" s="15" t="n">
        <v>0.1355618588507849</v>
      </c>
      <c r="E366" s="14" t="inlineStr">
        <is>
          <t>Магазинчик-Крым</t>
        </is>
      </c>
      <c r="F366" s="16" t="n"/>
    </row>
    <row r="367">
      <c r="A367" s="14" t="inlineStr">
        <is>
          <t>2026 P03</t>
        </is>
      </c>
      <c r="B367" s="15" t="n">
        <v>0.9271495799841371</v>
      </c>
      <c r="C367" s="15" t="n">
        <v>0.7362643249417559</v>
      </c>
      <c r="D367" s="15" t="n">
        <v>0.1908852550423812</v>
      </c>
      <c r="E367" s="14" t="inlineStr">
        <is>
          <t>ЭКОНОМИЯ</t>
        </is>
      </c>
      <c r="F367" s="16" t="n"/>
    </row>
    <row r="368">
      <c r="A368" s="14" t="inlineStr">
        <is>
          <t>2026 P08</t>
        </is>
      </c>
      <c r="B368" s="15" t="n">
        <v>0.9300849619033779</v>
      </c>
      <c r="C368" s="15" t="n">
        <v>0.7361621175374274</v>
      </c>
      <c r="D368" s="15" t="n">
        <v>0.1939228443659504</v>
      </c>
      <c r="E368" s="14" t="inlineStr">
        <is>
          <t>Брезгина К.А.</t>
        </is>
      </c>
      <c r="F368" s="16" t="n"/>
    </row>
    <row r="369">
      <c r="A369" s="14" t="inlineStr">
        <is>
          <t>2026 P06</t>
        </is>
      </c>
      <c r="B369" s="15" t="n">
        <v>0.9355948791431816</v>
      </c>
      <c r="C369" s="15" t="n">
        <v>0.7355314105662296</v>
      </c>
      <c r="D369" s="15" t="n">
        <v>0.200063468576952</v>
      </c>
      <c r="E369" s="14" t="inlineStr">
        <is>
          <t>Магнит ММ</t>
        </is>
      </c>
      <c r="F369" s="16" t="n"/>
    </row>
    <row r="370">
      <c r="A370" s="14" t="inlineStr">
        <is>
          <t>2026 P07</t>
        </is>
      </c>
      <c r="B370" s="15" t="n">
        <v>0.91216821021927</v>
      </c>
      <c r="C370" s="15" t="n">
        <v>0.7355065598965085</v>
      </c>
      <c r="D370" s="15" t="n">
        <v>0.1766616503227615</v>
      </c>
      <c r="E370" s="14" t="inlineStr">
        <is>
          <t>ЭКОНОМИЯ</t>
        </is>
      </c>
      <c r="F370" s="16" t="n"/>
    </row>
    <row r="371">
      <c r="A371" s="14" t="inlineStr">
        <is>
          <t>2026 P08</t>
        </is>
      </c>
      <c r="B371" s="15" t="n">
        <v>0.9123625890394582</v>
      </c>
      <c r="C371" s="15" t="n">
        <v>0.7352465424177576</v>
      </c>
      <c r="D371" s="15" t="n">
        <v>0.1771160466217007</v>
      </c>
      <c r="E371" s="14" t="inlineStr">
        <is>
          <t>ЭКОНОМИЯ</t>
        </is>
      </c>
      <c r="F371" s="16" t="n"/>
    </row>
    <row r="372">
      <c r="A372" s="14" t="inlineStr">
        <is>
          <t>2026 P04</t>
        </is>
      </c>
      <c r="B372" s="15" t="n"/>
      <c r="C372" s="15" t="n">
        <v>0.7351235466882081</v>
      </c>
      <c r="D372" s="15" t="n">
        <v>-0.7351235466882081</v>
      </c>
      <c r="E372" s="14" t="inlineStr">
        <is>
          <t>Fix Price</t>
        </is>
      </c>
      <c r="F372" s="16" t="n"/>
    </row>
    <row r="373">
      <c r="A373" s="14" t="inlineStr">
        <is>
          <t>2026 P05</t>
        </is>
      </c>
      <c r="B373" s="15" t="n">
        <v>0.9081020089009162</v>
      </c>
      <c r="C373" s="15" t="n">
        <v>0.7337113616043547</v>
      </c>
      <c r="D373" s="15" t="n">
        <v>0.1743906472965615</v>
      </c>
      <c r="E373" s="14" t="inlineStr">
        <is>
          <t>ЭКОНОМИЯ</t>
        </is>
      </c>
      <c r="F373" s="16" t="n"/>
    </row>
    <row r="374">
      <c r="A374" s="14" t="inlineStr">
        <is>
          <t>2026 P03</t>
        </is>
      </c>
      <c r="B374" s="15" t="n">
        <v>0.8386702474713111</v>
      </c>
      <c r="C374" s="15" t="n">
        <v>0.7336813565069968</v>
      </c>
      <c r="D374" s="15" t="n">
        <v>0.1049888909643143</v>
      </c>
      <c r="E374" s="14" t="inlineStr">
        <is>
          <t>Европа</t>
        </is>
      </c>
      <c r="F374" s="16" t="n"/>
    </row>
    <row r="375">
      <c r="A375" s="14" t="inlineStr">
        <is>
          <t>2026 P08</t>
        </is>
      </c>
      <c r="B375" s="15" t="n">
        <v>0.904812187213538</v>
      </c>
      <c r="C375" s="15" t="n">
        <v>0.7326129867684321</v>
      </c>
      <c r="D375" s="15" t="n">
        <v>0.1721992004451058</v>
      </c>
      <c r="E375" s="14" t="inlineStr">
        <is>
          <t>Мария-Ра</t>
        </is>
      </c>
      <c r="F375" s="16" t="n"/>
    </row>
    <row r="376">
      <c r="A376" s="14" t="inlineStr">
        <is>
          <t>2026 P06</t>
        </is>
      </c>
      <c r="B376" s="15" t="n">
        <v>0.935163451855325</v>
      </c>
      <c r="C376" s="15" t="n">
        <v>0.7315239439683127</v>
      </c>
      <c r="D376" s="15" t="n">
        <v>0.2036395078870123</v>
      </c>
      <c r="E376" s="14" t="inlineStr">
        <is>
          <t>ЭКОНОМИЯ</t>
        </is>
      </c>
      <c r="F376" s="16" t="n"/>
    </row>
    <row r="377">
      <c r="A377" s="14" t="inlineStr">
        <is>
          <t>2026 P04</t>
        </is>
      </c>
      <c r="B377" s="15" t="n">
        <v>0.893474686898467</v>
      </c>
      <c r="C377" s="15" t="n">
        <v>0.7311666247559349</v>
      </c>
      <c r="D377" s="15" t="n">
        <v>0.1623080621425321</v>
      </c>
      <c r="E377" s="14" t="inlineStr">
        <is>
          <t>SPAR Волга</t>
        </is>
      </c>
      <c r="F377" s="16" t="n"/>
    </row>
    <row r="378">
      <c r="A378" s="14" t="inlineStr">
        <is>
          <t>2026 P02</t>
        </is>
      </c>
      <c r="B378" s="15" t="n">
        <v>0.8318448450747178</v>
      </c>
      <c r="C378" s="15" t="n">
        <v>0.7300249581069194</v>
      </c>
      <c r="D378" s="15" t="n">
        <v>0.1018198869677984</v>
      </c>
      <c r="E378" s="14" t="inlineStr">
        <is>
          <t>Брезгина К.А.</t>
        </is>
      </c>
      <c r="F378" s="16" t="n"/>
    </row>
    <row r="379">
      <c r="A379" s="14" t="inlineStr">
        <is>
          <t>2026 P04</t>
        </is>
      </c>
      <c r="B379" s="15" t="n">
        <v>0.8395040845355938</v>
      </c>
      <c r="C379" s="15" t="n">
        <v>0.729532655815945</v>
      </c>
      <c r="D379" s="15" t="n">
        <v>0.1099714287196488</v>
      </c>
      <c r="E379" s="14" t="inlineStr">
        <is>
          <t>Европа</t>
        </is>
      </c>
      <c r="F379" s="16" t="n"/>
    </row>
    <row r="380">
      <c r="A380" s="14" t="inlineStr">
        <is>
          <t>2026 P03</t>
        </is>
      </c>
      <c r="B380" s="15" t="n">
        <v>0.9020608802926472</v>
      </c>
      <c r="C380" s="15" t="n">
        <v>0.7295190372935391</v>
      </c>
      <c r="D380" s="15" t="n">
        <v>0.1725418429991081</v>
      </c>
      <c r="E380" s="14" t="inlineStr">
        <is>
          <t>Лента SM</t>
        </is>
      </c>
      <c r="F380" s="16" t="n"/>
    </row>
    <row r="381">
      <c r="A381" s="14" t="inlineStr">
        <is>
          <t>2026 P05</t>
        </is>
      </c>
      <c r="B381" s="15" t="n"/>
      <c r="C381" s="15" t="n">
        <v>0.7294581585448665</v>
      </c>
      <c r="D381" s="15" t="n">
        <v>-0.7294581585448665</v>
      </c>
      <c r="E381" s="14" t="inlineStr">
        <is>
          <t>Магнит МВ</t>
        </is>
      </c>
      <c r="F381" s="16" t="n"/>
    </row>
    <row r="382">
      <c r="A382" s="14" t="inlineStr">
        <is>
          <t>2026 P03</t>
        </is>
      </c>
      <c r="B382" s="15" t="n">
        <v>0.9303177315220713</v>
      </c>
      <c r="C382" s="15" t="n">
        <v>0.7286259119410836</v>
      </c>
      <c r="D382" s="15" t="n">
        <v>0.2016918195809877</v>
      </c>
      <c r="E382" s="14" t="inlineStr">
        <is>
          <t>Магнит ММ</t>
        </is>
      </c>
      <c r="F382" s="16" t="n"/>
    </row>
    <row r="383">
      <c r="A383" s="14" t="inlineStr">
        <is>
          <t>2026 P03</t>
        </is>
      </c>
      <c r="B383" s="15" t="n">
        <v>0.9309050191782636</v>
      </c>
      <c r="C383" s="15" t="n">
        <v>0.727878580586019</v>
      </c>
      <c r="D383" s="15" t="n">
        <v>0.2030264385922447</v>
      </c>
      <c r="E383" s="14" t="inlineStr">
        <is>
          <t>Верный</t>
        </is>
      </c>
      <c r="F383" s="16" t="n"/>
    </row>
    <row r="384">
      <c r="A384" s="14" t="inlineStr">
        <is>
          <t>2026 P03</t>
        </is>
      </c>
      <c r="B384" s="15" t="n">
        <v>0.8796451745066138</v>
      </c>
      <c r="C384" s="15" t="n">
        <v>0.7269784286776463</v>
      </c>
      <c r="D384" s="15" t="n">
        <v>0.1526667458289676</v>
      </c>
      <c r="E384" s="14" t="inlineStr">
        <is>
          <t>Лотос</t>
        </is>
      </c>
      <c r="F384" s="16" t="n"/>
    </row>
    <row r="385">
      <c r="A385" s="14" t="inlineStr">
        <is>
          <t>2026 P03</t>
        </is>
      </c>
      <c r="B385" s="15" t="n">
        <v>0.8939008204905873</v>
      </c>
      <c r="C385" s="15" t="n">
        <v>0.7268735157121476</v>
      </c>
      <c r="D385" s="15" t="n">
        <v>0.1670273047784396</v>
      </c>
      <c r="E385" s="14" t="inlineStr">
        <is>
          <t>Реми</t>
        </is>
      </c>
      <c r="F385" s="16" t="n"/>
    </row>
    <row r="386">
      <c r="A386" s="14" t="inlineStr">
        <is>
          <t>2026 P04</t>
        </is>
      </c>
      <c r="B386" s="15" t="n">
        <v>0.8291865758738283</v>
      </c>
      <c r="C386" s="15" t="n">
        <v>0.7268366825218019</v>
      </c>
      <c r="D386" s="15" t="n">
        <v>0.1023498933520264</v>
      </c>
      <c r="E386" s="14" t="inlineStr">
        <is>
          <t>Магнолия</t>
        </is>
      </c>
      <c r="F386" s="16" t="n"/>
    </row>
    <row r="387">
      <c r="A387" s="14" t="inlineStr">
        <is>
          <t>2026 P05</t>
        </is>
      </c>
      <c r="B387" s="15" t="n">
        <v>0.9307203335448585</v>
      </c>
      <c r="C387" s="15" t="n">
        <v>0.7260333431373767</v>
      </c>
      <c r="D387" s="15" t="n">
        <v>0.2046869904074818</v>
      </c>
      <c r="E387" s="14" t="inlineStr">
        <is>
          <t>Монетка Урал</t>
        </is>
      </c>
      <c r="F387" s="16" t="n"/>
    </row>
    <row r="388">
      <c r="A388" s="14" t="inlineStr">
        <is>
          <t>2026 P01</t>
        </is>
      </c>
      <c r="B388" s="15" t="n">
        <v>0.8783274445069161</v>
      </c>
      <c r="C388" s="15" t="n">
        <v>0.7259431160948834</v>
      </c>
      <c r="D388" s="15" t="n">
        <v>0.1523843284120328</v>
      </c>
      <c r="E388" s="14" t="inlineStr">
        <is>
          <t>RegX5_SS</t>
        </is>
      </c>
      <c r="F388" s="16" t="n"/>
    </row>
    <row r="389">
      <c r="A389" s="14" t="inlineStr">
        <is>
          <t>2026 P08</t>
        </is>
      </c>
      <c r="B389" s="15" t="n">
        <v>0.8987636881122106</v>
      </c>
      <c r="C389" s="15" t="n">
        <v>0.725454809071303</v>
      </c>
      <c r="D389" s="15" t="n">
        <v>0.1733088790409076</v>
      </c>
      <c r="E389" s="14" t="inlineStr">
        <is>
          <t>Арт-Маркет</t>
        </is>
      </c>
      <c r="F389" s="16" t="n"/>
    </row>
    <row r="390">
      <c r="A390" s="14" t="inlineStr">
        <is>
          <t>2026 P03</t>
        </is>
      </c>
      <c r="B390" s="15" t="n">
        <v>0.8007438239873147</v>
      </c>
      <c r="C390" s="15" t="n">
        <v>0.7251933797307176</v>
      </c>
      <c r="D390" s="15" t="n">
        <v>0.07555044425659707</v>
      </c>
      <c r="E390" s="14" t="inlineStr">
        <is>
          <t>ЗооТерра</t>
        </is>
      </c>
      <c r="F390" s="16" t="n"/>
    </row>
    <row r="391">
      <c r="A391" s="14" t="inlineStr">
        <is>
          <t>2026 P05</t>
        </is>
      </c>
      <c r="B391" s="15" t="n">
        <v>0.8511414225911912</v>
      </c>
      <c r="C391" s="15" t="n">
        <v>0.7246058383094606</v>
      </c>
      <c r="D391" s="15" t="n">
        <v>0.1265355842817306</v>
      </c>
      <c r="E391" s="14" t="inlineStr">
        <is>
          <t>Яблоко (Крым)</t>
        </is>
      </c>
      <c r="F391" s="16" t="n"/>
    </row>
    <row r="392">
      <c r="A392" s="14" t="inlineStr">
        <is>
          <t>2026 P08</t>
        </is>
      </c>
      <c r="B392" s="15" t="n">
        <v>0.9528151028209486</v>
      </c>
      <c r="C392" s="15" t="n">
        <v>0.723945985560403</v>
      </c>
      <c r="D392" s="15" t="n">
        <v>0.2288691172605456</v>
      </c>
      <c r="E392" s="14" t="inlineStr">
        <is>
          <t>Близкий</t>
        </is>
      </c>
      <c r="F392" s="16" t="n"/>
    </row>
    <row r="393">
      <c r="A393" s="14" t="inlineStr">
        <is>
          <t>2026 P03</t>
        </is>
      </c>
      <c r="B393" s="15" t="n">
        <v>0.8976867839277067</v>
      </c>
      <c r="C393" s="15" t="n">
        <v>0.7226986176106713</v>
      </c>
      <c r="D393" s="15" t="n">
        <v>0.1749881663170354</v>
      </c>
      <c r="E393" s="14" t="inlineStr">
        <is>
          <t>Локальная сеть "Любимец"</t>
        </is>
      </c>
      <c r="F393" s="16" t="n"/>
    </row>
    <row r="394">
      <c r="A394" s="14" t="inlineStr">
        <is>
          <t>2026 P04</t>
        </is>
      </c>
      <c r="B394" s="15" t="n">
        <v>0.9239808928059587</v>
      </c>
      <c r="C394" s="15" t="n">
        <v>0.7224585536081243</v>
      </c>
      <c r="D394" s="15" t="n">
        <v>0.2015223391978345</v>
      </c>
      <c r="E394" s="14" t="inlineStr">
        <is>
          <t>Близкий</t>
        </is>
      </c>
      <c r="F394" s="16" t="n"/>
    </row>
    <row r="395">
      <c r="A395" s="14" t="inlineStr">
        <is>
          <t>2026 P07</t>
        </is>
      </c>
      <c r="B395" s="15" t="n">
        <v>0.8256676656773184</v>
      </c>
      <c r="C395" s="15" t="n">
        <v>0.7221091638690913</v>
      </c>
      <c r="D395" s="15" t="n">
        <v>0.1035585018082271</v>
      </c>
      <c r="E395" s="14" t="inlineStr">
        <is>
          <t>Кот и Пес</t>
        </is>
      </c>
      <c r="F395" s="16" t="n"/>
    </row>
    <row r="396">
      <c r="A396" s="14" t="inlineStr">
        <is>
          <t>2026 P02</t>
        </is>
      </c>
      <c r="B396" s="15" t="n">
        <v>0.9362372330668063</v>
      </c>
      <c r="C396" s="15" t="n">
        <v>0.7219582984841713</v>
      </c>
      <c r="D396" s="15" t="n">
        <v>0.214278934582635</v>
      </c>
      <c r="E396" s="14" t="inlineStr">
        <is>
          <t>Яблоко</t>
        </is>
      </c>
      <c r="F396" s="16" t="n"/>
    </row>
    <row r="397">
      <c r="A397" s="14" t="inlineStr">
        <is>
          <t>2026 P02</t>
        </is>
      </c>
      <c r="B397" s="15" t="n">
        <v>0.7775603760867789</v>
      </c>
      <c r="C397" s="15" t="n">
        <v>0.7217401245726229</v>
      </c>
      <c r="D397" s="15" t="n">
        <v>0.05582025151415593</v>
      </c>
      <c r="E397" s="14" t="inlineStr">
        <is>
          <t>Неотрейд ООО</t>
        </is>
      </c>
      <c r="F397" s="16" t="n"/>
    </row>
    <row r="398">
      <c r="A398" s="14" t="inlineStr">
        <is>
          <t>2026 P01</t>
        </is>
      </c>
      <c r="B398" s="15" t="n"/>
      <c r="C398" s="15" t="n">
        <v>0.7213639014198902</v>
      </c>
      <c r="D398" s="15" t="n">
        <v>-0.7213639014198902</v>
      </c>
      <c r="E398" s="14" t="inlineStr">
        <is>
          <t>Магнит МВ</t>
        </is>
      </c>
      <c r="F398" s="16" t="n"/>
    </row>
    <row r="399">
      <c r="A399" s="14" t="inlineStr">
        <is>
          <t>2026 P08</t>
        </is>
      </c>
      <c r="B399" s="15" t="n">
        <v>0.9516842109981212</v>
      </c>
      <c r="C399" s="15" t="n">
        <v>0.7207667772472236</v>
      </c>
      <c r="D399" s="15" t="n">
        <v>0.2309174337508976</v>
      </c>
      <c r="E399" s="14" t="inlineStr">
        <is>
          <t>Верный</t>
        </is>
      </c>
      <c r="F399" s="16" t="n"/>
    </row>
    <row r="400">
      <c r="A400" s="14" t="inlineStr">
        <is>
          <t>2026 P04</t>
        </is>
      </c>
      <c r="B400" s="15" t="n">
        <v>0.7815953764860298</v>
      </c>
      <c r="C400" s="15" t="n">
        <v>0.720751780767109</v>
      </c>
      <c r="D400" s="15" t="n">
        <v>0.06084359571892084</v>
      </c>
      <c r="E400" s="14" t="inlineStr">
        <is>
          <t>Арт-Маркет</t>
        </is>
      </c>
      <c r="F400" s="16" t="n"/>
    </row>
    <row r="401">
      <c r="A401" s="14" t="inlineStr">
        <is>
          <t>2026 P02</t>
        </is>
      </c>
      <c r="B401" s="15" t="n">
        <v>0.9367419148808126</v>
      </c>
      <c r="C401" s="15" t="n">
        <v>0.7204910173417739</v>
      </c>
      <c r="D401" s="15" t="n">
        <v>0.2162508975390387</v>
      </c>
      <c r="E401" s="14" t="inlineStr">
        <is>
          <t>Макси</t>
        </is>
      </c>
      <c r="F401" s="16" t="n"/>
    </row>
    <row r="402">
      <c r="A402" s="14" t="inlineStr">
        <is>
          <t>2026 P06</t>
        </is>
      </c>
      <c r="B402" s="15" t="n">
        <v>0.9335238458143182</v>
      </c>
      <c r="C402" s="15" t="n">
        <v>0.7200119396063408</v>
      </c>
      <c r="D402" s="15" t="n">
        <v>0.2135119062079774</v>
      </c>
      <c r="E402" s="14" t="inlineStr">
        <is>
          <t>Монетка Урал</t>
        </is>
      </c>
      <c r="F402" s="16" t="n"/>
    </row>
    <row r="403">
      <c r="A403" s="14" t="inlineStr">
        <is>
          <t>2026 P08</t>
        </is>
      </c>
      <c r="B403" s="15" t="n">
        <v>0.8992630330427153</v>
      </c>
      <c r="C403" s="15" t="n">
        <v>0.7197065946657909</v>
      </c>
      <c r="D403" s="15" t="n">
        <v>0.1795564383769244</v>
      </c>
      <c r="E403" s="14" t="inlineStr">
        <is>
          <t>Семь шагов</t>
        </is>
      </c>
      <c r="F403" s="16" t="n"/>
    </row>
    <row r="404">
      <c r="A404" s="14" t="inlineStr">
        <is>
          <t>2026 P06</t>
        </is>
      </c>
      <c r="B404" s="15" t="n">
        <v>0.8200980433321982</v>
      </c>
      <c r="C404" s="15" t="n">
        <v>0.719616257716159</v>
      </c>
      <c r="D404" s="15" t="n">
        <v>0.1004817856160392</v>
      </c>
      <c r="E404" s="14" t="inlineStr">
        <is>
          <t>ИП Феоктистов М.В.</t>
        </is>
      </c>
      <c r="F404" s="16" t="n"/>
    </row>
    <row r="405">
      <c r="A405" s="14" t="inlineStr">
        <is>
          <t>2026 P06</t>
        </is>
      </c>
      <c r="B405" s="15" t="n"/>
      <c r="C405" s="15" t="n">
        <v>0.719404240824832</v>
      </c>
      <c r="D405" s="15" t="n">
        <v>-0.719404240824832</v>
      </c>
      <c r="E405" s="14" t="inlineStr">
        <is>
          <t>Магнит МВ</t>
        </is>
      </c>
      <c r="F405" s="16" t="n"/>
    </row>
    <row r="406">
      <c r="A406" s="14" t="inlineStr">
        <is>
          <t>2026 P07</t>
        </is>
      </c>
      <c r="B406" s="15" t="n">
        <v>0.9001161030901313</v>
      </c>
      <c r="C406" s="15" t="n">
        <v>0.7193364721182474</v>
      </c>
      <c r="D406" s="15" t="n">
        <v>0.180779630971884</v>
      </c>
      <c r="E406" s="14" t="inlineStr">
        <is>
          <t>Семь шагов</t>
        </is>
      </c>
      <c r="F406" s="16" t="n"/>
    </row>
    <row r="407">
      <c r="A407" s="14" t="inlineStr">
        <is>
          <t>2026 P01</t>
        </is>
      </c>
      <c r="B407" s="15" t="n">
        <v>0.8635603324648906</v>
      </c>
      <c r="C407" s="15" t="n">
        <v>0.7188480483797272</v>
      </c>
      <c r="D407" s="15" t="n">
        <v>0.1447122840851635</v>
      </c>
      <c r="E407" s="14" t="inlineStr">
        <is>
          <t>Магнолия</t>
        </is>
      </c>
      <c r="F407" s="16" t="n"/>
    </row>
    <row r="408">
      <c r="A408" s="14" t="inlineStr">
        <is>
          <t>2026 P01</t>
        </is>
      </c>
      <c r="B408" s="15" t="n">
        <v>0.9309183419821937</v>
      </c>
      <c r="C408" s="15" t="n">
        <v>0.71877575686656</v>
      </c>
      <c r="D408" s="15" t="n">
        <v>0.2121425851156337</v>
      </c>
      <c r="E408" s="14" t="inlineStr">
        <is>
          <t>Макси</t>
        </is>
      </c>
      <c r="F408" s="16" t="n"/>
    </row>
    <row r="409">
      <c r="A409" s="14" t="inlineStr">
        <is>
          <t>2026 P01</t>
        </is>
      </c>
      <c r="B409" s="15" t="n">
        <v>0.839812900788664</v>
      </c>
      <c r="C409" s="15" t="n">
        <v>0.7170087367214338</v>
      </c>
      <c r="D409" s="15" t="n">
        <v>0.1228041640672302</v>
      </c>
      <c r="E409" s="14" t="inlineStr">
        <is>
          <t>Европа</t>
        </is>
      </c>
      <c r="F409" s="16" t="n"/>
    </row>
    <row r="410">
      <c r="A410" s="14" t="inlineStr">
        <is>
          <t>2026 P06</t>
        </is>
      </c>
      <c r="B410" s="15" t="n">
        <v>0.8866184591513673</v>
      </c>
      <c r="C410" s="15" t="n">
        <v>0.7164496801115767</v>
      </c>
      <c r="D410" s="15" t="n">
        <v>0.1701687790397906</v>
      </c>
      <c r="E410" s="14" t="inlineStr">
        <is>
          <t>Семь шагов</t>
        </is>
      </c>
      <c r="F410" s="16" t="n"/>
    </row>
    <row r="411">
      <c r="A411" s="14" t="inlineStr">
        <is>
          <t>2026 P01</t>
        </is>
      </c>
      <c r="B411" s="15" t="n">
        <v>0.831626100541069</v>
      </c>
      <c r="C411" s="15" t="n">
        <v>0.7163620836231968</v>
      </c>
      <c r="D411" s="15" t="n">
        <v>0.1152640169178722</v>
      </c>
      <c r="E411" s="14" t="inlineStr">
        <is>
          <t>ОКЕЙ</t>
        </is>
      </c>
      <c r="F411" s="16" t="n"/>
    </row>
    <row r="412">
      <c r="A412" s="14" t="inlineStr">
        <is>
          <t>2026 P01</t>
        </is>
      </c>
      <c r="B412" s="15" t="n">
        <v>0.8509800013385806</v>
      </c>
      <c r="C412" s="15" t="n">
        <v>0.7162351390040759</v>
      </c>
      <c r="D412" s="15" t="n">
        <v>0.1347448623345048</v>
      </c>
      <c r="E412" s="14" t="inlineStr">
        <is>
          <t>Ярче</t>
        </is>
      </c>
      <c r="F412" s="16" t="n"/>
    </row>
    <row r="413">
      <c r="A413" s="14" t="inlineStr">
        <is>
          <t>2026 P02</t>
        </is>
      </c>
      <c r="B413" s="15" t="n">
        <v>0.8193416849563334</v>
      </c>
      <c r="C413" s="15" t="n">
        <v>0.7161839642361872</v>
      </c>
      <c r="D413" s="15" t="n">
        <v>0.1031577207201462</v>
      </c>
      <c r="E413" s="14" t="inlineStr">
        <is>
          <t>Ярче</t>
        </is>
      </c>
      <c r="F413" s="16" t="n"/>
    </row>
    <row r="414">
      <c r="A414" s="14" t="inlineStr">
        <is>
          <t>2026 P02</t>
        </is>
      </c>
      <c r="B414" s="15" t="n">
        <v>0.8938777637455416</v>
      </c>
      <c r="C414" s="15" t="n">
        <v>0.7154552355575534</v>
      </c>
      <c r="D414" s="15" t="n">
        <v>0.1784225281879882</v>
      </c>
      <c r="E414" s="14" t="inlineStr">
        <is>
          <t>SPAR Волга</t>
        </is>
      </c>
      <c r="F414" s="16" t="n"/>
    </row>
    <row r="415">
      <c r="A415" s="14" t="inlineStr">
        <is>
          <t>2026 P01</t>
        </is>
      </c>
      <c r="B415" s="15" t="n">
        <v>0.8336021532950127</v>
      </c>
      <c r="C415" s="15" t="n">
        <v>0.714934638175079</v>
      </c>
      <c r="D415" s="15" t="n">
        <v>0.1186675151199338</v>
      </c>
      <c r="E415" s="14" t="inlineStr">
        <is>
          <t>Брезгина К.А.</t>
        </is>
      </c>
      <c r="F415" s="16" t="n"/>
    </row>
    <row r="416">
      <c r="A416" s="14" t="inlineStr">
        <is>
          <t>2026 P01</t>
        </is>
      </c>
      <c r="B416" s="15" t="n">
        <v>0.9120371998677124</v>
      </c>
      <c r="C416" s="15" t="n">
        <v>0.7148318670017968</v>
      </c>
      <c r="D416" s="15" t="n">
        <v>0.1972053328659156</v>
      </c>
      <c r="E416" s="14" t="inlineStr">
        <is>
          <t>Экономыч</t>
        </is>
      </c>
      <c r="F416" s="16" t="n"/>
    </row>
    <row r="417">
      <c r="A417" s="14" t="inlineStr">
        <is>
          <t>2026 P05</t>
        </is>
      </c>
      <c r="B417" s="15" t="n">
        <v>0.9109254559160721</v>
      </c>
      <c r="C417" s="15" t="n">
        <v>0.7139106832734703</v>
      </c>
      <c r="D417" s="15" t="n">
        <v>0.1970147726426018</v>
      </c>
      <c r="E417" s="14" t="inlineStr">
        <is>
          <t>Верный</t>
        </is>
      </c>
      <c r="F417" s="16" t="n"/>
    </row>
    <row r="418">
      <c r="A418" s="14" t="inlineStr">
        <is>
          <t>2026 P01</t>
        </is>
      </c>
      <c r="B418" s="15" t="n">
        <v>0.8978156237147802</v>
      </c>
      <c r="C418" s="15" t="n">
        <v>0.7137359012767397</v>
      </c>
      <c r="D418" s="15" t="n">
        <v>0.1840797224380405</v>
      </c>
      <c r="E418" s="14" t="inlineStr">
        <is>
          <t>Магнит ГМ</t>
        </is>
      </c>
      <c r="F418" s="16" t="n"/>
    </row>
    <row r="419">
      <c r="A419" s="14" t="inlineStr">
        <is>
          <t>2026 P06</t>
        </is>
      </c>
      <c r="B419" s="15" t="n">
        <v>0.836754721171777</v>
      </c>
      <c r="C419" s="15" t="n">
        <v>0.713460398475371</v>
      </c>
      <c r="D419" s="15" t="n">
        <v>0.1232943226964059</v>
      </c>
      <c r="E419" s="14" t="inlineStr">
        <is>
          <t>ЗооОптТорг</t>
        </is>
      </c>
      <c r="F419" s="16" t="n"/>
    </row>
    <row r="420">
      <c r="A420" s="14" t="inlineStr">
        <is>
          <t>2026 P06</t>
        </is>
      </c>
      <c r="B420" s="15" t="n">
        <v>0.9362331376356162</v>
      </c>
      <c r="C420" s="15" t="n">
        <v>0.7132174701225776</v>
      </c>
      <c r="D420" s="15" t="n">
        <v>0.2230156675130386</v>
      </c>
      <c r="E420" s="14" t="inlineStr">
        <is>
          <t>Верный</t>
        </is>
      </c>
      <c r="F420" s="16" t="n"/>
    </row>
    <row r="421">
      <c r="A421" s="14" t="inlineStr">
        <is>
          <t>2026 P02</t>
        </is>
      </c>
      <c r="B421" s="15" t="n">
        <v>0.9256499637191097</v>
      </c>
      <c r="C421" s="15" t="n">
        <v>0.713160789420458</v>
      </c>
      <c r="D421" s="15" t="n">
        <v>0.2124891742986517</v>
      </c>
      <c r="E421" s="14" t="inlineStr">
        <is>
          <t>Магнит ММ</t>
        </is>
      </c>
      <c r="F421" s="16" t="n"/>
    </row>
    <row r="422">
      <c r="A422" s="14" t="inlineStr">
        <is>
          <t>2026 P02</t>
        </is>
      </c>
      <c r="B422" s="15" t="n">
        <v>0.8978814442611281</v>
      </c>
      <c r="C422" s="15" t="n">
        <v>0.7128952539215442</v>
      </c>
      <c r="D422" s="15" t="n">
        <v>0.184986190339584</v>
      </c>
      <c r="E422" s="14" t="inlineStr">
        <is>
          <t>ЭКОНОМИЯ</t>
        </is>
      </c>
      <c r="F422" s="16" t="n"/>
    </row>
    <row r="423">
      <c r="A423" s="14" t="inlineStr">
        <is>
          <t>2026 P05</t>
        </is>
      </c>
      <c r="B423" s="15" t="n">
        <v>0.8051362637781858</v>
      </c>
      <c r="C423" s="15" t="n">
        <v>0.7128117060709592</v>
      </c>
      <c r="D423" s="15" t="n">
        <v>0.09232455770722658</v>
      </c>
      <c r="E423" s="14" t="inlineStr">
        <is>
          <t>ИП Феоктистов М.В.</t>
        </is>
      </c>
      <c r="F423" s="16" t="n"/>
    </row>
    <row r="424">
      <c r="A424" s="14" t="inlineStr">
        <is>
          <t>2026 P07</t>
        </is>
      </c>
      <c r="B424" s="15" t="n">
        <v>0.9451410363099099</v>
      </c>
      <c r="C424" s="15" t="n">
        <v>0.7125988506600045</v>
      </c>
      <c r="D424" s="15" t="n">
        <v>0.2325421856499054</v>
      </c>
      <c r="E424" s="14" t="inlineStr">
        <is>
          <t>Верный</t>
        </is>
      </c>
      <c r="F424" s="16" t="n"/>
    </row>
    <row r="425">
      <c r="A425" s="14" t="inlineStr">
        <is>
          <t>2026 P07</t>
        </is>
      </c>
      <c r="B425" s="15" t="n">
        <v>0.9382692317075076</v>
      </c>
      <c r="C425" s="15" t="n">
        <v>0.7119323525978055</v>
      </c>
      <c r="D425" s="15" t="n">
        <v>0.2263368791097021</v>
      </c>
      <c r="E425" s="14" t="inlineStr">
        <is>
          <t>Близкий</t>
        </is>
      </c>
      <c r="F425" s="16" t="n"/>
    </row>
    <row r="426">
      <c r="A426" s="14" t="inlineStr">
        <is>
          <t>2026 P05</t>
        </is>
      </c>
      <c r="B426" s="15" t="n">
        <v>0.8501284190195789</v>
      </c>
      <c r="C426" s="15" t="n">
        <v>0.7104499214884339</v>
      </c>
      <c r="D426" s="15" t="n">
        <v>0.139678497531145</v>
      </c>
      <c r="E426" s="14" t="inlineStr">
        <is>
          <t>Магазинчик-Крым</t>
        </is>
      </c>
      <c r="F426" s="16" t="n"/>
    </row>
    <row r="427">
      <c r="A427" s="14" t="inlineStr">
        <is>
          <t>2026 P03</t>
        </is>
      </c>
      <c r="B427" s="15" t="n">
        <v>0.922807808556526</v>
      </c>
      <c r="C427" s="15" t="n">
        <v>0.7098638267369323</v>
      </c>
      <c r="D427" s="15" t="n">
        <v>0.2129439818195937</v>
      </c>
      <c r="E427" s="14" t="inlineStr">
        <is>
          <t>Монетка Урал</t>
        </is>
      </c>
      <c r="F427" s="16" t="n"/>
    </row>
    <row r="428">
      <c r="A428" s="14" t="inlineStr">
        <is>
          <t>2026 P03</t>
        </is>
      </c>
      <c r="B428" s="15" t="n">
        <v>0.7686846324770851</v>
      </c>
      <c r="C428" s="15" t="n">
        <v>0.7097839595529969</v>
      </c>
      <c r="D428" s="15" t="n">
        <v>0.05890067292408818</v>
      </c>
      <c r="E428" s="14" t="inlineStr">
        <is>
          <t>Неотрейд ООО</t>
        </is>
      </c>
      <c r="F428" s="16" t="n"/>
    </row>
    <row r="429">
      <c r="A429" s="14" t="inlineStr">
        <is>
          <t>2026 P02</t>
        </is>
      </c>
      <c r="B429" s="15" t="n">
        <v>0.9318238966669856</v>
      </c>
      <c r="C429" s="15" t="n">
        <v>0.7096135956772635</v>
      </c>
      <c r="D429" s="15" t="n">
        <v>0.2222103009897222</v>
      </c>
      <c r="E429" s="14" t="inlineStr">
        <is>
          <t>Верный</t>
        </is>
      </c>
      <c r="F429" s="16" t="n"/>
    </row>
    <row r="430">
      <c r="A430" s="14" t="inlineStr">
        <is>
          <t>2026 P05</t>
        </is>
      </c>
      <c r="B430" s="15" t="n">
        <v>0.8417523172547677</v>
      </c>
      <c r="C430" s="15" t="n">
        <v>0.7091382613674815</v>
      </c>
      <c r="D430" s="15" t="n">
        <v>0.1326140558872863</v>
      </c>
      <c r="E430" s="14" t="inlineStr">
        <is>
          <t>ЗооОптТорг</t>
        </is>
      </c>
      <c r="F430" s="16" t="n"/>
    </row>
    <row r="431">
      <c r="A431" s="14" t="inlineStr">
        <is>
          <t>2026 P04</t>
        </is>
      </c>
      <c r="B431" s="15" t="n">
        <v>0.9278523964448684</v>
      </c>
      <c r="C431" s="15" t="n">
        <v>0.7088068964811219</v>
      </c>
      <c r="D431" s="15" t="n">
        <v>0.2190454999637464</v>
      </c>
      <c r="E431" s="14" t="inlineStr">
        <is>
          <t>Монетка Урал</t>
        </is>
      </c>
      <c r="F431" s="16" t="n"/>
    </row>
    <row r="432">
      <c r="A432" s="14" t="inlineStr">
        <is>
          <t>2026 P04</t>
        </is>
      </c>
      <c r="B432" s="15" t="n">
        <v>0.893690321565182</v>
      </c>
      <c r="C432" s="15" t="n">
        <v>0.7079768983916918</v>
      </c>
      <c r="D432" s="15" t="n">
        <v>0.1857134231734903</v>
      </c>
      <c r="E432" s="14" t="inlineStr">
        <is>
          <t>Семь шагов</t>
        </is>
      </c>
      <c r="F432" s="16" t="n"/>
    </row>
    <row r="433">
      <c r="A433" s="14" t="inlineStr">
        <is>
          <t>2026 P02</t>
        </is>
      </c>
      <c r="B433" s="15" t="n">
        <v>0.9189060606924812</v>
      </c>
      <c r="C433" s="15" t="n">
        <v>0.7074910407572269</v>
      </c>
      <c r="D433" s="15" t="n">
        <v>0.2114150199352542</v>
      </c>
      <c r="E433" s="14" t="inlineStr">
        <is>
          <t>Монетка Урал</t>
        </is>
      </c>
      <c r="F433" s="16" t="n"/>
    </row>
    <row r="434">
      <c r="A434" s="14" t="inlineStr">
        <is>
          <t>2026 P01</t>
        </is>
      </c>
      <c r="B434" s="15" t="n">
        <v>0.921020125665732</v>
      </c>
      <c r="C434" s="15" t="n">
        <v>0.7072863815807172</v>
      </c>
      <c r="D434" s="15" t="n">
        <v>0.2137337440850148</v>
      </c>
      <c r="E434" s="14" t="inlineStr">
        <is>
          <t>Перекресток</t>
        </is>
      </c>
      <c r="F434" s="16" t="n"/>
    </row>
    <row r="435">
      <c r="A435" s="14" t="inlineStr">
        <is>
          <t>2026 P01</t>
        </is>
      </c>
      <c r="B435" s="15" t="n">
        <v>0.8742611216116076</v>
      </c>
      <c r="C435" s="15" t="n">
        <v>0.7069012252211254</v>
      </c>
      <c r="D435" s="15" t="n">
        <v>0.1673598963904822</v>
      </c>
      <c r="E435" s="14" t="inlineStr">
        <is>
          <t>Командор</t>
        </is>
      </c>
      <c r="F435" s="16" t="n"/>
    </row>
    <row r="436">
      <c r="A436" s="14" t="inlineStr">
        <is>
          <t>2026 P01</t>
        </is>
      </c>
      <c r="B436" s="15" t="n">
        <v>0.9115052895220039</v>
      </c>
      <c r="C436" s="15" t="n">
        <v>0.7068367422103652</v>
      </c>
      <c r="D436" s="15" t="n">
        <v>0.2046685473116387</v>
      </c>
      <c r="E436" s="14" t="inlineStr">
        <is>
          <t>Монетка Урал</t>
        </is>
      </c>
      <c r="F436" s="16" t="n"/>
    </row>
    <row r="437">
      <c r="A437" s="14" t="inlineStr">
        <is>
          <t>2026 P03</t>
        </is>
      </c>
      <c r="B437" s="15" t="n">
        <v>0.8088902966962813</v>
      </c>
      <c r="C437" s="15" t="n">
        <v>0.7065991327496892</v>
      </c>
      <c r="D437" s="15" t="n">
        <v>0.1022911639465921</v>
      </c>
      <c r="E437" s="14" t="inlineStr">
        <is>
          <t>Байрам</t>
        </is>
      </c>
      <c r="F437" s="16" t="n"/>
    </row>
    <row r="438">
      <c r="A438" s="14" t="inlineStr">
        <is>
          <t>2026 P02</t>
        </is>
      </c>
      <c r="B438" s="15" t="n">
        <v>0.8698354753009709</v>
      </c>
      <c r="C438" s="15" t="n">
        <v>0.7048458954036281</v>
      </c>
      <c r="D438" s="15" t="n">
        <v>0.1649895798973429</v>
      </c>
      <c r="E438" s="14" t="inlineStr">
        <is>
          <t>Лента HM</t>
        </is>
      </c>
      <c r="F438" s="16" t="n"/>
    </row>
    <row r="439">
      <c r="A439" s="14" t="inlineStr">
        <is>
          <t>2026 P01</t>
        </is>
      </c>
      <c r="B439" s="15" t="n">
        <v>0.8631504817455804</v>
      </c>
      <c r="C439" s="15" t="n">
        <v>0.7043361627902897</v>
      </c>
      <c r="D439" s="15" t="n">
        <v>0.1588143189552907</v>
      </c>
      <c r="E439" s="14" t="inlineStr">
        <is>
          <t>Магнит МЦ</t>
        </is>
      </c>
      <c r="F439" s="16" t="n"/>
    </row>
    <row r="440">
      <c r="A440" s="14" t="inlineStr">
        <is>
          <t>2026 P02</t>
        </is>
      </c>
      <c r="B440" s="15" t="n"/>
      <c r="C440" s="15" t="n">
        <v>0.7042008634048499</v>
      </c>
      <c r="D440" s="15" t="n">
        <v>-0.7042008634048499</v>
      </c>
      <c r="E440" s="14" t="inlineStr">
        <is>
          <t>Магнит МВ</t>
        </is>
      </c>
      <c r="F440" s="16" t="n"/>
    </row>
    <row r="441">
      <c r="A441" s="14" t="inlineStr">
        <is>
          <t>2026 P08</t>
        </is>
      </c>
      <c r="B441" s="15" t="n">
        <v>0.8202230724008381</v>
      </c>
      <c r="C441" s="15" t="n">
        <v>0.7029322995619</v>
      </c>
      <c r="D441" s="15" t="n">
        <v>0.1172907728389382</v>
      </c>
      <c r="E441" s="14" t="inlineStr">
        <is>
          <t>ИП Феоктистов М.В.</t>
        </is>
      </c>
      <c r="F441" s="16" t="n"/>
    </row>
    <row r="442">
      <c r="A442" s="14" t="inlineStr">
        <is>
          <t>2026 P01</t>
        </is>
      </c>
      <c r="B442" s="15" t="n">
        <v>0.7606765955803607</v>
      </c>
      <c r="C442" s="15" t="n">
        <v>0.7015296891819621</v>
      </c>
      <c r="D442" s="15" t="n">
        <v>0.05914690639839859</v>
      </c>
      <c r="E442" s="14" t="inlineStr">
        <is>
          <t>Любимчик 2.0</t>
        </is>
      </c>
      <c r="F442" s="16" t="n"/>
    </row>
    <row r="443">
      <c r="A443" s="14" t="inlineStr">
        <is>
          <t>2026 P05</t>
        </is>
      </c>
      <c r="B443" s="15" t="n">
        <v>0.8350271410432846</v>
      </c>
      <c r="C443" s="15" t="n">
        <v>0.7008462172880805</v>
      </c>
      <c r="D443" s="15" t="n">
        <v>0.1341809237552041</v>
      </c>
      <c r="E443" s="14" t="inlineStr">
        <is>
          <t>Сибагро</t>
        </is>
      </c>
      <c r="F443" s="16" t="n"/>
    </row>
    <row r="444">
      <c r="A444" s="14" t="inlineStr">
        <is>
          <t>2026 P02</t>
        </is>
      </c>
      <c r="B444" s="15" t="n">
        <v>0.8142850698413703</v>
      </c>
      <c r="C444" s="15" t="n">
        <v>0.7006246690981229</v>
      </c>
      <c r="D444" s="15" t="n">
        <v>0.1136604007432473</v>
      </c>
      <c r="E444" s="14" t="inlineStr">
        <is>
          <t>Европа</t>
        </is>
      </c>
      <c r="F444" s="16" t="n"/>
    </row>
    <row r="445">
      <c r="A445" s="14" t="inlineStr">
        <is>
          <t>2026 P01</t>
        </is>
      </c>
      <c r="B445" s="15" t="n">
        <v>0.931907717253792</v>
      </c>
      <c r="C445" s="15" t="n">
        <v>0.6996627213880893</v>
      </c>
      <c r="D445" s="15" t="n">
        <v>0.2322449958657027</v>
      </c>
      <c r="E445" s="14" t="inlineStr">
        <is>
          <t>Верный</t>
        </is>
      </c>
      <c r="F445" s="16" t="n"/>
    </row>
    <row r="446">
      <c r="A446" s="14" t="inlineStr">
        <is>
          <t>2026 P05</t>
        </is>
      </c>
      <c r="B446" s="15" t="n">
        <v>0.8310007792297146</v>
      </c>
      <c r="C446" s="15" t="n">
        <v>0.6995553747243036</v>
      </c>
      <c r="D446" s="15" t="n">
        <v>0.131445404505411</v>
      </c>
      <c r="E446" s="14" t="inlineStr">
        <is>
          <t>Везунчик</t>
        </is>
      </c>
      <c r="F446" s="16" t="n"/>
    </row>
    <row r="447">
      <c r="A447" s="14" t="inlineStr">
        <is>
          <t>2026 P03</t>
        </is>
      </c>
      <c r="B447" s="15" t="n">
        <v>0.8398158984585035</v>
      </c>
      <c r="C447" s="15" t="n">
        <v>0.6988511707586821</v>
      </c>
      <c r="D447" s="15" t="n">
        <v>0.1409647276998214</v>
      </c>
      <c r="E447" s="14" t="inlineStr">
        <is>
          <t>ЗооОптТорг</t>
        </is>
      </c>
      <c r="F447" s="16" t="n"/>
    </row>
    <row r="448">
      <c r="A448" s="14" t="inlineStr">
        <is>
          <t>2026 P05</t>
        </is>
      </c>
      <c r="B448" s="15" t="n">
        <v>0.8731346316841786</v>
      </c>
      <c r="C448" s="15" t="n">
        <v>0.6978241984348655</v>
      </c>
      <c r="D448" s="15" t="n">
        <v>0.1753104332493131</v>
      </c>
      <c r="E448" s="14" t="inlineStr">
        <is>
          <t>Семь шагов</t>
        </is>
      </c>
      <c r="F448" s="16" t="n"/>
    </row>
    <row r="449">
      <c r="A449" s="14" t="inlineStr">
        <is>
          <t>2026 P02</t>
        </is>
      </c>
      <c r="B449" s="15" t="n">
        <v>0.7976428550693924</v>
      </c>
      <c r="C449" s="15" t="n">
        <v>0.69766607512477</v>
      </c>
      <c r="D449" s="15" t="n">
        <v>0.0999767799446224</v>
      </c>
      <c r="E449" s="14" t="inlineStr">
        <is>
          <t>ЗооТерра</t>
        </is>
      </c>
      <c r="F449" s="16" t="n"/>
    </row>
    <row r="450">
      <c r="A450" s="14" t="inlineStr">
        <is>
          <t>2026 P06</t>
        </is>
      </c>
      <c r="B450" s="15" t="n">
        <v>0.8772713430100112</v>
      </c>
      <c r="C450" s="15" t="n">
        <v>0.6972114486178922</v>
      </c>
      <c r="D450" s="15" t="n">
        <v>0.180059894392119</v>
      </c>
      <c r="E450" s="14" t="inlineStr">
        <is>
          <t>Яблоко (Крым)</t>
        </is>
      </c>
      <c r="F450" s="16" t="n"/>
    </row>
    <row r="451">
      <c r="A451" s="14" t="inlineStr">
        <is>
          <t>2026 P04</t>
        </is>
      </c>
      <c r="B451" s="15" t="n">
        <v>0.8260956717404129</v>
      </c>
      <c r="C451" s="15" t="n">
        <v>0.6966964069980692</v>
      </c>
      <c r="D451" s="15" t="n">
        <v>0.1293992647423436</v>
      </c>
      <c r="E451" s="14" t="inlineStr">
        <is>
          <t>Везунчик</t>
        </is>
      </c>
      <c r="F451" s="16" t="n"/>
    </row>
    <row r="452">
      <c r="A452" s="14" t="inlineStr">
        <is>
          <t>2026 P03</t>
        </is>
      </c>
      <c r="B452" s="15" t="n">
        <v>0.901870449279252</v>
      </c>
      <c r="C452" s="15" t="n">
        <v>0.6964766630134869</v>
      </c>
      <c r="D452" s="15" t="n">
        <v>0.2053937862657651</v>
      </c>
      <c r="E452" s="14" t="inlineStr">
        <is>
          <t>Близкий</t>
        </is>
      </c>
      <c r="F452" s="16" t="n"/>
    </row>
    <row r="453">
      <c r="A453" s="14" t="inlineStr">
        <is>
          <t>2026 P01</t>
        </is>
      </c>
      <c r="B453" s="15" t="n">
        <v>0.8787042169739134</v>
      </c>
      <c r="C453" s="15" t="n">
        <v>0.6956981430881773</v>
      </c>
      <c r="D453" s="15" t="n">
        <v>0.1830060738857361</v>
      </c>
      <c r="E453" s="14" t="inlineStr">
        <is>
          <t>Метрополис</t>
        </is>
      </c>
      <c r="F453" s="16" t="n"/>
    </row>
    <row r="454">
      <c r="A454" s="14" t="inlineStr">
        <is>
          <t>2026 P03</t>
        </is>
      </c>
      <c r="B454" s="15" t="n">
        <v>0.8526158077658315</v>
      </c>
      <c r="C454" s="15" t="n">
        <v>0.6955057940385148</v>
      </c>
      <c r="D454" s="15" t="n">
        <v>0.1571100137273167</v>
      </c>
      <c r="E454" s="14" t="inlineStr">
        <is>
          <t>Магазинчик-Крым</t>
        </is>
      </c>
      <c r="F454" s="16" t="n"/>
    </row>
    <row r="455">
      <c r="A455" s="14" t="inlineStr">
        <is>
          <t>2026 P05</t>
        </is>
      </c>
      <c r="B455" s="15" t="n">
        <v>0.8131805013064521</v>
      </c>
      <c r="C455" s="15" t="n">
        <v>0.6950659613762326</v>
      </c>
      <c r="D455" s="15" t="n">
        <v>0.1181145399302196</v>
      </c>
      <c r="E455" s="14" t="inlineStr">
        <is>
          <t>Таубер</t>
        </is>
      </c>
      <c r="F455" s="16" t="n"/>
    </row>
    <row r="456">
      <c r="A456" s="14" t="inlineStr">
        <is>
          <t>2026 P04</t>
        </is>
      </c>
      <c r="B456" s="15" t="n">
        <v>0.8421483514018213</v>
      </c>
      <c r="C456" s="15" t="n">
        <v>0.6944512778811567</v>
      </c>
      <c r="D456" s="15" t="n">
        <v>0.1476970735206646</v>
      </c>
      <c r="E456" s="14" t="inlineStr">
        <is>
          <t>Таубер</t>
        </is>
      </c>
      <c r="F456" s="16" t="n"/>
    </row>
    <row r="457">
      <c r="A457" s="14" t="inlineStr">
        <is>
          <t>2026 P08</t>
        </is>
      </c>
      <c r="B457" s="15" t="n">
        <v>0.8409075919182445</v>
      </c>
      <c r="C457" s="15" t="n">
        <v>0.6939907540994231</v>
      </c>
      <c r="D457" s="15" t="n">
        <v>0.1469168378188214</v>
      </c>
      <c r="E457" s="14" t="inlineStr">
        <is>
          <t>Везунчик</t>
        </is>
      </c>
      <c r="F457" s="16" t="n"/>
    </row>
    <row r="458">
      <c r="A458" s="14" t="inlineStr">
        <is>
          <t>2026 P03</t>
        </is>
      </c>
      <c r="B458" s="15" t="n"/>
      <c r="C458" s="15" t="n">
        <v>0.6937962285763362</v>
      </c>
      <c r="D458" s="15" t="n">
        <v>-0.6937962285763362</v>
      </c>
      <c r="E458" s="14" t="inlineStr">
        <is>
          <t>Магнит МВ</t>
        </is>
      </c>
      <c r="F458" s="16" t="n"/>
    </row>
    <row r="459">
      <c r="A459" s="14" t="inlineStr">
        <is>
          <t>2026 P03</t>
        </is>
      </c>
      <c r="B459" s="15" t="n">
        <v>0.754138111730511</v>
      </c>
      <c r="C459" s="15" t="n">
        <v>0.6930326349406453</v>
      </c>
      <c r="D459" s="15" t="n">
        <v>0.06110547678986578</v>
      </c>
      <c r="E459" s="14" t="inlineStr">
        <is>
          <t>Вега (Киров)</t>
        </is>
      </c>
      <c r="F459" s="16" t="n"/>
    </row>
    <row r="460">
      <c r="A460" s="14" t="inlineStr">
        <is>
          <t>2026 P05</t>
        </is>
      </c>
      <c r="B460" s="15" t="n">
        <v>0.7919697479547342</v>
      </c>
      <c r="C460" s="15" t="n">
        <v>0.6928229042203523</v>
      </c>
      <c r="D460" s="15" t="n">
        <v>0.09914684373438187</v>
      </c>
      <c r="E460" s="14" t="inlineStr">
        <is>
          <t>Кэш&amp;Керри</t>
        </is>
      </c>
      <c r="F460" s="16" t="n"/>
    </row>
    <row r="461">
      <c r="A461" s="14" t="inlineStr">
        <is>
          <t>2026 P02</t>
        </is>
      </c>
      <c r="B461" s="15" t="n">
        <v>0.9075746385322219</v>
      </c>
      <c r="C461" s="15" t="n">
        <v>0.691998910650797</v>
      </c>
      <c r="D461" s="15" t="n">
        <v>0.2155757278814249</v>
      </c>
      <c r="E461" s="14" t="inlineStr">
        <is>
          <t>Близкий</t>
        </is>
      </c>
      <c r="F461" s="16" t="n"/>
    </row>
    <row r="462">
      <c r="A462" s="14" t="inlineStr">
        <is>
          <t>2026 P02</t>
        </is>
      </c>
      <c r="B462" s="15" t="n">
        <v>0.8768621160615281</v>
      </c>
      <c r="C462" s="15" t="n">
        <v>0.6915549689220969</v>
      </c>
      <c r="D462" s="15" t="n">
        <v>0.1853071471394312</v>
      </c>
      <c r="E462" s="14" t="inlineStr">
        <is>
          <t>Лента SM</t>
        </is>
      </c>
      <c r="F462" s="16" t="n"/>
    </row>
    <row r="463">
      <c r="A463" s="14" t="inlineStr">
        <is>
          <t>2026 P02</t>
        </is>
      </c>
      <c r="B463" s="15" t="n">
        <v>0.8376490131267903</v>
      </c>
      <c r="C463" s="15" t="n">
        <v>0.6907620575404926</v>
      </c>
      <c r="D463" s="15" t="n">
        <v>0.1468869555862977</v>
      </c>
      <c r="E463" s="14" t="inlineStr">
        <is>
          <t>АТАК</t>
        </is>
      </c>
      <c r="F463" s="16" t="n"/>
    </row>
    <row r="464">
      <c r="A464" s="14" t="inlineStr">
        <is>
          <t>2026 P04</t>
        </is>
      </c>
      <c r="B464" s="15" t="n">
        <v>0.836149436547772</v>
      </c>
      <c r="C464" s="15" t="n">
        <v>0.6896748175910266</v>
      </c>
      <c r="D464" s="15" t="n">
        <v>0.1464746189567454</v>
      </c>
      <c r="E464" s="14" t="inlineStr">
        <is>
          <t>ЗооОптТорг</t>
        </is>
      </c>
      <c r="F464" s="16" t="n"/>
    </row>
    <row r="465">
      <c r="A465" s="14" t="inlineStr">
        <is>
          <t>2026 P03</t>
        </is>
      </c>
      <c r="B465" s="15" t="n">
        <v>0.9382723445341929</v>
      </c>
      <c r="C465" s="15" t="n">
        <v>0.6894249238147478</v>
      </c>
      <c r="D465" s="15" t="n">
        <v>0.2488474207194451</v>
      </c>
      <c r="E465" s="14" t="inlineStr">
        <is>
          <t>Хороший (Командор)</t>
        </is>
      </c>
      <c r="F465" s="16" t="n"/>
    </row>
    <row r="466">
      <c r="A466" s="14" t="inlineStr">
        <is>
          <t>2026 P01</t>
        </is>
      </c>
      <c r="B466" s="15" t="n">
        <v>0.7521348530430607</v>
      </c>
      <c r="C466" s="15" t="n">
        <v>0.6893741037069077</v>
      </c>
      <c r="D466" s="15" t="n">
        <v>0.06276074933615305</v>
      </c>
      <c r="E466" s="14" t="inlineStr">
        <is>
          <t>Сима Ленд</t>
        </is>
      </c>
      <c r="F466" s="16" t="n"/>
    </row>
    <row r="467">
      <c r="A467" s="14" t="inlineStr">
        <is>
          <t>2026 P05</t>
        </is>
      </c>
      <c r="B467" s="15" t="n">
        <v>0.9166518490398536</v>
      </c>
      <c r="C467" s="15" t="n">
        <v>0.6888667673152836</v>
      </c>
      <c r="D467" s="15" t="n">
        <v>0.22778508172457</v>
      </c>
      <c r="E467" s="14" t="inlineStr">
        <is>
          <t>Близкий</t>
        </is>
      </c>
      <c r="F467" s="16" t="n"/>
    </row>
    <row r="468">
      <c r="A468" s="14" t="inlineStr">
        <is>
          <t>2026 P07</t>
        </is>
      </c>
      <c r="B468" s="15" t="n">
        <v>0.8341998254124995</v>
      </c>
      <c r="C468" s="15" t="n">
        <v>0.6887588432945502</v>
      </c>
      <c r="D468" s="15" t="n">
        <v>0.1454409821179493</v>
      </c>
      <c r="E468" s="14" t="inlineStr">
        <is>
          <t>Яблоко (Крым)</t>
        </is>
      </c>
      <c r="F468" s="16" t="n"/>
    </row>
    <row r="469">
      <c r="A469" s="14" t="inlineStr">
        <is>
          <t>2026 P02</t>
        </is>
      </c>
      <c r="B469" s="15" t="n">
        <v>0.8583795583632593</v>
      </c>
      <c r="C469" s="15" t="n">
        <v>0.6887337239285719</v>
      </c>
      <c r="D469" s="15" t="n">
        <v>0.1696458344346874</v>
      </c>
      <c r="E469" s="14" t="inlineStr">
        <is>
          <t>Реми</t>
        </is>
      </c>
      <c r="F469" s="16" t="n"/>
    </row>
    <row r="470">
      <c r="A470" s="14" t="inlineStr">
        <is>
          <t>2026 P02</t>
        </is>
      </c>
      <c r="B470" s="15" t="n">
        <v>0.8332470064980855</v>
      </c>
      <c r="C470" s="15" t="n">
        <v>0.6884371879431102</v>
      </c>
      <c r="D470" s="15" t="n">
        <v>0.1448098185549753</v>
      </c>
      <c r="E470" s="14" t="inlineStr">
        <is>
          <t>Ассорти</t>
        </is>
      </c>
      <c r="F470" s="16" t="n"/>
    </row>
    <row r="471">
      <c r="A471" s="14" t="inlineStr">
        <is>
          <t>2026 P05</t>
        </is>
      </c>
      <c r="B471" s="15" t="n">
        <v>0.7945325681992375</v>
      </c>
      <c r="C471" s="15" t="n">
        <v>0.6874888875706331</v>
      </c>
      <c r="D471" s="15" t="n">
        <v>0.1070436806286044</v>
      </c>
      <c r="E471" s="14" t="inlineStr">
        <is>
          <t>Байрам</t>
        </is>
      </c>
      <c r="F471" s="16" t="n"/>
    </row>
    <row r="472">
      <c r="A472" s="14" t="inlineStr">
        <is>
          <t>2026 P05</t>
        </is>
      </c>
      <c r="B472" s="15" t="n">
        <v>0.9502828817079094</v>
      </c>
      <c r="C472" s="15" t="n">
        <v>0.6871858760139836</v>
      </c>
      <c r="D472" s="15" t="n">
        <v>0.2630970056939258</v>
      </c>
      <c r="E472" s="14" t="inlineStr">
        <is>
          <t>Хороший (Командор)</t>
        </is>
      </c>
      <c r="F472" s="16" t="n"/>
    </row>
    <row r="473">
      <c r="A473" s="14" t="inlineStr">
        <is>
          <t>2026 P02</t>
        </is>
      </c>
      <c r="B473" s="15" t="n">
        <v>0.9250957468304406</v>
      </c>
      <c r="C473" s="15" t="n">
        <v>0.6869520268306709</v>
      </c>
      <c r="D473" s="15" t="n">
        <v>0.2381437199997697</v>
      </c>
      <c r="E473" s="14" t="inlineStr">
        <is>
          <t>Хороший (Командор)</t>
        </is>
      </c>
      <c r="F473" s="16" t="n"/>
    </row>
    <row r="474">
      <c r="A474" s="14" t="inlineStr">
        <is>
          <t>2026 P01</t>
        </is>
      </c>
      <c r="B474" s="15" t="n">
        <v>0.8357105520509989</v>
      </c>
      <c r="C474" s="15" t="n">
        <v>0.6857949144572584</v>
      </c>
      <c r="D474" s="15" t="n">
        <v>0.1499156375937405</v>
      </c>
      <c r="E474" s="14" t="inlineStr">
        <is>
          <t>Ассорти</t>
        </is>
      </c>
      <c r="F474" s="16" t="n"/>
    </row>
    <row r="475">
      <c r="A475" s="14" t="inlineStr">
        <is>
          <t>2026 P01</t>
        </is>
      </c>
      <c r="B475" s="15" t="n">
        <v>0.8769530195694298</v>
      </c>
      <c r="C475" s="15" t="n">
        <v>0.6852697250864743</v>
      </c>
      <c r="D475" s="15" t="n">
        <v>0.1916832944829555</v>
      </c>
      <c r="E475" s="14" t="inlineStr">
        <is>
          <t>SPAR Калининград</t>
        </is>
      </c>
      <c r="F475" s="16" t="n"/>
    </row>
    <row r="476">
      <c r="A476" s="14" t="inlineStr">
        <is>
          <t>2026 P04</t>
        </is>
      </c>
      <c r="B476" s="15" t="n">
        <v>0.7892042005081202</v>
      </c>
      <c r="C476" s="15" t="n">
        <v>0.6850490653308571</v>
      </c>
      <c r="D476" s="15" t="n">
        <v>0.1041551351772632</v>
      </c>
      <c r="E476" s="14" t="inlineStr">
        <is>
          <t>Миндаль</t>
        </is>
      </c>
      <c r="F476" s="16" t="n"/>
    </row>
    <row r="477">
      <c r="A477" s="14" t="inlineStr">
        <is>
          <t>2026 P01</t>
        </is>
      </c>
      <c r="B477" s="15" t="n">
        <v>0.8472364505652326</v>
      </c>
      <c r="C477" s="15" t="n">
        <v>0.684494777739957</v>
      </c>
      <c r="D477" s="15" t="n">
        <v>0.1627416728252755</v>
      </c>
      <c r="E477" s="14" t="inlineStr">
        <is>
          <t>Мария-Ра</t>
        </is>
      </c>
      <c r="F477" s="16" t="n"/>
    </row>
    <row r="478">
      <c r="A478" s="14" t="inlineStr">
        <is>
          <t>2026 P01</t>
        </is>
      </c>
      <c r="B478" s="15" t="n">
        <v>0.8492154689085729</v>
      </c>
      <c r="C478" s="15" t="n">
        <v>0.6844129875440961</v>
      </c>
      <c r="D478" s="15" t="n">
        <v>0.1648024813644768</v>
      </c>
      <c r="E478" s="14" t="inlineStr">
        <is>
          <t>Локальная сеть "Любимец"</t>
        </is>
      </c>
      <c r="F478" s="16" t="n"/>
    </row>
    <row r="479">
      <c r="A479" s="14" t="inlineStr">
        <is>
          <t>2026 P04</t>
        </is>
      </c>
      <c r="B479" s="15" t="n">
        <v>0.8944721936186352</v>
      </c>
      <c r="C479" s="15" t="n">
        <v>0.6836052684043387</v>
      </c>
      <c r="D479" s="15" t="n">
        <v>0.2108669252142965</v>
      </c>
      <c r="E479" s="14" t="inlineStr">
        <is>
          <t>Дружок</t>
        </is>
      </c>
      <c r="F479" s="16" t="n"/>
    </row>
    <row r="480">
      <c r="A480" s="14" t="inlineStr">
        <is>
          <t>2026 P08</t>
        </is>
      </c>
      <c r="B480" s="15" t="n">
        <v>0.9726778318053534</v>
      </c>
      <c r="C480" s="15" t="n">
        <v>0.6834993581637749</v>
      </c>
      <c r="D480" s="15" t="n">
        <v>0.2891784736415784</v>
      </c>
      <c r="E480" s="14" t="inlineStr">
        <is>
          <t>Метро</t>
        </is>
      </c>
      <c r="F480" s="16" t="n"/>
    </row>
    <row r="481">
      <c r="A481" s="14" t="inlineStr">
        <is>
          <t>2026 P08</t>
        </is>
      </c>
      <c r="B481" s="15" t="n">
        <v>0.8020709191757519</v>
      </c>
      <c r="C481" s="15" t="n">
        <v>0.683139305199206</v>
      </c>
      <c r="D481" s="15" t="n">
        <v>0.1189316139765459</v>
      </c>
      <c r="E481" s="14" t="inlineStr">
        <is>
          <t>Байрам</t>
        </is>
      </c>
      <c r="F481" s="16" t="n"/>
    </row>
    <row r="482">
      <c r="A482" s="14" t="inlineStr">
        <is>
          <t>2026 P04</t>
        </is>
      </c>
      <c r="B482" s="15" t="n">
        <v>0.9585005192225919</v>
      </c>
      <c r="C482" s="15" t="n">
        <v>0.6828739641910355</v>
      </c>
      <c r="D482" s="15" t="n">
        <v>0.2756265550315564</v>
      </c>
      <c r="E482" s="14" t="inlineStr">
        <is>
          <t>Заботливые цены</t>
        </is>
      </c>
      <c r="F482" s="16" t="n"/>
    </row>
    <row r="483">
      <c r="A483" s="14" t="inlineStr">
        <is>
          <t>2026 P03</t>
        </is>
      </c>
      <c r="B483" s="15" t="n">
        <v>0.828931572303294</v>
      </c>
      <c r="C483" s="15" t="n">
        <v>0.6817486170448891</v>
      </c>
      <c r="D483" s="15" t="n">
        <v>0.1471829552584049</v>
      </c>
      <c r="E483" s="14" t="inlineStr">
        <is>
          <t>Везунчик</t>
        </is>
      </c>
      <c r="F483" s="16" t="n"/>
    </row>
    <row r="484">
      <c r="A484" s="14" t="inlineStr">
        <is>
          <t>2026 P07</t>
        </is>
      </c>
      <c r="B484" s="15" t="n">
        <v>0.8195807975235032</v>
      </c>
      <c r="C484" s="15" t="n">
        <v>0.6815072364103738</v>
      </c>
      <c r="D484" s="15" t="n">
        <v>0.1380735611131294</v>
      </c>
      <c r="E484" s="14" t="inlineStr">
        <is>
          <t>ИП Феоктистов М.В.</t>
        </is>
      </c>
      <c r="F484" s="16" t="n"/>
    </row>
    <row r="485">
      <c r="A485" s="14" t="inlineStr">
        <is>
          <t>2026 P01</t>
        </is>
      </c>
      <c r="B485" s="15" t="n">
        <v>0.8741904821634323</v>
      </c>
      <c r="C485" s="15" t="n">
        <v>0.680275767055374</v>
      </c>
      <c r="D485" s="15" t="n">
        <v>0.1939147151080584</v>
      </c>
      <c r="E485" s="14" t="inlineStr">
        <is>
          <t>SPAR Волга</t>
        </is>
      </c>
      <c r="F485" s="16" t="n"/>
    </row>
    <row r="486">
      <c r="A486" s="14" t="inlineStr">
        <is>
          <t>2026 P01</t>
        </is>
      </c>
      <c r="B486" s="15" t="n">
        <v>0.8218685508496161</v>
      </c>
      <c r="C486" s="15" t="n">
        <v>0.6800469610807434</v>
      </c>
      <c r="D486" s="15" t="n">
        <v>0.1418215897688727</v>
      </c>
      <c r="E486" s="14" t="inlineStr">
        <is>
          <t>Ашан</t>
        </is>
      </c>
      <c r="F486" s="16" t="n"/>
    </row>
    <row r="487">
      <c r="A487" s="14" t="inlineStr">
        <is>
          <t>2026 P02</t>
        </is>
      </c>
      <c r="B487" s="15" t="n">
        <v>0.8394318166403875</v>
      </c>
      <c r="C487" s="15" t="n">
        <v>0.6797563320706956</v>
      </c>
      <c r="D487" s="15" t="n">
        <v>0.1596754845696918</v>
      </c>
      <c r="E487" s="14" t="inlineStr">
        <is>
          <t>Яблоко (Крым)</t>
        </is>
      </c>
      <c r="F487" s="16" t="n"/>
    </row>
    <row r="488">
      <c r="A488" s="14" t="inlineStr">
        <is>
          <t>2026 P04</t>
        </is>
      </c>
      <c r="B488" s="15" t="n">
        <v>0.9562062562775719</v>
      </c>
      <c r="C488" s="15" t="n">
        <v>0.6790179985646932</v>
      </c>
      <c r="D488" s="15" t="n">
        <v>0.2771882577128787</v>
      </c>
      <c r="E488" s="14" t="inlineStr">
        <is>
          <t>Гулливер</t>
        </is>
      </c>
      <c r="F488" s="16" t="n"/>
    </row>
    <row r="489">
      <c r="A489" s="14" t="inlineStr">
        <is>
          <t>2026 P02</t>
        </is>
      </c>
      <c r="B489" s="15" t="n">
        <v>0.7324441246329968</v>
      </c>
      <c r="C489" s="15" t="n">
        <v>0.6788364380360434</v>
      </c>
      <c r="D489" s="15" t="n">
        <v>0.05360768659695336</v>
      </c>
      <c r="E489" s="14" t="inlineStr">
        <is>
          <t>Сима Ленд</t>
        </is>
      </c>
      <c r="F489" s="16" t="n"/>
    </row>
    <row r="490">
      <c r="A490" s="14" t="inlineStr">
        <is>
          <t>2026 P08</t>
        </is>
      </c>
      <c r="B490" s="15" t="n">
        <v>0.9003977760689182</v>
      </c>
      <c r="C490" s="15" t="n">
        <v>0.6782373733166318</v>
      </c>
      <c r="D490" s="15" t="n">
        <v>0.2221604027522864</v>
      </c>
      <c r="E490" s="14" t="inlineStr">
        <is>
          <t>Дружок</t>
        </is>
      </c>
      <c r="F490" s="16" t="n"/>
    </row>
    <row r="491">
      <c r="A491" s="14" t="inlineStr">
        <is>
          <t>2026 P06</t>
        </is>
      </c>
      <c r="B491" s="15" t="n">
        <v>0.7749403163354944</v>
      </c>
      <c r="C491" s="15" t="n">
        <v>0.6776896392427287</v>
      </c>
      <c r="D491" s="15" t="n">
        <v>0.09725067709276569</v>
      </c>
      <c r="E491" s="14" t="inlineStr">
        <is>
          <t>Байрам</t>
        </is>
      </c>
      <c r="F491" s="16" t="n"/>
    </row>
    <row r="492">
      <c r="A492" s="14" t="inlineStr">
        <is>
          <t>2026 P03</t>
        </is>
      </c>
      <c r="B492" s="15" t="n">
        <v>0.7463881767468591</v>
      </c>
      <c r="C492" s="15" t="n">
        <v>0.6776271289054612</v>
      </c>
      <c r="D492" s="15" t="n">
        <v>0.06876104784139792</v>
      </c>
      <c r="E492" s="14" t="inlineStr">
        <is>
          <t>Арт-Маркет</t>
        </is>
      </c>
      <c r="F492" s="16" t="n"/>
    </row>
    <row r="493">
      <c r="A493" s="14" t="inlineStr">
        <is>
          <t>2026 P08</t>
        </is>
      </c>
      <c r="B493" s="15" t="n">
        <v>0.7808510005671027</v>
      </c>
      <c r="C493" s="15" t="n">
        <v>0.6773498431681619</v>
      </c>
      <c r="D493" s="15" t="n">
        <v>0.1035011573989407</v>
      </c>
      <c r="E493" s="14" t="inlineStr">
        <is>
          <t>Семь+Я ООО</t>
        </is>
      </c>
      <c r="F493" s="16" t="n"/>
    </row>
    <row r="494">
      <c r="A494" s="14" t="inlineStr">
        <is>
          <t>2026 P05</t>
        </is>
      </c>
      <c r="B494" s="15" t="n">
        <v>0.7928997644709059</v>
      </c>
      <c r="C494" s="15" t="n">
        <v>0.6769202173107052</v>
      </c>
      <c r="D494" s="15" t="n">
        <v>0.1159795471602008</v>
      </c>
      <c r="E494" s="14" t="inlineStr">
        <is>
          <t>Европа</t>
        </is>
      </c>
      <c r="F494" s="16" t="n"/>
    </row>
    <row r="495">
      <c r="A495" s="14" t="inlineStr">
        <is>
          <t>2026 P04</t>
        </is>
      </c>
      <c r="B495" s="15" t="n">
        <v>0.8198617381894923</v>
      </c>
      <c r="C495" s="15" t="n">
        <v>0.6753453787952765</v>
      </c>
      <c r="D495" s="15" t="n">
        <v>0.1445163593942158</v>
      </c>
      <c r="E495" s="14" t="inlineStr">
        <is>
          <t>ИП Феоктистов М.В.</t>
        </is>
      </c>
      <c r="F495" s="16" t="n"/>
    </row>
    <row r="496">
      <c r="A496" s="14" t="inlineStr">
        <is>
          <t>2026 P01</t>
        </is>
      </c>
      <c r="B496" s="15" t="n">
        <v>0.7310347798052454</v>
      </c>
      <c r="C496" s="15" t="n">
        <v>0.6750133543482384</v>
      </c>
      <c r="D496" s="15" t="n">
        <v>0.05602142545700706</v>
      </c>
      <c r="E496" s="14" t="inlineStr">
        <is>
          <t>Лотос</t>
        </is>
      </c>
      <c r="F496" s="16" t="n"/>
    </row>
    <row r="497">
      <c r="A497" s="14" t="inlineStr">
        <is>
          <t>2026 P07</t>
        </is>
      </c>
      <c r="B497" s="15" t="n">
        <v>0.792515300121294</v>
      </c>
      <c r="C497" s="15" t="n">
        <v>0.6749715227626463</v>
      </c>
      <c r="D497" s="15" t="n">
        <v>0.1175437773586477</v>
      </c>
      <c r="E497" s="14" t="inlineStr">
        <is>
          <t>Байрам</t>
        </is>
      </c>
      <c r="F497" s="16" t="n"/>
    </row>
    <row r="498">
      <c r="A498" s="14" t="inlineStr">
        <is>
          <t>2026 P07</t>
        </is>
      </c>
      <c r="B498" s="15" t="n">
        <v>0.9655239482260258</v>
      </c>
      <c r="C498" s="15" t="n">
        <v>0.6745206905708684</v>
      </c>
      <c r="D498" s="15" t="n">
        <v>0.2910032576551574</v>
      </c>
      <c r="E498" s="14" t="inlineStr">
        <is>
          <t>Метро</t>
        </is>
      </c>
      <c r="F498" s="16" t="n"/>
    </row>
    <row r="499">
      <c r="A499" s="14" t="inlineStr">
        <is>
          <t>2026 P05</t>
        </is>
      </c>
      <c r="B499" s="15" t="n">
        <v>0.9625348190100846</v>
      </c>
      <c r="C499" s="15" t="n">
        <v>0.6734222200914706</v>
      </c>
      <c r="D499" s="15" t="n">
        <v>0.2891125989186141</v>
      </c>
      <c r="E499" s="14" t="inlineStr">
        <is>
          <t>Гулливер</t>
        </is>
      </c>
      <c r="F499" s="16" t="n"/>
    </row>
    <row r="500">
      <c r="A500" s="14" t="inlineStr">
        <is>
          <t>2026 P07</t>
        </is>
      </c>
      <c r="B500" s="15" t="n">
        <v>0.9076792138839874</v>
      </c>
      <c r="C500" s="15" t="n">
        <v>0.6730638594863748</v>
      </c>
      <c r="D500" s="15" t="n">
        <v>0.2346153543976126</v>
      </c>
      <c r="E500" s="14" t="inlineStr">
        <is>
          <t xml:space="preserve"> Лысов А.С.</t>
        </is>
      </c>
      <c r="F500" s="16" t="n"/>
    </row>
    <row r="501">
      <c r="A501" s="14" t="inlineStr">
        <is>
          <t>2026 P04</t>
        </is>
      </c>
      <c r="B501" s="15" t="n">
        <v>0.7854580910196602</v>
      </c>
      <c r="C501" s="15" t="n">
        <v>0.6729505165584743</v>
      </c>
      <c r="D501" s="15" t="n">
        <v>0.112507574461186</v>
      </c>
      <c r="E501" s="14" t="inlineStr">
        <is>
          <t>Кэш&amp;Керри</t>
        </is>
      </c>
      <c r="F501" s="16" t="n"/>
    </row>
    <row r="502">
      <c r="A502" s="14" t="inlineStr">
        <is>
          <t>2026 P02</t>
        </is>
      </c>
      <c r="B502" s="15" t="n">
        <v>0.8142686930471819</v>
      </c>
      <c r="C502" s="15" t="n">
        <v>0.6728433396386544</v>
      </c>
      <c r="D502" s="15" t="n">
        <v>0.1414253534085275</v>
      </c>
      <c r="E502" s="14" t="inlineStr">
        <is>
          <t>ЗооОптТорг</t>
        </is>
      </c>
      <c r="F502" s="16" t="n"/>
    </row>
    <row r="503">
      <c r="A503" s="14" t="inlineStr">
        <is>
          <t>2026 P04</t>
        </is>
      </c>
      <c r="B503" s="15" t="n">
        <v>0.9456050866239994</v>
      </c>
      <c r="C503" s="15" t="n">
        <v>0.6724312878370995</v>
      </c>
      <c r="D503" s="15" t="n">
        <v>0.2731737987869</v>
      </c>
      <c r="E503" s="14" t="inlineStr">
        <is>
          <t>Хороший (Командор)</t>
        </is>
      </c>
      <c r="F503" s="16" t="n"/>
    </row>
    <row r="504">
      <c r="A504" s="14" t="inlineStr">
        <is>
          <t>2026 P03</t>
        </is>
      </c>
      <c r="B504" s="15" t="n">
        <v>0.7875734461510562</v>
      </c>
      <c r="C504" s="15" t="n">
        <v>0.670897595920801</v>
      </c>
      <c r="D504" s="15" t="n">
        <v>0.1166758502302552</v>
      </c>
      <c r="E504" s="14" t="inlineStr">
        <is>
          <t>Брезгина К.А.</t>
        </is>
      </c>
      <c r="F504" s="16" t="n"/>
    </row>
    <row r="505">
      <c r="A505" s="14" t="inlineStr">
        <is>
          <t>2026 P07</t>
        </is>
      </c>
      <c r="B505" s="15" t="n">
        <v>0.8677187644943422</v>
      </c>
      <c r="C505" s="15" t="n">
        <v>0.670695373131837</v>
      </c>
      <c r="D505" s="15" t="n">
        <v>0.1970233913625051</v>
      </c>
      <c r="E505" s="14" t="inlineStr">
        <is>
          <t>Магазинчик-Крым</t>
        </is>
      </c>
      <c r="F505" s="16" t="n"/>
    </row>
    <row r="506">
      <c r="A506" s="14" t="inlineStr">
        <is>
          <t>2026 P06</t>
        </is>
      </c>
      <c r="B506" s="15" t="n">
        <v>0.9290224862655599</v>
      </c>
      <c r="C506" s="15" t="n">
        <v>0.6703536525874765</v>
      </c>
      <c r="D506" s="15" t="n">
        <v>0.2586688336780835</v>
      </c>
      <c r="E506" s="14" t="inlineStr">
        <is>
          <t>Близкий</t>
        </is>
      </c>
      <c r="F506" s="16" t="n"/>
    </row>
    <row r="507">
      <c r="A507" s="14" t="inlineStr">
        <is>
          <t>2026 P08</t>
        </is>
      </c>
      <c r="B507" s="15" t="n">
        <v>0.9150140246231234</v>
      </c>
      <c r="C507" s="15" t="n">
        <v>0.6700356812746632</v>
      </c>
      <c r="D507" s="15" t="n">
        <v>0.2449783433484602</v>
      </c>
      <c r="E507" s="14" t="inlineStr">
        <is>
          <t>Николаевский</t>
        </is>
      </c>
      <c r="F507" s="16" t="n"/>
    </row>
    <row r="508">
      <c r="A508" s="14" t="inlineStr">
        <is>
          <t>2026 P05</t>
        </is>
      </c>
      <c r="B508" s="15" t="n">
        <v>0.8790827433535099</v>
      </c>
      <c r="C508" s="15" t="n">
        <v>0.6699197733061526</v>
      </c>
      <c r="D508" s="15" t="n">
        <v>0.2091629700473573</v>
      </c>
      <c r="E508" s="14" t="inlineStr">
        <is>
          <t>ТД "Милый дом"</t>
        </is>
      </c>
      <c r="F508" s="16" t="n"/>
    </row>
    <row r="509">
      <c r="A509" s="14" t="inlineStr">
        <is>
          <t>2026 P06</t>
        </is>
      </c>
      <c r="B509" s="15" t="n">
        <v>0.9713781618639541</v>
      </c>
      <c r="C509" s="15" t="n">
        <v>0.6687821876458329</v>
      </c>
      <c r="D509" s="15" t="n">
        <v>0.3025959742181212</v>
      </c>
      <c r="E509" s="14" t="inlineStr">
        <is>
          <t>Метро</t>
        </is>
      </c>
      <c r="F509" s="16" t="n"/>
    </row>
    <row r="510">
      <c r="A510" s="14" t="inlineStr">
        <is>
          <t>2026 P08</t>
        </is>
      </c>
      <c r="B510" s="15" t="n">
        <v>0.6861824054014721</v>
      </c>
      <c r="C510" s="15" t="n">
        <v>0.6683312807373584</v>
      </c>
      <c r="D510" s="15" t="n">
        <v>0.01785112466411376</v>
      </c>
      <c r="E510" s="14" t="inlineStr">
        <is>
          <t>ИП Гулян Д.Г.</t>
        </is>
      </c>
      <c r="F510" s="16" t="n"/>
    </row>
    <row r="511">
      <c r="A511" s="14" t="inlineStr">
        <is>
          <t>2026 P01</t>
        </is>
      </c>
      <c r="B511" s="15" t="n">
        <v>0.8879489542045027</v>
      </c>
      <c r="C511" s="15" t="n">
        <v>0.6682922391427545</v>
      </c>
      <c r="D511" s="15" t="n">
        <v>0.2196567150617482</v>
      </c>
      <c r="E511" s="14" t="inlineStr">
        <is>
          <t>Хороший (Командор)</t>
        </is>
      </c>
      <c r="F511" s="16" t="n"/>
    </row>
    <row r="512">
      <c r="A512" s="14" t="inlineStr">
        <is>
          <t>2026 P06</t>
        </is>
      </c>
      <c r="B512" s="15" t="n">
        <v>1</v>
      </c>
      <c r="C512" s="15" t="n">
        <v>0.6668540958107788</v>
      </c>
      <c r="D512" s="15" t="n">
        <v>0.3331459041892212</v>
      </c>
      <c r="E512" s="14" t="inlineStr">
        <is>
          <t>Заботливые цены</t>
        </is>
      </c>
      <c r="F512" s="16" t="n"/>
    </row>
    <row r="513">
      <c r="A513" s="14" t="inlineStr">
        <is>
          <t>2026 P08</t>
        </is>
      </c>
      <c r="B513" s="15" t="n">
        <v>0.8323634041047415</v>
      </c>
      <c r="C513" s="15" t="n">
        <v>0.6666683910260731</v>
      </c>
      <c r="D513" s="15" t="n">
        <v>0.1656950130786684</v>
      </c>
      <c r="E513" s="14" t="inlineStr">
        <is>
          <t>Любимчик 2.0</t>
        </is>
      </c>
      <c r="F513" s="16" t="n"/>
    </row>
    <row r="514">
      <c r="A514" s="14" t="inlineStr">
        <is>
          <t>2026 P01</t>
        </is>
      </c>
      <c r="B514" s="15" t="n">
        <v>0.8679324587139203</v>
      </c>
      <c r="C514" s="15" t="n">
        <v>0.6664174846361475</v>
      </c>
      <c r="D514" s="15" t="n">
        <v>0.2015149740777729</v>
      </c>
      <c r="E514" s="14" t="inlineStr">
        <is>
          <t>ЭКОНОМИЯ</t>
        </is>
      </c>
      <c r="F514" s="16" t="n"/>
    </row>
    <row r="515">
      <c r="A515" s="14" t="inlineStr">
        <is>
          <t>2026 P03</t>
        </is>
      </c>
      <c r="B515" s="15" t="n">
        <v>0.7782800052525819</v>
      </c>
      <c r="C515" s="15" t="n">
        <v>0.6663915821788251</v>
      </c>
      <c r="D515" s="15" t="n">
        <v>0.1118884230737568</v>
      </c>
      <c r="E515" s="14" t="inlineStr">
        <is>
          <t>Семь+Я ООО</t>
        </is>
      </c>
      <c r="F515" s="16" t="n"/>
    </row>
    <row r="516">
      <c r="A516" s="14" t="inlineStr">
        <is>
          <t>2026 P06</t>
        </is>
      </c>
      <c r="B516" s="15" t="n">
        <v>0.7723079592770536</v>
      </c>
      <c r="C516" s="15" t="n">
        <v>0.6663100006893707</v>
      </c>
      <c r="D516" s="15" t="n">
        <v>0.1059979585876829</v>
      </c>
      <c r="E516" s="14" t="inlineStr">
        <is>
          <t>Семь+Я ООО</t>
        </is>
      </c>
      <c r="F516" s="16" t="n"/>
    </row>
    <row r="517">
      <c r="A517" s="14" t="inlineStr">
        <is>
          <t>2026 P01</t>
        </is>
      </c>
      <c r="B517" s="15" t="n">
        <v>0.8860726729766357</v>
      </c>
      <c r="C517" s="15" t="n">
        <v>0.6661939718046793</v>
      </c>
      <c r="D517" s="15" t="n">
        <v>0.2198787011719564</v>
      </c>
      <c r="E517" s="14" t="inlineStr">
        <is>
          <t>Магнит ММ</t>
        </is>
      </c>
      <c r="F517" s="16" t="n"/>
    </row>
    <row r="518">
      <c r="A518" s="14" t="inlineStr">
        <is>
          <t>2026 P07</t>
        </is>
      </c>
      <c r="B518" s="15" t="n">
        <v>0.9010637264091195</v>
      </c>
      <c r="C518" s="15" t="n">
        <v>0.6656962252577547</v>
      </c>
      <c r="D518" s="15" t="n">
        <v>0.2353675011513647</v>
      </c>
      <c r="E518" s="14" t="inlineStr">
        <is>
          <t>Николаевский</t>
        </is>
      </c>
      <c r="F518" s="16" t="n"/>
    </row>
    <row r="519">
      <c r="A519" s="14" t="inlineStr">
        <is>
          <t>2026 P07</t>
        </is>
      </c>
      <c r="B519" s="15" t="n">
        <v>0.8055565929338486</v>
      </c>
      <c r="C519" s="15" t="n">
        <v>0.6654058220917827</v>
      </c>
      <c r="D519" s="15" t="n">
        <v>0.140150770842066</v>
      </c>
      <c r="E519" s="14" t="inlineStr">
        <is>
          <t>Кэш&amp;Керри</t>
        </is>
      </c>
      <c r="F519" s="16" t="n"/>
    </row>
    <row r="520">
      <c r="A520" s="14" t="inlineStr">
        <is>
          <t>2026 P07</t>
        </is>
      </c>
      <c r="B520" s="15" t="n">
        <v>0.8696348967992322</v>
      </c>
      <c r="C520" s="15" t="n">
        <v>0.6650477577509512</v>
      </c>
      <c r="D520" s="15" t="n">
        <v>0.2045871390482811</v>
      </c>
      <c r="E520" s="14" t="inlineStr">
        <is>
          <t>Дружок</t>
        </is>
      </c>
      <c r="F520" s="16" t="n"/>
    </row>
    <row r="521">
      <c r="A521" s="14" t="inlineStr">
        <is>
          <t>2026 P01</t>
        </is>
      </c>
      <c r="B521" s="15" t="n"/>
      <c r="C521" s="15" t="n">
        <v>0.6647674182921147</v>
      </c>
      <c r="D521" s="15" t="n">
        <v>-0.6647674182921147</v>
      </c>
      <c r="E521" s="14" t="inlineStr">
        <is>
          <t>Fix Price</t>
        </is>
      </c>
      <c r="F521" s="16" t="n"/>
    </row>
    <row r="522">
      <c r="A522" s="14" t="inlineStr">
        <is>
          <t>2026 P01</t>
        </is>
      </c>
      <c r="B522" s="15" t="n">
        <v>0.8810013806417452</v>
      </c>
      <c r="C522" s="15" t="n">
        <v>0.664470841580225</v>
      </c>
      <c r="D522" s="15" t="n">
        <v>0.2165305390615202</v>
      </c>
      <c r="E522" s="14" t="inlineStr">
        <is>
          <t>Дикси</t>
        </is>
      </c>
      <c r="F522" s="16" t="n"/>
    </row>
    <row r="523">
      <c r="A523" s="14" t="inlineStr">
        <is>
          <t>2026 P08</t>
        </is>
      </c>
      <c r="B523" s="15" t="n">
        <v>0.7973412397442053</v>
      </c>
      <c r="C523" s="15" t="n">
        <v>0.6643130461421543</v>
      </c>
      <c r="D523" s="15" t="n">
        <v>0.1330281936020511</v>
      </c>
      <c r="E523" s="14" t="inlineStr">
        <is>
          <t>ЗооОптТорг</t>
        </is>
      </c>
      <c r="F523" s="16" t="n"/>
    </row>
    <row r="524">
      <c r="A524" s="14" t="inlineStr">
        <is>
          <t>2026 P07</t>
        </is>
      </c>
      <c r="B524" s="15" t="n">
        <v>0.8194000465197522</v>
      </c>
      <c r="C524" s="15" t="n">
        <v>0.6642406963047538</v>
      </c>
      <c r="D524" s="15" t="n">
        <v>0.1551593502149984</v>
      </c>
      <c r="E524" s="14" t="inlineStr">
        <is>
          <t>Сибагро</t>
        </is>
      </c>
      <c r="F524" s="16" t="n"/>
    </row>
    <row r="525">
      <c r="A525" s="14" t="inlineStr">
        <is>
          <t>2026 P03</t>
        </is>
      </c>
      <c r="B525" s="15" t="n">
        <v>0.8494201727606971</v>
      </c>
      <c r="C525" s="15" t="n">
        <v>0.6639081060854103</v>
      </c>
      <c r="D525" s="15" t="n">
        <v>0.1855120666752869</v>
      </c>
      <c r="E525" s="14" t="inlineStr">
        <is>
          <t>Кот и Пес</t>
        </is>
      </c>
      <c r="F525" s="16" t="n"/>
    </row>
    <row r="526">
      <c r="A526" s="14" t="inlineStr">
        <is>
          <t>2026 P02</t>
        </is>
      </c>
      <c r="B526" s="15" t="n">
        <v>0.7665475611191339</v>
      </c>
      <c r="C526" s="15" t="n">
        <v>0.6633975176996177</v>
      </c>
      <c r="D526" s="15" t="n">
        <v>0.1031500434195162</v>
      </c>
      <c r="E526" s="14" t="inlineStr">
        <is>
          <t>Семь+Я ООО</t>
        </is>
      </c>
      <c r="F526" s="16" t="n"/>
    </row>
    <row r="527">
      <c r="A527" s="14" t="inlineStr">
        <is>
          <t>2026 P06</t>
        </is>
      </c>
      <c r="B527" s="15" t="n">
        <v>0.7675166169016764</v>
      </c>
      <c r="C527" s="15" t="n">
        <v>0.6623045110965018</v>
      </c>
      <c r="D527" s="15" t="n">
        <v>0.1052121058051746</v>
      </c>
      <c r="E527" s="14" t="inlineStr">
        <is>
          <t>Кэш&amp;Керри</t>
        </is>
      </c>
      <c r="F527" s="16" t="n"/>
    </row>
    <row r="528">
      <c r="A528" s="14" t="inlineStr">
        <is>
          <t>2026 P02</t>
        </is>
      </c>
      <c r="B528" s="15" t="n">
        <v>0.7282864402368919</v>
      </c>
      <c r="C528" s="15" t="n">
        <v>0.6621543840407901</v>
      </c>
      <c r="D528" s="15" t="n">
        <v>0.06613205619610185</v>
      </c>
      <c r="E528" s="14" t="inlineStr">
        <is>
          <t>Арт-Маркет</t>
        </is>
      </c>
      <c r="F528" s="16" t="n"/>
    </row>
    <row r="529">
      <c r="A529" s="14" t="inlineStr">
        <is>
          <t>2026 P06</t>
        </is>
      </c>
      <c r="B529" s="15" t="n">
        <v>0.8639056814844835</v>
      </c>
      <c r="C529" s="15" t="n">
        <v>0.6618564101442246</v>
      </c>
      <c r="D529" s="15" t="n">
        <v>0.202049271340259</v>
      </c>
      <c r="E529" s="14" t="inlineStr">
        <is>
          <t>Магазинчик-Крым</t>
        </is>
      </c>
      <c r="F529" s="16" t="n"/>
    </row>
    <row r="530">
      <c r="A530" s="14" t="inlineStr">
        <is>
          <t>2026 P03</t>
        </is>
      </c>
      <c r="B530" s="15" t="n">
        <v>0.8682948245763094</v>
      </c>
      <c r="C530" s="15" t="n">
        <v>0.6617090908556829</v>
      </c>
      <c r="D530" s="15" t="n">
        <v>0.2065857337206265</v>
      </c>
      <c r="E530" s="14" t="inlineStr">
        <is>
          <t>Дружок</t>
        </is>
      </c>
      <c r="F530" s="16" t="n"/>
    </row>
    <row r="531">
      <c r="A531" s="14" t="inlineStr">
        <is>
          <t>2026 P01</t>
        </is>
      </c>
      <c r="B531" s="15" t="n">
        <v>0.9627488096437965</v>
      </c>
      <c r="C531" s="15" t="n">
        <v>0.6603855834531742</v>
      </c>
      <c r="D531" s="15" t="n">
        <v>0.3023632261906223</v>
      </c>
      <c r="E531" s="14" t="inlineStr">
        <is>
          <t>Гулливер</t>
        </is>
      </c>
      <c r="F531" s="16" t="n"/>
    </row>
    <row r="532">
      <c r="A532" s="14" t="inlineStr">
        <is>
          <t>2026 P07</t>
        </is>
      </c>
      <c r="B532" s="15" t="n">
        <v>0.83127304880592</v>
      </c>
      <c r="C532" s="15" t="n">
        <v>0.6603567371009192</v>
      </c>
      <c r="D532" s="15" t="n">
        <v>0.1709163117050008</v>
      </c>
      <c r="E532" s="14" t="inlineStr">
        <is>
          <t>Везунчик</t>
        </is>
      </c>
      <c r="F532" s="16" t="n"/>
    </row>
    <row r="533">
      <c r="A533" s="14" t="inlineStr">
        <is>
          <t>2026 P01</t>
        </is>
      </c>
      <c r="B533" s="15" t="n">
        <v>0.8594715274740024</v>
      </c>
      <c r="C533" s="15" t="n">
        <v>0.6600291011919539</v>
      </c>
      <c r="D533" s="15" t="n">
        <v>0.1994424262820484</v>
      </c>
      <c r="E533" s="14" t="inlineStr">
        <is>
          <t>ПУД</t>
        </is>
      </c>
      <c r="F533" s="16" t="n"/>
    </row>
    <row r="534">
      <c r="A534" s="14" t="inlineStr">
        <is>
          <t>2026 P05</t>
        </is>
      </c>
      <c r="B534" s="15" t="n">
        <v>0.767997639860425</v>
      </c>
      <c r="C534" s="15" t="n">
        <v>0.6599166631412163</v>
      </c>
      <c r="D534" s="15" t="n">
        <v>0.1080809767192087</v>
      </c>
      <c r="E534" s="14" t="inlineStr">
        <is>
          <t>Семь+Я ООО</t>
        </is>
      </c>
      <c r="F534" s="16" t="n"/>
    </row>
    <row r="535">
      <c r="A535" s="14" t="inlineStr">
        <is>
          <t>2026 P06</t>
        </is>
      </c>
      <c r="B535" s="15" t="n">
        <v>0.8361974582431798</v>
      </c>
      <c r="C535" s="15" t="n">
        <v>0.6588795726325851</v>
      </c>
      <c r="D535" s="15" t="n">
        <v>0.1773178856105947</v>
      </c>
      <c r="E535" s="14" t="inlineStr">
        <is>
          <t>Везунчик</t>
        </is>
      </c>
      <c r="F535" s="16" t="n"/>
    </row>
    <row r="536">
      <c r="A536" s="14" t="inlineStr">
        <is>
          <t>2026 P01</t>
        </is>
      </c>
      <c r="B536" s="15" t="n">
        <v>0.8380983050021746</v>
      </c>
      <c r="C536" s="15" t="n">
        <v>0.6584225121583777</v>
      </c>
      <c r="D536" s="15" t="n">
        <v>0.179675792843797</v>
      </c>
      <c r="E536" s="14" t="inlineStr">
        <is>
          <t>Реми</t>
        </is>
      </c>
      <c r="F536" s="16" t="n"/>
    </row>
    <row r="537">
      <c r="A537" s="14" t="inlineStr">
        <is>
          <t>2026 P07</t>
        </is>
      </c>
      <c r="B537" s="15" t="n">
        <v>0.8029941341761967</v>
      </c>
      <c r="C537" s="15" t="n">
        <v>0.6583982150364235</v>
      </c>
      <c r="D537" s="15" t="n">
        <v>0.1445959191397732</v>
      </c>
      <c r="E537" s="14" t="inlineStr">
        <is>
          <t>Домашкино</t>
        </is>
      </c>
      <c r="F537" s="16" t="n"/>
    </row>
    <row r="538">
      <c r="A538" s="14" t="inlineStr">
        <is>
          <t>2026 P04</t>
        </is>
      </c>
      <c r="B538" s="15" t="n">
        <v>0.837508639892622</v>
      </c>
      <c r="C538" s="15" t="n">
        <v>0.6580799461326975</v>
      </c>
      <c r="D538" s="15" t="n">
        <v>0.1794286937599245</v>
      </c>
      <c r="E538" s="14" t="inlineStr">
        <is>
          <t>Кот и Пес</t>
        </is>
      </c>
      <c r="F538" s="16" t="n"/>
    </row>
    <row r="539">
      <c r="A539" s="14" t="inlineStr">
        <is>
          <t>2026 P03</t>
        </is>
      </c>
      <c r="B539" s="15" t="n">
        <v>0.9666259541436446</v>
      </c>
      <c r="C539" s="15" t="n">
        <v>0.6578801723068568</v>
      </c>
      <c r="D539" s="15" t="n">
        <v>0.3087457818367878</v>
      </c>
      <c r="E539" s="14" t="inlineStr">
        <is>
          <t>Спутник-Николаевский</t>
        </is>
      </c>
      <c r="F539" s="16" t="n"/>
    </row>
    <row r="540">
      <c r="A540" s="14" t="inlineStr">
        <is>
          <t>2026 P02</t>
        </is>
      </c>
      <c r="B540" s="15" t="n">
        <v>0.7958152205474014</v>
      </c>
      <c r="C540" s="15" t="n">
        <v>0.6577903494584252</v>
      </c>
      <c r="D540" s="15" t="n">
        <v>0.1380248710889762</v>
      </c>
      <c r="E540" s="14" t="inlineStr">
        <is>
          <t>Быстроном</t>
        </is>
      </c>
      <c r="F540" s="16" t="n"/>
    </row>
    <row r="541">
      <c r="A541" s="14" t="inlineStr">
        <is>
          <t>2026 P02</t>
        </is>
      </c>
      <c r="B541" s="15" t="n">
        <v>0.956413597991939</v>
      </c>
      <c r="C541" s="15" t="n">
        <v>0.6575412248268498</v>
      </c>
      <c r="D541" s="15" t="n">
        <v>0.2988723731650892</v>
      </c>
      <c r="E541" s="14" t="inlineStr">
        <is>
          <t>Гулливер</t>
        </is>
      </c>
      <c r="F541" s="16" t="n"/>
    </row>
    <row r="542">
      <c r="A542" s="14" t="inlineStr">
        <is>
          <t>2026 P01</t>
        </is>
      </c>
      <c r="B542" s="15" t="n">
        <v>0.7542501421848933</v>
      </c>
      <c r="C542" s="15" t="n">
        <v>0.6565691371550602</v>
      </c>
      <c r="D542" s="15" t="n">
        <v>0.09768100502983312</v>
      </c>
      <c r="E542" s="14" t="inlineStr">
        <is>
          <t>Титан</t>
        </is>
      </c>
      <c r="F542" s="16" t="n"/>
    </row>
    <row r="543">
      <c r="A543" s="14" t="inlineStr">
        <is>
          <t>2026 P01</t>
        </is>
      </c>
      <c r="B543" s="15" t="n">
        <v>0.7775492148109493</v>
      </c>
      <c r="C543" s="15" t="n">
        <v>0.6561011418660105</v>
      </c>
      <c r="D543" s="15" t="n">
        <v>0.1214480729449388</v>
      </c>
      <c r="E543" s="14" t="inlineStr">
        <is>
          <t>ИП Ястребков А.Н.</t>
        </is>
      </c>
      <c r="F543" s="16" t="n"/>
    </row>
    <row r="544">
      <c r="A544" s="14" t="inlineStr">
        <is>
          <t>2026 P05</t>
        </is>
      </c>
      <c r="B544" s="15" t="n">
        <v>0.8732718053306169</v>
      </c>
      <c r="C544" s="15" t="n">
        <v>0.655608364942821</v>
      </c>
      <c r="D544" s="15" t="n">
        <v>0.2176634403877958</v>
      </c>
      <c r="E544" s="14" t="inlineStr">
        <is>
          <t>Дружок</t>
        </is>
      </c>
      <c r="F544" s="16" t="n"/>
    </row>
    <row r="545">
      <c r="A545" s="14" t="inlineStr">
        <is>
          <t>2026 P08</t>
        </is>
      </c>
      <c r="B545" s="15" t="n">
        <v>0.8310205279836854</v>
      </c>
      <c r="C545" s="15" t="n">
        <v>0.6540417111727428</v>
      </c>
      <c r="D545" s="15" t="n">
        <v>0.1769788168109426</v>
      </c>
      <c r="E545" s="14" t="inlineStr">
        <is>
          <t>Европа</t>
        </is>
      </c>
      <c r="F545" s="16" t="n"/>
    </row>
    <row r="546">
      <c r="A546" s="14" t="inlineStr">
        <is>
          <t>2026 P01</t>
        </is>
      </c>
      <c r="B546" s="15" t="n">
        <v>0.8134254161028062</v>
      </c>
      <c r="C546" s="15" t="n">
        <v>0.6535498781877549</v>
      </c>
      <c r="D546" s="15" t="n">
        <v>0.1598755379150513</v>
      </c>
      <c r="E546" s="14" t="inlineStr">
        <is>
          <t>ЗооОптТорг</t>
        </is>
      </c>
      <c r="F546" s="16" t="n"/>
    </row>
    <row r="547">
      <c r="A547" s="14" t="inlineStr">
        <is>
          <t>2026 P04</t>
        </is>
      </c>
      <c r="B547" s="15" t="n">
        <v>0.7669472892298761</v>
      </c>
      <c r="C547" s="15" t="n">
        <v>0.6533490197515287</v>
      </c>
      <c r="D547" s="15" t="n">
        <v>0.1135982694783474</v>
      </c>
      <c r="E547" s="14" t="inlineStr">
        <is>
          <t>Семь+Я ООО</t>
        </is>
      </c>
      <c r="F547" s="16" t="n"/>
    </row>
    <row r="548">
      <c r="A548" s="14" t="inlineStr">
        <is>
          <t>2026 P06</t>
        </is>
      </c>
      <c r="B548" s="15" t="n">
        <v>0.9544485281981504</v>
      </c>
      <c r="C548" s="15" t="n">
        <v>0.6519823498429574</v>
      </c>
      <c r="D548" s="15" t="n">
        <v>0.302466178355193</v>
      </c>
      <c r="E548" s="14" t="inlineStr">
        <is>
          <t>Хороший (Командор)</t>
        </is>
      </c>
      <c r="F548" s="16" t="n"/>
    </row>
    <row r="549">
      <c r="A549" s="14" t="inlineStr">
        <is>
          <t>2026 P03</t>
        </is>
      </c>
      <c r="B549" s="15" t="n">
        <v>0.730782628853976</v>
      </c>
      <c r="C549" s="15" t="n">
        <v>0.65028692767615</v>
      </c>
      <c r="D549" s="15" t="n">
        <v>0.08049570117782601</v>
      </c>
      <c r="E549" s="14" t="inlineStr">
        <is>
          <t>Холлифуд</t>
        </is>
      </c>
      <c r="F549" s="16" t="n"/>
    </row>
    <row r="550">
      <c r="A550" s="14" t="inlineStr">
        <is>
          <t>2026 P06</t>
        </is>
      </c>
      <c r="B550" s="15" t="n">
        <v>0.8484744462987915</v>
      </c>
      <c r="C550" s="15" t="n">
        <v>0.6498105962267589</v>
      </c>
      <c r="D550" s="15" t="n">
        <v>0.1986638500720327</v>
      </c>
      <c r="E550" s="14" t="inlineStr">
        <is>
          <t>Николаевский</t>
        </is>
      </c>
      <c r="F550" s="16" t="n"/>
    </row>
    <row r="551">
      <c r="A551" s="14" t="inlineStr">
        <is>
          <t>2026 P05</t>
        </is>
      </c>
      <c r="B551" s="15" t="n">
        <v>0.9560972209993099</v>
      </c>
      <c r="C551" s="15" t="n">
        <v>0.6490835827210046</v>
      </c>
      <c r="D551" s="15" t="n">
        <v>0.3070136382783053</v>
      </c>
      <c r="E551" s="14" t="inlineStr">
        <is>
          <t>Спутник-Николаевский</t>
        </is>
      </c>
      <c r="F551" s="16" t="n"/>
    </row>
    <row r="552">
      <c r="A552" s="14" t="inlineStr">
        <is>
          <t>2026 P08</t>
        </is>
      </c>
      <c r="B552" s="15" t="n">
        <v>0.8337322833665054</v>
      </c>
      <c r="C552" s="15" t="n">
        <v>0.6487866261902556</v>
      </c>
      <c r="D552" s="15" t="n">
        <v>0.1849456571762498</v>
      </c>
      <c r="E552" s="14" t="inlineStr">
        <is>
          <t>Таубер</t>
        </is>
      </c>
      <c r="F552" s="16" t="n"/>
    </row>
    <row r="553">
      <c r="A553" s="14" t="inlineStr">
        <is>
          <t>2026 P07</t>
        </is>
      </c>
      <c r="B553" s="15" t="n">
        <v>0.7822788037449487</v>
      </c>
      <c r="C553" s="15" t="n">
        <v>0.6487076529358834</v>
      </c>
      <c r="D553" s="15" t="n">
        <v>0.1335711508090653</v>
      </c>
      <c r="E553" s="14" t="inlineStr">
        <is>
          <t>Семь+Я ООО</t>
        </is>
      </c>
      <c r="F553" s="16" t="n"/>
    </row>
    <row r="554">
      <c r="A554" s="14" t="inlineStr">
        <is>
          <t>2026 P01</t>
        </is>
      </c>
      <c r="B554" s="15" t="n">
        <v>0.9055390761389633</v>
      </c>
      <c r="C554" s="15" t="n">
        <v>0.6469375534713045</v>
      </c>
      <c r="D554" s="15" t="n">
        <v>0.2586015226676588</v>
      </c>
      <c r="E554" s="14" t="inlineStr">
        <is>
          <t>Близкий</t>
        </is>
      </c>
      <c r="F554" s="16" t="n"/>
    </row>
    <row r="555">
      <c r="A555" s="14" t="inlineStr">
        <is>
          <t>2026 P01</t>
        </is>
      </c>
      <c r="B555" s="15" t="n">
        <v>0.7763225570466931</v>
      </c>
      <c r="C555" s="15" t="n">
        <v>0.6464561863933179</v>
      </c>
      <c r="D555" s="15" t="n">
        <v>0.1298663706533751</v>
      </c>
      <c r="E555" s="14" t="inlineStr">
        <is>
          <t>Быстроном</t>
        </is>
      </c>
      <c r="F555" s="16" t="n"/>
    </row>
    <row r="556">
      <c r="A556" s="14" t="inlineStr">
        <is>
          <t>2026 P02</t>
        </is>
      </c>
      <c r="B556" s="15" t="n">
        <v>0.9378672427287967</v>
      </c>
      <c r="C556" s="15" t="n">
        <v>0.646085588632504</v>
      </c>
      <c r="D556" s="15" t="n">
        <v>0.2917816540962928</v>
      </c>
      <c r="E556" s="14" t="inlineStr">
        <is>
          <t>Заботливые цены</t>
        </is>
      </c>
      <c r="F556" s="16" t="n"/>
    </row>
    <row r="557">
      <c r="A557" s="14" t="inlineStr">
        <is>
          <t>2026 P01</t>
        </is>
      </c>
      <c r="B557" s="15" t="n">
        <v>0.8262122353693856</v>
      </c>
      <c r="C557" s="15" t="n">
        <v>0.6453540603730139</v>
      </c>
      <c r="D557" s="15" t="n">
        <v>0.1808581749963717</v>
      </c>
      <c r="E557" s="14" t="inlineStr">
        <is>
          <t>Магазинчик-Крым</t>
        </is>
      </c>
      <c r="F557" s="16" t="n"/>
    </row>
    <row r="558">
      <c r="A558" s="14" t="inlineStr">
        <is>
          <t>2026 P07</t>
        </is>
      </c>
      <c r="B558" s="15" t="n">
        <v>0.8366150945083869</v>
      </c>
      <c r="C558" s="15" t="n">
        <v>0.6440657793823338</v>
      </c>
      <c r="D558" s="15" t="n">
        <v>0.1925493151260531</v>
      </c>
      <c r="E558" s="14" t="inlineStr">
        <is>
          <t>Европа</t>
        </is>
      </c>
      <c r="F558" s="16" t="n"/>
    </row>
    <row r="559">
      <c r="A559" s="14" t="inlineStr">
        <is>
          <t>2026 P08</t>
        </is>
      </c>
      <c r="B559" s="15" t="n">
        <v>0.8028904881276457</v>
      </c>
      <c r="C559" s="15" t="n">
        <v>0.6439719392031154</v>
      </c>
      <c r="D559" s="15" t="n">
        <v>0.1589185489245304</v>
      </c>
      <c r="E559" s="14" t="inlineStr">
        <is>
          <t>Домашкино</t>
        </is>
      </c>
      <c r="F559" s="16" t="n"/>
    </row>
    <row r="560">
      <c r="A560" s="14" t="inlineStr">
        <is>
          <t>2026 P01</t>
        </is>
      </c>
      <c r="B560" s="15" t="n">
        <v>0.7776085301594954</v>
      </c>
      <c r="C560" s="15" t="n">
        <v>0.6439006999345888</v>
      </c>
      <c r="D560" s="15" t="n">
        <v>0.1337078302249066</v>
      </c>
      <c r="E560" s="14" t="inlineStr">
        <is>
          <t>Линия</t>
        </is>
      </c>
      <c r="F560" s="16" t="n"/>
    </row>
    <row r="561">
      <c r="A561" s="14" t="inlineStr">
        <is>
          <t>2026 P02</t>
        </is>
      </c>
      <c r="B561" s="15" t="n">
        <v>0.8238171204855258</v>
      </c>
      <c r="C561" s="15" t="n">
        <v>0.6431314757770425</v>
      </c>
      <c r="D561" s="15" t="n">
        <v>0.1806856447084833</v>
      </c>
      <c r="E561" s="14" t="inlineStr">
        <is>
          <t>Дикси</t>
        </is>
      </c>
      <c r="F561" s="16" t="n"/>
    </row>
    <row r="562">
      <c r="A562" s="14" t="inlineStr">
        <is>
          <t>2026 P04</t>
        </is>
      </c>
      <c r="B562" s="15" t="n">
        <v>0.8410713119275632</v>
      </c>
      <c r="C562" s="15" t="n">
        <v>0.6426611474621627</v>
      </c>
      <c r="D562" s="15" t="n">
        <v>0.1984101644654005</v>
      </c>
      <c r="E562" s="14" t="inlineStr">
        <is>
          <t>Николаевский</t>
        </is>
      </c>
      <c r="F562" s="16" t="n"/>
    </row>
    <row r="563">
      <c r="A563" s="14" t="inlineStr">
        <is>
          <t>2026 P06</t>
        </is>
      </c>
      <c r="B563" s="15" t="n">
        <v>0.9668908711004766</v>
      </c>
      <c r="C563" s="15" t="n">
        <v>0.6426543807493338</v>
      </c>
      <c r="D563" s="15" t="n">
        <v>0.3242364903511428</v>
      </c>
      <c r="E563" s="14" t="inlineStr">
        <is>
          <t>Гулливер</t>
        </is>
      </c>
      <c r="F563" s="16" t="n"/>
    </row>
    <row r="564">
      <c r="A564" s="14" t="inlineStr">
        <is>
          <t>2026 P07</t>
        </is>
      </c>
      <c r="B564" s="15" t="n">
        <v>0.8003080349323152</v>
      </c>
      <c r="C564" s="15" t="n">
        <v>0.6424138258734795</v>
      </c>
      <c r="D564" s="15" t="n">
        <v>0.1578942090588357</v>
      </c>
      <c r="E564" s="14" t="inlineStr">
        <is>
          <t>Брезгина К.А.</t>
        </is>
      </c>
      <c r="F564" s="16" t="n"/>
    </row>
    <row r="565">
      <c r="A565" s="14" t="inlineStr">
        <is>
          <t>2026 P05</t>
        </is>
      </c>
      <c r="B565" s="15" t="n">
        <v>0.9658894745400058</v>
      </c>
      <c r="C565" s="15" t="n">
        <v>0.6419616362432695</v>
      </c>
      <c r="D565" s="15" t="n">
        <v>0.3239278382967363</v>
      </c>
      <c r="E565" s="14" t="inlineStr">
        <is>
          <t>Метро</t>
        </is>
      </c>
      <c r="F565" s="16" t="n"/>
    </row>
    <row r="566">
      <c r="A566" s="14" t="inlineStr">
        <is>
          <t>2026 P03</t>
        </is>
      </c>
      <c r="B566" s="15" t="n">
        <v>0.6981859048566958</v>
      </c>
      <c r="C566" s="15" t="n">
        <v>0.6415821302573516</v>
      </c>
      <c r="D566" s="15" t="n">
        <v>0.05660377459934429</v>
      </c>
      <c r="E566" s="14" t="inlineStr">
        <is>
          <t>Любимчик 2.0</t>
        </is>
      </c>
      <c r="F566" s="16" t="n"/>
    </row>
    <row r="567">
      <c r="A567" s="14" t="inlineStr">
        <is>
          <t>2026 P07</t>
        </is>
      </c>
      <c r="B567" s="15" t="n">
        <v>0.7948925264043922</v>
      </c>
      <c r="C567" s="15" t="n">
        <v>0.6401516790027769</v>
      </c>
      <c r="D567" s="15" t="n">
        <v>0.1547408474016153</v>
      </c>
      <c r="E567" s="14" t="inlineStr">
        <is>
          <t>Таубер</t>
        </is>
      </c>
      <c r="F567" s="16" t="n"/>
    </row>
    <row r="568">
      <c r="A568" s="14" t="inlineStr">
        <is>
          <t>2026 P04</t>
        </is>
      </c>
      <c r="B568" s="15" t="n">
        <v>0.9771396983164193</v>
      </c>
      <c r="C568" s="15" t="n">
        <v>0.63995933239721</v>
      </c>
      <c r="D568" s="15" t="n">
        <v>0.3371803659192093</v>
      </c>
      <c r="E568" s="14" t="inlineStr">
        <is>
          <t>Спутник-Николаевский</t>
        </is>
      </c>
      <c r="F568" s="16" t="n"/>
    </row>
    <row r="569">
      <c r="A569" s="14" t="inlineStr">
        <is>
          <t>2026 P03</t>
        </is>
      </c>
      <c r="B569" s="15" t="n">
        <v>0.82339500707849</v>
      </c>
      <c r="C569" s="15" t="n">
        <v>0.6398320883346004</v>
      </c>
      <c r="D569" s="15" t="n">
        <v>0.1835629187438896</v>
      </c>
      <c r="E569" s="14" t="inlineStr">
        <is>
          <t>Хороший ВЛ</t>
        </is>
      </c>
      <c r="F569" s="16" t="n"/>
    </row>
    <row r="570">
      <c r="A570" s="14" t="inlineStr">
        <is>
          <t>2026 P05</t>
        </is>
      </c>
      <c r="B570" s="15" t="n">
        <v>0.7757062313355371</v>
      </c>
      <c r="C570" s="15" t="n">
        <v>0.6392284656663032</v>
      </c>
      <c r="D570" s="15" t="n">
        <v>0.1364777656692339</v>
      </c>
      <c r="E570" s="14" t="inlineStr">
        <is>
          <t>Домашкино</t>
        </is>
      </c>
      <c r="F570" s="16" t="n"/>
    </row>
    <row r="571">
      <c r="A571" s="14" t="inlineStr">
        <is>
          <t>2026 P07</t>
        </is>
      </c>
      <c r="B571" s="15" t="n">
        <v>0.9648283095914625</v>
      </c>
      <c r="C571" s="15" t="n">
        <v>0.6390000750494863</v>
      </c>
      <c r="D571" s="15" t="n">
        <v>0.3258282345419762</v>
      </c>
      <c r="E571" s="14" t="inlineStr">
        <is>
          <t>Гулливер</t>
        </is>
      </c>
      <c r="F571" s="16" t="n"/>
    </row>
    <row r="572">
      <c r="A572" s="14" t="inlineStr">
        <is>
          <t>2026 P03</t>
        </is>
      </c>
      <c r="B572" s="15" t="n">
        <v>0.7126845820718681</v>
      </c>
      <c r="C572" s="15" t="n">
        <v>0.6378978167803849</v>
      </c>
      <c r="D572" s="15" t="n">
        <v>0.0747867652914832</v>
      </c>
      <c r="E572" s="14" t="inlineStr">
        <is>
          <t>Магнолия</t>
        </is>
      </c>
      <c r="F572" s="16" t="n"/>
    </row>
    <row r="573">
      <c r="A573" s="14" t="inlineStr">
        <is>
          <t>2026 P03</t>
        </is>
      </c>
      <c r="B573" s="15" t="n">
        <v>0.9855223234727304</v>
      </c>
      <c r="C573" s="15" t="n">
        <v>0.6376267917614018</v>
      </c>
      <c r="D573" s="15" t="n">
        <v>0.3478955317113286</v>
      </c>
      <c r="E573" s="14" t="inlineStr">
        <is>
          <t>Заботливые цены</t>
        </is>
      </c>
      <c r="F573" s="16" t="n"/>
    </row>
    <row r="574">
      <c r="A574" s="14" t="inlineStr">
        <is>
          <t>2026 P03</t>
        </is>
      </c>
      <c r="B574" s="15" t="n">
        <v>0.7199094390535447</v>
      </c>
      <c r="C574" s="15" t="n">
        <v>0.637311182764239</v>
      </c>
      <c r="D574" s="15" t="n">
        <v>0.08259825628930562</v>
      </c>
      <c r="E574" s="14" t="inlineStr">
        <is>
          <t>Миндаль</t>
        </is>
      </c>
      <c r="F574" s="16" t="n"/>
    </row>
    <row r="575">
      <c r="A575" s="14" t="inlineStr">
        <is>
          <t>2026 P01</t>
        </is>
      </c>
      <c r="B575" s="15" t="n">
        <v>0.8230585630967077</v>
      </c>
      <c r="C575" s="15" t="n">
        <v>0.6372838586142513</v>
      </c>
      <c r="D575" s="15" t="n">
        <v>0.1857747044824564</v>
      </c>
      <c r="E575" s="14" t="inlineStr">
        <is>
          <t>Лента SM</t>
        </is>
      </c>
      <c r="F575" s="16" t="n"/>
    </row>
    <row r="576">
      <c r="A576" s="14" t="inlineStr">
        <is>
          <t>2026 P04</t>
        </is>
      </c>
      <c r="B576" s="15" t="n">
        <v>0.7942734646293911</v>
      </c>
      <c r="C576" s="15" t="n">
        <v>0.6370189756708347</v>
      </c>
      <c r="D576" s="15" t="n">
        <v>0.1572544889585564</v>
      </c>
      <c r="E576" s="14" t="inlineStr">
        <is>
          <t>Домашкино</t>
        </is>
      </c>
      <c r="F576" s="16" t="n"/>
    </row>
    <row r="577">
      <c r="A577" s="14" t="inlineStr">
        <is>
          <t>2026 P06</t>
        </is>
      </c>
      <c r="B577" s="15" t="n">
        <v>0.7871749502262203</v>
      </c>
      <c r="C577" s="15" t="n">
        <v>0.6366649523902951</v>
      </c>
      <c r="D577" s="15" t="n">
        <v>0.1505099978359252</v>
      </c>
      <c r="E577" s="14" t="inlineStr">
        <is>
          <t>Европа</t>
        </is>
      </c>
      <c r="F577" s="16" t="n"/>
    </row>
    <row r="578">
      <c r="A578" s="14" t="inlineStr">
        <is>
          <t>2026 P08</t>
        </is>
      </c>
      <c r="B578" s="15" t="n">
        <v>0.8605684012875258</v>
      </c>
      <c r="C578" s="15" t="n">
        <v>0.6357540514044845</v>
      </c>
      <c r="D578" s="15" t="n">
        <v>0.2248143498830413</v>
      </c>
      <c r="E578" s="14" t="inlineStr">
        <is>
          <t>Кэш&amp;Керри</t>
        </is>
      </c>
      <c r="F578" s="16" t="n"/>
    </row>
    <row r="579">
      <c r="A579" s="14" t="inlineStr">
        <is>
          <t>2026 P06</t>
        </is>
      </c>
      <c r="B579" s="15" t="n">
        <v>0.7918566563010986</v>
      </c>
      <c r="C579" s="15" t="n">
        <v>0.6349249478070618</v>
      </c>
      <c r="D579" s="15" t="n">
        <v>0.1569317084940368</v>
      </c>
      <c r="E579" s="14" t="inlineStr">
        <is>
          <t>Домашкино</t>
        </is>
      </c>
      <c r="F579" s="16" t="n"/>
    </row>
    <row r="580">
      <c r="A580" s="14" t="inlineStr">
        <is>
          <t>2026 P02</t>
        </is>
      </c>
      <c r="B580" s="15" t="n">
        <v>0.7680067422388467</v>
      </c>
      <c r="C580" s="15" t="n">
        <v>0.6342940553085186</v>
      </c>
      <c r="D580" s="15" t="n">
        <v>0.1337126869303281</v>
      </c>
      <c r="E580" s="14" t="inlineStr">
        <is>
          <t>Везунчик</t>
        </is>
      </c>
      <c r="F580" s="16" t="n"/>
    </row>
    <row r="581">
      <c r="A581" s="14" t="inlineStr">
        <is>
          <t>2026 P04</t>
        </is>
      </c>
      <c r="B581" s="15" t="n">
        <v>0.8494598274943952</v>
      </c>
      <c r="C581" s="15" t="n">
        <v>0.6338809835573388</v>
      </c>
      <c r="D581" s="15" t="n">
        <v>0.2155788439370564</v>
      </c>
      <c r="E581" s="14" t="inlineStr">
        <is>
          <t>Хороший ВЛ</t>
        </is>
      </c>
      <c r="F581" s="16" t="n"/>
    </row>
    <row r="582">
      <c r="A582" s="14" t="inlineStr">
        <is>
          <t>2026 P08</t>
        </is>
      </c>
      <c r="B582" s="15" t="n">
        <v>0.8800813769011905</v>
      </c>
      <c r="C582" s="15" t="n">
        <v>0.6338406686450706</v>
      </c>
      <c r="D582" s="15" t="n">
        <v>0.2462407082561199</v>
      </c>
      <c r="E582" s="14" t="inlineStr">
        <is>
          <t>Сибагро</t>
        </is>
      </c>
      <c r="F582" s="16" t="n"/>
    </row>
    <row r="583">
      <c r="A583" s="14" t="inlineStr">
        <is>
          <t>2026 P01</t>
        </is>
      </c>
      <c r="B583" s="15" t="n">
        <v>0.9026975037766312</v>
      </c>
      <c r="C583" s="15" t="n">
        <v>0.6337284257154085</v>
      </c>
      <c r="D583" s="15" t="n">
        <v>0.2689690780612226</v>
      </c>
      <c r="E583" s="14" t="inlineStr">
        <is>
          <t>Заботливые цены</t>
        </is>
      </c>
      <c r="F583" s="16" t="n"/>
    </row>
    <row r="584">
      <c r="A584" s="14" t="inlineStr">
        <is>
          <t>2026 P05</t>
        </is>
      </c>
      <c r="B584" s="15" t="n">
        <v>0.7473455242668262</v>
      </c>
      <c r="C584" s="15" t="n">
        <v>0.6334400532766211</v>
      </c>
      <c r="D584" s="15" t="n">
        <v>0.1139054709902051</v>
      </c>
      <c r="E584" s="14" t="inlineStr">
        <is>
          <t>Любимчик 2.0</t>
        </is>
      </c>
      <c r="F584" s="16" t="n"/>
    </row>
    <row r="585">
      <c r="A585" s="14" t="inlineStr">
        <is>
          <t>2026 P08</t>
        </is>
      </c>
      <c r="B585" s="15" t="n">
        <v>0.8134358096860903</v>
      </c>
      <c r="C585" s="15" t="n">
        <v>0.6333758919971951</v>
      </c>
      <c r="D585" s="15" t="n">
        <v>0.1800599176888952</v>
      </c>
      <c r="E585" s="14" t="inlineStr">
        <is>
          <t>Магазинчик-Крым</t>
        </is>
      </c>
      <c r="F585" s="16" t="n"/>
    </row>
    <row r="586">
      <c r="A586" s="14" t="inlineStr">
        <is>
          <t>2026 P06</t>
        </is>
      </c>
      <c r="B586" s="15" t="n">
        <v>0.8691352600242179</v>
      </c>
      <c r="C586" s="15" t="n">
        <v>0.6323793413912269</v>
      </c>
      <c r="D586" s="15" t="n">
        <v>0.2367559186329911</v>
      </c>
      <c r="E586" s="14" t="inlineStr">
        <is>
          <t>Дружок</t>
        </is>
      </c>
      <c r="F586" s="16" t="n"/>
    </row>
    <row r="587">
      <c r="A587" s="14" t="inlineStr">
        <is>
          <t>2026 P02</t>
        </is>
      </c>
      <c r="B587" s="15" t="n">
        <v>0.8496132493216755</v>
      </c>
      <c r="C587" s="15" t="n">
        <v>0.6319256200651051</v>
      </c>
      <c r="D587" s="15" t="n">
        <v>0.2176876292565704</v>
      </c>
      <c r="E587" s="14" t="inlineStr">
        <is>
          <t>ТД "Милый дом"</t>
        </is>
      </c>
      <c r="F587" s="16" t="n"/>
    </row>
    <row r="588">
      <c r="A588" s="14" t="inlineStr">
        <is>
          <t>2026 P06</t>
        </is>
      </c>
      <c r="B588" s="15" t="n">
        <v>0.8751004607080255</v>
      </c>
      <c r="C588" s="15" t="n">
        <v>0.6315564776092031</v>
      </c>
      <c r="D588" s="15" t="n">
        <v>0.2435439830988224</v>
      </c>
      <c r="E588" s="14" t="inlineStr">
        <is>
          <t>ТД "Милый дом"</t>
        </is>
      </c>
      <c r="F588" s="16" t="n"/>
    </row>
    <row r="589">
      <c r="A589" s="14" t="inlineStr">
        <is>
          <t>2026 P01</t>
        </is>
      </c>
      <c r="B589" s="15" t="n">
        <v>0.7401219262145861</v>
      </c>
      <c r="C589" s="15" t="n">
        <v>0.6315259192765327</v>
      </c>
      <c r="D589" s="15" t="n">
        <v>0.1085960069380534</v>
      </c>
      <c r="E589" s="14" t="inlineStr">
        <is>
          <t>Семь+Я ООО</t>
        </is>
      </c>
      <c r="F589" s="16" t="n"/>
    </row>
    <row r="590">
      <c r="A590" s="14" t="inlineStr">
        <is>
          <t>2026 P07</t>
        </is>
      </c>
      <c r="B590" s="15" t="n">
        <v>0.7872614796090517</v>
      </c>
      <c r="C590" s="15" t="n">
        <v>0.6293243332129987</v>
      </c>
      <c r="D590" s="15" t="n">
        <v>0.1579371463960529</v>
      </c>
      <c r="E590" s="14" t="inlineStr">
        <is>
          <t>ЗооОптТорг</t>
        </is>
      </c>
      <c r="F590" s="16" t="n"/>
    </row>
    <row r="591">
      <c r="A591" s="14" t="inlineStr">
        <is>
          <t>2026 P03</t>
        </is>
      </c>
      <c r="B591" s="15" t="n">
        <v>0.7870923915304852</v>
      </c>
      <c r="C591" s="15" t="n">
        <v>0.6280917323677772</v>
      </c>
      <c r="D591" s="15" t="n">
        <v>0.159000659162708</v>
      </c>
      <c r="E591" s="14" t="inlineStr">
        <is>
          <t>Домашкино</t>
        </is>
      </c>
      <c r="F591" s="16" t="n"/>
    </row>
    <row r="592">
      <c r="A592" s="14" t="inlineStr">
        <is>
          <t>2026 P05</t>
        </is>
      </c>
      <c r="B592" s="15" t="n">
        <v>0.665494478768045</v>
      </c>
      <c r="C592" s="15" t="n">
        <v>0.6271310281445099</v>
      </c>
      <c r="D592" s="15" t="n">
        <v>0.03836345062353508</v>
      </c>
      <c r="E592" s="14" t="inlineStr">
        <is>
          <t>Холлифуд</t>
        </is>
      </c>
      <c r="F592" s="16" t="n"/>
    </row>
    <row r="593">
      <c r="A593" s="14" t="inlineStr">
        <is>
          <t>2026 P03</t>
        </is>
      </c>
      <c r="B593" s="15" t="n">
        <v>0.853237040975709</v>
      </c>
      <c r="C593" s="15" t="n">
        <v>0.6259577565883274</v>
      </c>
      <c r="D593" s="15" t="n">
        <v>0.2272792843873815</v>
      </c>
      <c r="E593" s="14" t="inlineStr">
        <is>
          <t>Николаевский</t>
        </is>
      </c>
      <c r="F593" s="16" t="n"/>
    </row>
    <row r="594">
      <c r="A594" s="14" t="inlineStr">
        <is>
          <t>2026 P04</t>
        </is>
      </c>
      <c r="B594" s="15" t="n">
        <v>0.8390576460745095</v>
      </c>
      <c r="C594" s="15" t="n">
        <v>0.6247893596364089</v>
      </c>
      <c r="D594" s="15" t="n">
        <v>0.2142682864381006</v>
      </c>
      <c r="E594" s="14" t="inlineStr">
        <is>
          <t>ТД "Милый дом"</t>
        </is>
      </c>
      <c r="F594" s="16" t="n"/>
    </row>
    <row r="595">
      <c r="A595" s="14" t="inlineStr">
        <is>
          <t>2026 P05</t>
        </is>
      </c>
      <c r="B595" s="15" t="n">
        <v>0.838818292273413</v>
      </c>
      <c r="C595" s="15" t="n">
        <v>0.6247824349372691</v>
      </c>
      <c r="D595" s="15" t="n">
        <v>0.2140358573361438</v>
      </c>
      <c r="E595" s="14" t="inlineStr">
        <is>
          <t>Николаевский</t>
        </is>
      </c>
      <c r="F595" s="16" t="n"/>
    </row>
    <row r="596">
      <c r="A596" s="14" t="inlineStr">
        <is>
          <t>2026 P07</t>
        </is>
      </c>
      <c r="B596" s="15" t="n">
        <v>0.9945645924442934</v>
      </c>
      <c r="C596" s="15" t="n">
        <v>0.6207396504628144</v>
      </c>
      <c r="D596" s="15" t="n">
        <v>0.373824941981479</v>
      </c>
      <c r="E596" s="14" t="inlineStr">
        <is>
          <t>Заботливые цены</t>
        </is>
      </c>
      <c r="F596" s="16" t="n"/>
    </row>
    <row r="597">
      <c r="A597" s="14" t="inlineStr">
        <is>
          <t>2026 P01</t>
        </is>
      </c>
      <c r="B597" s="15" t="n">
        <v>0.7255439641133186</v>
      </c>
      <c r="C597" s="15" t="n">
        <v>0.6194174580858574</v>
      </c>
      <c r="D597" s="15" t="n">
        <v>0.1061265060274612</v>
      </c>
      <c r="E597" s="14" t="inlineStr">
        <is>
          <t>Миндаль</t>
        </is>
      </c>
      <c r="F597" s="16" t="n"/>
    </row>
    <row r="598">
      <c r="A598" s="14" t="inlineStr">
        <is>
          <t>2026 P07</t>
        </is>
      </c>
      <c r="B598" s="15" t="n">
        <v>0.937631393863795</v>
      </c>
      <c r="C598" s="15" t="n">
        <v>0.6188237772010495</v>
      </c>
      <c r="D598" s="15" t="n">
        <v>0.3188076166627455</v>
      </c>
      <c r="E598" s="14" t="inlineStr">
        <is>
          <t>Хороший (Командор)</t>
        </is>
      </c>
      <c r="F598" s="16" t="n"/>
    </row>
    <row r="599">
      <c r="A599" s="14" t="inlineStr">
        <is>
          <t>2026 P01</t>
        </is>
      </c>
      <c r="B599" s="15" t="n">
        <v>0.8903453412593344</v>
      </c>
      <c r="C599" s="15" t="n">
        <v>0.618598463962734</v>
      </c>
      <c r="D599" s="15" t="n">
        <v>0.2717468772966004</v>
      </c>
      <c r="E599" s="14" t="inlineStr">
        <is>
          <t>Яблоко</t>
        </is>
      </c>
      <c r="F599" s="16" t="n"/>
    </row>
    <row r="600">
      <c r="A600" s="14" t="inlineStr">
        <is>
          <t>2026 P02</t>
        </is>
      </c>
      <c r="B600" s="15" t="n">
        <v>0.7781484746627133</v>
      </c>
      <c r="C600" s="15" t="n">
        <v>0.6183391924559112</v>
      </c>
      <c r="D600" s="15" t="n">
        <v>0.1598092822068021</v>
      </c>
      <c r="E600" s="14" t="inlineStr">
        <is>
          <t>Магазинчик-Крым</t>
        </is>
      </c>
      <c r="F600" s="16" t="n"/>
    </row>
    <row r="601">
      <c r="A601" s="14" t="inlineStr">
        <is>
          <t>2026 P07</t>
        </is>
      </c>
      <c r="B601" s="15" t="n">
        <v>0.8446061245089139</v>
      </c>
      <c r="C601" s="15" t="n">
        <v>0.6173868611199569</v>
      </c>
      <c r="D601" s="15" t="n">
        <v>0.227219263388957</v>
      </c>
      <c r="E601" s="14" t="inlineStr">
        <is>
          <t>Шамса-Маркет</t>
        </is>
      </c>
      <c r="F601" s="16" t="n"/>
    </row>
    <row r="602">
      <c r="A602" s="14" t="inlineStr">
        <is>
          <t>2026 P04</t>
        </is>
      </c>
      <c r="B602" s="15" t="n">
        <v>0.8624241624623549</v>
      </c>
      <c r="C602" s="15" t="n">
        <v>0.614780586684578</v>
      </c>
      <c r="D602" s="15" t="n">
        <v>0.2476435757777768</v>
      </c>
      <c r="E602" s="14" t="inlineStr">
        <is>
          <t>ИП Ястребков А.Н.</t>
        </is>
      </c>
      <c r="F602" s="16" t="n"/>
    </row>
    <row r="603">
      <c r="A603" s="14" t="inlineStr">
        <is>
          <t>2026 P04</t>
        </is>
      </c>
      <c r="B603" s="15" t="n">
        <v>0.9626085150903879</v>
      </c>
      <c r="C603" s="15" t="n">
        <v>0.6138061359599372</v>
      </c>
      <c r="D603" s="15" t="n">
        <v>0.3488023791304508</v>
      </c>
      <c r="E603" s="14" t="inlineStr">
        <is>
          <t>Метро</t>
        </is>
      </c>
      <c r="F603" s="16" t="n"/>
    </row>
    <row r="604">
      <c r="A604" s="14" t="inlineStr">
        <is>
          <t>2026 P06</t>
        </is>
      </c>
      <c r="B604" s="15" t="n">
        <v>0.7432719327864087</v>
      </c>
      <c r="C604" s="15" t="n">
        <v>0.6135629521149173</v>
      </c>
      <c r="D604" s="15" t="n">
        <v>0.1297089806714914</v>
      </c>
      <c r="E604" s="14" t="inlineStr">
        <is>
          <t>Таубер</t>
        </is>
      </c>
      <c r="F604" s="16" t="n"/>
    </row>
    <row r="605">
      <c r="A605" s="14" t="inlineStr">
        <is>
          <t>2026 P03</t>
        </is>
      </c>
      <c r="B605" s="15" t="n">
        <v>0.7837704960828999</v>
      </c>
      <c r="C605" s="15" t="n">
        <v>0.6135467314314819</v>
      </c>
      <c r="D605" s="15" t="n">
        <v>0.1702237646514181</v>
      </c>
      <c r="E605" s="14" t="inlineStr">
        <is>
          <t>Заповедник</t>
        </is>
      </c>
      <c r="F605" s="16" t="n"/>
    </row>
    <row r="606">
      <c r="A606" s="14" t="inlineStr">
        <is>
          <t>2026 P02</t>
        </is>
      </c>
      <c r="B606" s="15" t="n">
        <v>0.6841716944562762</v>
      </c>
      <c r="C606" s="15" t="n">
        <v>0.613314923606385</v>
      </c>
      <c r="D606" s="15" t="n">
        <v>0.07085677084989128</v>
      </c>
      <c r="E606" s="14" t="inlineStr">
        <is>
          <t>Миндаль</t>
        </is>
      </c>
      <c r="F606" s="16" t="n"/>
    </row>
    <row r="607">
      <c r="A607" s="14" t="inlineStr">
        <is>
          <t>2026 P08</t>
        </is>
      </c>
      <c r="B607" s="15" t="n">
        <v>0.9250669988005579</v>
      </c>
      <c r="C607" s="15" t="n">
        <v>0.6132181710721326</v>
      </c>
      <c r="D607" s="15" t="n">
        <v>0.3118488277284253</v>
      </c>
      <c r="E607" s="14" t="inlineStr">
        <is>
          <t>Хороший (Командор)</t>
        </is>
      </c>
      <c r="F607" s="16" t="n"/>
    </row>
    <row r="608">
      <c r="A608" s="14" t="inlineStr">
        <is>
          <t>2026 P06</t>
        </is>
      </c>
      <c r="B608" s="15" t="n">
        <v>0.7599596888763415</v>
      </c>
      <c r="C608" s="15" t="n">
        <v>0.6132061977058321</v>
      </c>
      <c r="D608" s="15" t="n">
        <v>0.1467534911705094</v>
      </c>
      <c r="E608" s="14" t="inlineStr">
        <is>
          <t>Любимчик 2.0</t>
        </is>
      </c>
      <c r="F608" s="16" t="n"/>
    </row>
    <row r="609">
      <c r="A609" s="14" t="inlineStr">
        <is>
          <t>2026 P04</t>
        </is>
      </c>
      <c r="B609" s="15" t="n">
        <v>0.7706947712550094</v>
      </c>
      <c r="C609" s="15" t="n">
        <v>0.6129780377774221</v>
      </c>
      <c r="D609" s="15" t="n">
        <v>0.1577167334775873</v>
      </c>
      <c r="E609" s="14" t="inlineStr">
        <is>
          <t>Сибагро</t>
        </is>
      </c>
      <c r="F609" s="16" t="n"/>
    </row>
    <row r="610">
      <c r="A610" s="14" t="inlineStr">
        <is>
          <t>2026 P04</t>
        </is>
      </c>
      <c r="B610" s="15" t="n">
        <v>0.7136859354693161</v>
      </c>
      <c r="C610" s="15" t="n">
        <v>0.612379590258446</v>
      </c>
      <c r="D610" s="15" t="n">
        <v>0.1013063452108701</v>
      </c>
      <c r="E610" s="14" t="inlineStr">
        <is>
          <t>Любимчик 2.0</t>
        </is>
      </c>
      <c r="F610" s="16" t="n"/>
    </row>
    <row r="611">
      <c r="A611" s="14" t="inlineStr">
        <is>
          <t>2026 P03</t>
        </is>
      </c>
      <c r="B611" s="15" t="n">
        <v>0.9132464736162091</v>
      </c>
      <c r="C611" s="15" t="n">
        <v>0.6097903217212103</v>
      </c>
      <c r="D611" s="15" t="n">
        <v>0.3034561518949989</v>
      </c>
      <c r="E611" s="14" t="inlineStr">
        <is>
          <t>Гулливер</t>
        </is>
      </c>
      <c r="F611" s="16" t="n"/>
    </row>
    <row r="612">
      <c r="A612" s="14" t="inlineStr">
        <is>
          <t>2026 P04</t>
        </is>
      </c>
      <c r="B612" s="15" t="n">
        <v>0.956534954339652</v>
      </c>
      <c r="C612" s="15" t="n">
        <v>0.6095666049741616</v>
      </c>
      <c r="D612" s="15" t="n">
        <v>0.3469683493654904</v>
      </c>
      <c r="E612" s="14" t="inlineStr">
        <is>
          <t>Зооветсервис ООО</t>
        </is>
      </c>
      <c r="F612" s="16" t="n"/>
    </row>
    <row r="613">
      <c r="A613" s="14" t="inlineStr">
        <is>
          <t>2026 P03</t>
        </is>
      </c>
      <c r="B613" s="15" t="n">
        <v>0.844064654458635</v>
      </c>
      <c r="C613" s="15" t="n">
        <v>0.6093171193909009</v>
      </c>
      <c r="D613" s="15" t="n">
        <v>0.234747535067734</v>
      </c>
      <c r="E613" s="14" t="inlineStr">
        <is>
          <t>ЗООДИСКОНТ</t>
        </is>
      </c>
      <c r="F613" s="16" t="n"/>
    </row>
    <row r="614">
      <c r="A614" s="14" t="inlineStr">
        <is>
          <t>2026 P06</t>
        </is>
      </c>
      <c r="B614" s="15" t="n">
        <v>0.950202744267053</v>
      </c>
      <c r="C614" s="15" t="n">
        <v>0.6072166859403659</v>
      </c>
      <c r="D614" s="15" t="n">
        <v>0.342986058326687</v>
      </c>
      <c r="E614" s="14" t="inlineStr">
        <is>
          <t>Малашинская</t>
        </is>
      </c>
      <c r="F614" s="16" t="n"/>
    </row>
    <row r="615">
      <c r="A615" s="14" t="inlineStr">
        <is>
          <t>2026 P03</t>
        </is>
      </c>
      <c r="B615" s="15" t="n">
        <v>0.957358399394134</v>
      </c>
      <c r="C615" s="15" t="n">
        <v>0.606388570483622</v>
      </c>
      <c r="D615" s="15" t="n">
        <v>0.350969828910512</v>
      </c>
      <c r="E615" s="14" t="inlineStr">
        <is>
          <t>Метро</t>
        </is>
      </c>
      <c r="F615" s="16" t="n"/>
    </row>
    <row r="616">
      <c r="A616" s="14" t="inlineStr">
        <is>
          <t>2026 P02</t>
        </is>
      </c>
      <c r="B616" s="15" t="n">
        <v>0.7079473477508385</v>
      </c>
      <c r="C616" s="15" t="n">
        <v>0.6054870306090328</v>
      </c>
      <c r="D616" s="15" t="n">
        <v>0.1024603171418057</v>
      </c>
      <c r="E616" s="14" t="inlineStr">
        <is>
          <t>Холлифуд</t>
        </is>
      </c>
      <c r="F616" s="16" t="n"/>
    </row>
    <row r="617">
      <c r="A617" s="14" t="inlineStr">
        <is>
          <t>2026 P08</t>
        </is>
      </c>
      <c r="B617" s="15" t="n">
        <v>0.9809211860344292</v>
      </c>
      <c r="C617" s="15" t="n">
        <v>0.6049863495267215</v>
      </c>
      <c r="D617" s="15" t="n">
        <v>0.3759348365077078</v>
      </c>
      <c r="E617" s="14" t="inlineStr">
        <is>
          <t>Спутник-Николаевский</t>
        </is>
      </c>
      <c r="F617" s="16" t="n"/>
    </row>
    <row r="618">
      <c r="A618" s="14" t="inlineStr">
        <is>
          <t>2026 P06</t>
        </is>
      </c>
      <c r="B618" s="15" t="n">
        <v>0.8229429648558537</v>
      </c>
      <c r="C618" s="15" t="n">
        <v>0.6048769519933815</v>
      </c>
      <c r="D618" s="15" t="n">
        <v>0.2180660128624722</v>
      </c>
      <c r="E618" s="14" t="inlineStr">
        <is>
          <t>Сибагро</t>
        </is>
      </c>
      <c r="F618" s="16" t="n"/>
    </row>
    <row r="619">
      <c r="A619" s="14" t="inlineStr">
        <is>
          <t>2026 P01</t>
        </is>
      </c>
      <c r="B619" s="15" t="n">
        <v>0.8390924596026896</v>
      </c>
      <c r="C619" s="15" t="n">
        <v>0.6042541607826485</v>
      </c>
      <c r="D619" s="15" t="n">
        <v>0.2348382988200411</v>
      </c>
      <c r="E619" s="14" t="inlineStr">
        <is>
          <t>ТД "Милый дом"</t>
        </is>
      </c>
      <c r="F619" s="16" t="n"/>
    </row>
    <row r="620">
      <c r="A620" s="14" t="inlineStr">
        <is>
          <t>2026 P01</t>
        </is>
      </c>
      <c r="B620" s="15" t="n">
        <v>0.7295611642942968</v>
      </c>
      <c r="C620" s="15" t="n">
        <v>0.6036917688365343</v>
      </c>
      <c r="D620" s="15" t="n">
        <v>0.1258693954577625</v>
      </c>
      <c r="E620" s="14" t="inlineStr">
        <is>
          <t>Байрам</t>
        </is>
      </c>
      <c r="F620" s="16" t="n"/>
    </row>
    <row r="621">
      <c r="A621" s="14" t="inlineStr">
        <is>
          <t>2026 P08</t>
        </is>
      </c>
      <c r="B621" s="15" t="n">
        <v>0.8429648169895388</v>
      </c>
      <c r="C621" s="15" t="n">
        <v>0.6034627222498037</v>
      </c>
      <c r="D621" s="15" t="n">
        <v>0.2395020947397352</v>
      </c>
      <c r="E621" s="14" t="inlineStr">
        <is>
          <t>ТД "Милый дом"</t>
        </is>
      </c>
      <c r="F621" s="16" t="n"/>
    </row>
    <row r="622">
      <c r="A622" s="14" t="inlineStr">
        <is>
          <t>2026 P04</t>
        </is>
      </c>
      <c r="B622" s="15" t="n">
        <v>0.7137687945674478</v>
      </c>
      <c r="C622" s="15" t="n">
        <v>0.6032925157095208</v>
      </c>
      <c r="D622" s="15" t="n">
        <v>0.110476278857927</v>
      </c>
      <c r="E622" s="14" t="inlineStr">
        <is>
          <t>Холлифуд</t>
        </is>
      </c>
      <c r="F622" s="16" t="n"/>
    </row>
    <row r="623">
      <c r="A623" s="14" t="inlineStr">
        <is>
          <t>2026 P03</t>
        </is>
      </c>
      <c r="B623" s="15" t="n">
        <v>0.8431119678181929</v>
      </c>
      <c r="C623" s="15" t="n">
        <v>0.6023993591867481</v>
      </c>
      <c r="D623" s="15" t="n">
        <v>0.2407126086314447</v>
      </c>
      <c r="E623" s="14" t="inlineStr">
        <is>
          <t>ТД "Милый дом"</t>
        </is>
      </c>
      <c r="F623" s="16" t="n"/>
    </row>
    <row r="624">
      <c r="A624" s="14" t="inlineStr">
        <is>
          <t>2026 P07</t>
        </is>
      </c>
      <c r="B624" s="15" t="n">
        <v>0.963395775557938</v>
      </c>
      <c r="C624" s="15" t="n">
        <v>0.6007912157209658</v>
      </c>
      <c r="D624" s="15" t="n">
        <v>0.3626045598369722</v>
      </c>
      <c r="E624" s="14" t="inlineStr">
        <is>
          <t>Спутник-Николаевский</t>
        </is>
      </c>
      <c r="F624" s="16" t="n"/>
    </row>
    <row r="625">
      <c r="A625" s="14" t="inlineStr">
        <is>
          <t>2026 P03</t>
        </is>
      </c>
      <c r="B625" s="15" t="n">
        <v>0.8096334173033323</v>
      </c>
      <c r="C625" s="15" t="n">
        <v>0.6003408209011702</v>
      </c>
      <c r="D625" s="15" t="n">
        <v>0.209292596402162</v>
      </c>
      <c r="E625" s="14" t="inlineStr">
        <is>
          <t>ИП Феоктистов М.В.</t>
        </is>
      </c>
      <c r="F625" s="16" t="n"/>
    </row>
    <row r="626">
      <c r="A626" s="14" t="inlineStr">
        <is>
          <t>2026 P05</t>
        </is>
      </c>
      <c r="B626" s="15" t="n">
        <v>0.8755570089162361</v>
      </c>
      <c r="C626" s="15" t="n">
        <v>0.600225097124843</v>
      </c>
      <c r="D626" s="15" t="n">
        <v>0.2753319117913932</v>
      </c>
      <c r="E626" s="14" t="inlineStr">
        <is>
          <t>ЗООДИСКОНТ</t>
        </is>
      </c>
      <c r="F626" s="16" t="n"/>
    </row>
    <row r="627">
      <c r="A627" s="14" t="inlineStr">
        <is>
          <t>2026 P02</t>
        </is>
      </c>
      <c r="B627" s="15" t="n">
        <v>0.9406421494455554</v>
      </c>
      <c r="C627" s="15" t="n">
        <v>0.5997164753421869</v>
      </c>
      <c r="D627" s="15" t="n">
        <v>0.3409256741033685</v>
      </c>
      <c r="E627" s="14" t="inlineStr">
        <is>
          <t>Спутник-Николаевский</t>
        </is>
      </c>
      <c r="F627" s="16" t="n"/>
    </row>
    <row r="628">
      <c r="A628" s="14" t="inlineStr">
        <is>
          <t>2026 P01</t>
        </is>
      </c>
      <c r="B628" s="15" t="n">
        <v>0.8064086763498459</v>
      </c>
      <c r="C628" s="15" t="n">
        <v>0.599317825316053</v>
      </c>
      <c r="D628" s="15" t="n">
        <v>0.2070908510337929</v>
      </c>
      <c r="E628" s="14" t="inlineStr">
        <is>
          <t>Яблоко (Крым)</t>
        </is>
      </c>
      <c r="F628" s="16" t="n"/>
    </row>
    <row r="629">
      <c r="A629" s="14" t="inlineStr">
        <is>
          <t>2026 P02</t>
        </is>
      </c>
      <c r="B629" s="15" t="n">
        <v>0.7593887191037807</v>
      </c>
      <c r="C629" s="15" t="n">
        <v>0.5983111446208893</v>
      </c>
      <c r="D629" s="15" t="n">
        <v>0.1610775744828914</v>
      </c>
      <c r="E629" s="14" t="inlineStr">
        <is>
          <t>Домашкино</t>
        </is>
      </c>
      <c r="F629" s="16" t="n"/>
    </row>
    <row r="630">
      <c r="A630" s="14" t="inlineStr">
        <is>
          <t>2026 P06</t>
        </is>
      </c>
      <c r="B630" s="15" t="n"/>
      <c r="C630" s="15" t="n">
        <v>0.5970180614635618</v>
      </c>
      <c r="D630" s="15" t="n">
        <v>-0.5970180614635618</v>
      </c>
      <c r="E630" s="14" t="inlineStr">
        <is>
          <t>Fix Price</t>
        </is>
      </c>
      <c r="F630" s="16" t="n"/>
    </row>
    <row r="631">
      <c r="A631" s="14" t="inlineStr">
        <is>
          <t>2026 P04</t>
        </is>
      </c>
      <c r="B631" s="15" t="n">
        <v>0.872442711131749</v>
      </c>
      <c r="C631" s="15" t="n">
        <v>0.5969878667738319</v>
      </c>
      <c r="D631" s="15" t="n">
        <v>0.2754548443579171</v>
      </c>
      <c r="E631" s="14" t="inlineStr">
        <is>
          <t>ЗООДИСКОНТ</t>
        </is>
      </c>
      <c r="F631" s="16" t="n"/>
    </row>
    <row r="632">
      <c r="A632" s="14" t="inlineStr">
        <is>
          <t>2026 P08</t>
        </is>
      </c>
      <c r="B632" s="15" t="n">
        <v>0.8781314707419497</v>
      </c>
      <c r="C632" s="15" t="n">
        <v>0.5959753051926269</v>
      </c>
      <c r="D632" s="15" t="n">
        <v>0.2821561655493229</v>
      </c>
      <c r="E632" s="14" t="inlineStr">
        <is>
          <t>ЗООДИСКОНТ</t>
        </is>
      </c>
      <c r="F632" s="16" t="n"/>
    </row>
    <row r="633">
      <c r="A633" s="14" t="inlineStr">
        <is>
          <t>2026 P06</t>
        </is>
      </c>
      <c r="B633" s="15" t="n">
        <v>0.8865553420953246</v>
      </c>
      <c r="C633" s="15" t="n">
        <v>0.5956872900379609</v>
      </c>
      <c r="D633" s="15" t="n">
        <v>0.2908680520573637</v>
      </c>
      <c r="E633" s="14" t="inlineStr">
        <is>
          <t>ЗООДИСКОНТ</t>
        </is>
      </c>
      <c r="F633" s="16" t="n"/>
    </row>
    <row r="634">
      <c r="A634" s="14" t="inlineStr">
        <is>
          <t>2026 P06</t>
        </is>
      </c>
      <c r="B634" s="15" t="n">
        <v>0.9527000980488467</v>
      </c>
      <c r="C634" s="15" t="n">
        <v>0.595323450133228</v>
      </c>
      <c r="D634" s="15" t="n">
        <v>0.3573766479156187</v>
      </c>
      <c r="E634" s="14" t="inlineStr">
        <is>
          <t>Спутник-Николаевский</t>
        </is>
      </c>
      <c r="F634" s="16" t="n"/>
    </row>
    <row r="635">
      <c r="A635" s="14" t="inlineStr">
        <is>
          <t>2026 P07</t>
        </is>
      </c>
      <c r="B635" s="15" t="n">
        <v>0.8487654921927994</v>
      </c>
      <c r="C635" s="15" t="n">
        <v>0.5950054660459715</v>
      </c>
      <c r="D635" s="15" t="n">
        <v>0.2537600261468279</v>
      </c>
      <c r="E635" s="14" t="inlineStr">
        <is>
          <t>ТД "Милый дом"</t>
        </is>
      </c>
      <c r="F635" s="16" t="n"/>
    </row>
    <row r="636">
      <c r="A636" s="14" t="inlineStr">
        <is>
          <t>2026 P05</t>
        </is>
      </c>
      <c r="B636" s="15" t="n">
        <v>0.8289841942008269</v>
      </c>
      <c r="C636" s="15" t="n">
        <v>0.5948403448860635</v>
      </c>
      <c r="D636" s="15" t="n">
        <v>0.2341438493147634</v>
      </c>
      <c r="E636" s="14" t="inlineStr">
        <is>
          <t>Шамса-Маркет</t>
        </is>
      </c>
      <c r="F636" s="16" t="n"/>
    </row>
    <row r="637">
      <c r="A637" s="14" t="inlineStr">
        <is>
          <t>2026 P03</t>
        </is>
      </c>
      <c r="B637" s="15" t="n">
        <v>0.7620295354894063</v>
      </c>
      <c r="C637" s="15" t="n">
        <v>0.5946270754897615</v>
      </c>
      <c r="D637" s="15" t="n">
        <v>0.1674024599996449</v>
      </c>
      <c r="E637" s="14" t="inlineStr">
        <is>
          <t>Семь шагов</t>
        </is>
      </c>
      <c r="F637" s="16" t="n"/>
    </row>
    <row r="638">
      <c r="A638" s="14" t="inlineStr">
        <is>
          <t>2026 P05</t>
        </is>
      </c>
      <c r="B638" s="15" t="n">
        <v>0.978262928908511</v>
      </c>
      <c r="C638" s="15" t="n">
        <v>0.5931213136654554</v>
      </c>
      <c r="D638" s="15" t="n">
        <v>0.3851416152430556</v>
      </c>
      <c r="E638" s="14" t="inlineStr">
        <is>
          <t>RegX5_LAR</t>
        </is>
      </c>
      <c r="F638" s="16" t="n"/>
    </row>
    <row r="639">
      <c r="A639" s="14" t="inlineStr">
        <is>
          <t>2026 P08</t>
        </is>
      </c>
      <c r="B639" s="15" t="n">
        <v>0.9710950807617181</v>
      </c>
      <c r="C639" s="15" t="n">
        <v>0.5925839678643884</v>
      </c>
      <c r="D639" s="15" t="n">
        <v>0.3785111128973297</v>
      </c>
      <c r="E639" s="14" t="inlineStr">
        <is>
          <t>Мир Корма</t>
        </is>
      </c>
      <c r="F639" s="16" t="n"/>
    </row>
    <row r="640">
      <c r="A640" s="14" t="inlineStr">
        <is>
          <t>2026 P02</t>
        </is>
      </c>
      <c r="B640" s="15" t="n">
        <v>0.7328925251103814</v>
      </c>
      <c r="C640" s="15" t="n">
        <v>0.5924527669209686</v>
      </c>
      <c r="D640" s="15" t="n">
        <v>0.1404397581894128</v>
      </c>
      <c r="E640" s="14" t="inlineStr">
        <is>
          <t>Байрам</t>
        </is>
      </c>
      <c r="F640" s="16" t="n"/>
    </row>
    <row r="641">
      <c r="A641" s="14" t="inlineStr">
        <is>
          <t>2026 P08</t>
        </is>
      </c>
      <c r="B641" s="15" t="n">
        <v>0.8161972186252346</v>
      </c>
      <c r="C641" s="15" t="n">
        <v>0.5913887144351925</v>
      </c>
      <c r="D641" s="15" t="n">
        <v>0.2248085041900422</v>
      </c>
      <c r="E641" s="14" t="inlineStr">
        <is>
          <t>Шамса-Маркет</t>
        </is>
      </c>
      <c r="F641" s="16" t="n"/>
    </row>
    <row r="642">
      <c r="A642" s="14" t="inlineStr">
        <is>
          <t>2026 P02</t>
        </is>
      </c>
      <c r="B642" s="15" t="n">
        <v>0.7621747220167949</v>
      </c>
      <c r="C642" s="15" t="n">
        <v>0.5900916302731619</v>
      </c>
      <c r="D642" s="15" t="n">
        <v>0.172083091743633</v>
      </c>
      <c r="E642" s="14" t="inlineStr">
        <is>
          <t>Шамса-Маркет</t>
        </is>
      </c>
      <c r="F642" s="16" t="n"/>
    </row>
    <row r="643">
      <c r="A643" s="14" t="inlineStr">
        <is>
          <t>2026 P02</t>
        </is>
      </c>
      <c r="B643" s="15" t="n">
        <v>0.8292891231878833</v>
      </c>
      <c r="C643" s="15" t="n">
        <v>0.5893868156309802</v>
      </c>
      <c r="D643" s="15" t="n">
        <v>0.2399023075569031</v>
      </c>
      <c r="E643" s="14" t="inlineStr">
        <is>
          <t>Дружок</t>
        </is>
      </c>
      <c r="F643" s="16" t="n"/>
    </row>
    <row r="644">
      <c r="A644" s="14" t="inlineStr">
        <is>
          <t>2026 P02</t>
        </is>
      </c>
      <c r="B644" s="15" t="n">
        <v>0.7428625722330809</v>
      </c>
      <c r="C644" s="15" t="n">
        <v>0.5891571543821232</v>
      </c>
      <c r="D644" s="15" t="n">
        <v>0.1537054178509577</v>
      </c>
      <c r="E644" s="14" t="inlineStr">
        <is>
          <t>Кот и Пес</t>
        </is>
      </c>
      <c r="F644" s="16" t="n"/>
    </row>
    <row r="645">
      <c r="A645" s="14" t="inlineStr">
        <is>
          <t>2026 P08</t>
        </is>
      </c>
      <c r="B645" s="15" t="n">
        <v>0.9117138501866625</v>
      </c>
      <c r="C645" s="15" t="n">
        <v>0.5881448747486319</v>
      </c>
      <c r="D645" s="15" t="n">
        <v>0.3235689754380306</v>
      </c>
      <c r="E645" s="14" t="inlineStr">
        <is>
          <t>Авоська (ООО Авоська-Два)</t>
        </is>
      </c>
      <c r="F645" s="16" t="n"/>
    </row>
    <row r="646">
      <c r="A646" s="14" t="inlineStr">
        <is>
          <t>2026 P03</t>
        </is>
      </c>
      <c r="B646" s="15" t="n">
        <v>0.5705028782260791</v>
      </c>
      <c r="C646" s="15" t="n">
        <v>0.5877516424798572</v>
      </c>
      <c r="D646" s="15" t="n">
        <v>-0.01724876425377808</v>
      </c>
      <c r="E646" s="14" t="inlineStr">
        <is>
          <t>89_Хороший ТД</t>
        </is>
      </c>
      <c r="F646" s="16" t="n"/>
    </row>
    <row r="647">
      <c r="A647" s="14" t="inlineStr">
        <is>
          <t>2026 P03</t>
        </is>
      </c>
      <c r="B647" s="15" t="n">
        <v>0.7639801190007574</v>
      </c>
      <c r="C647" s="15" t="n">
        <v>0.5864444312166267</v>
      </c>
      <c r="D647" s="15" t="n">
        <v>0.1775356877841306</v>
      </c>
      <c r="E647" s="14" t="inlineStr">
        <is>
          <t>Шамса-Маркет</t>
        </is>
      </c>
      <c r="F647" s="16" t="n"/>
    </row>
    <row r="648">
      <c r="A648" s="14" t="inlineStr">
        <is>
          <t>2026 P01</t>
        </is>
      </c>
      <c r="B648" s="15" t="n">
        <v>0.8237473408713556</v>
      </c>
      <c r="C648" s="15" t="n">
        <v>0.5861841765252109</v>
      </c>
      <c r="D648" s="15" t="n">
        <v>0.2375631643461447</v>
      </c>
      <c r="E648" s="14" t="inlineStr">
        <is>
          <t>Дружок</t>
        </is>
      </c>
      <c r="F648" s="16" t="n"/>
    </row>
    <row r="649">
      <c r="A649" s="14" t="inlineStr">
        <is>
          <t>2026 P01</t>
        </is>
      </c>
      <c r="B649" s="15" t="n">
        <v>0.8587020833197891</v>
      </c>
      <c r="C649" s="15" t="n">
        <v>0.5840291305333006</v>
      </c>
      <c r="D649" s="15" t="n">
        <v>0.2746729527864885</v>
      </c>
      <c r="E649" s="14" t="inlineStr">
        <is>
          <t>Спутник-Николаевский</t>
        </is>
      </c>
      <c r="F649" s="16" t="n"/>
    </row>
    <row r="650">
      <c r="A650" s="14" t="inlineStr">
        <is>
          <t>2026 P08</t>
        </is>
      </c>
      <c r="B650" s="15" t="n">
        <v>0.914728907020828</v>
      </c>
      <c r="C650" s="15" t="n">
        <v>0.5835853238664995</v>
      </c>
      <c r="D650" s="15" t="n">
        <v>0.3311435831543285</v>
      </c>
      <c r="E650" s="14" t="inlineStr">
        <is>
          <t>Гулливер</t>
        </is>
      </c>
      <c r="F650" s="16" t="n"/>
    </row>
    <row r="651">
      <c r="A651" s="14" t="inlineStr">
        <is>
          <t>2026 P06</t>
        </is>
      </c>
      <c r="B651" s="15" t="n">
        <v>0.8501814622576059</v>
      </c>
      <c r="C651" s="15" t="n">
        <v>0.5833961304331983</v>
      </c>
      <c r="D651" s="15" t="n">
        <v>0.2667853318244077</v>
      </c>
      <c r="E651" s="14" t="inlineStr">
        <is>
          <t>Шамса-Маркет</t>
        </is>
      </c>
      <c r="F651" s="16" t="n"/>
    </row>
    <row r="652">
      <c r="A652" s="14" t="inlineStr">
        <is>
          <t>2026 P02</t>
        </is>
      </c>
      <c r="B652" s="15" t="n">
        <v>0.8904263027597843</v>
      </c>
      <c r="C652" s="15" t="n">
        <v>0.5831614248150132</v>
      </c>
      <c r="D652" s="15" t="n">
        <v>0.3072648779447711</v>
      </c>
      <c r="E652" s="14" t="inlineStr">
        <is>
          <t>ИП Ястребков А.Н.</t>
        </is>
      </c>
      <c r="F652" s="16" t="n"/>
    </row>
    <row r="653">
      <c r="A653" s="14" t="inlineStr">
        <is>
          <t>2026 P05</t>
        </is>
      </c>
      <c r="B653" s="15" t="n">
        <v>0.8051683944257088</v>
      </c>
      <c r="C653" s="15" t="n">
        <v>0.5827567628014888</v>
      </c>
      <c r="D653" s="15" t="n">
        <v>0.22241163162422</v>
      </c>
      <c r="E653" s="14" t="inlineStr">
        <is>
          <t>Хороший ВЛ</t>
        </is>
      </c>
      <c r="F653" s="16" t="n"/>
    </row>
    <row r="654">
      <c r="A654" s="14" t="inlineStr">
        <is>
          <t>2026 P08</t>
        </is>
      </c>
      <c r="B654" s="15" t="n">
        <v>0.940775811482663</v>
      </c>
      <c r="C654" s="15" t="n">
        <v>0.582006484293551</v>
      </c>
      <c r="D654" s="15" t="n">
        <v>0.358769327189112</v>
      </c>
      <c r="E654" s="14" t="inlineStr">
        <is>
          <t>Зоосмак</t>
        </is>
      </c>
      <c r="F654" s="16" t="n"/>
    </row>
    <row r="655">
      <c r="A655" s="14" t="inlineStr">
        <is>
          <t>2026 P07</t>
        </is>
      </c>
      <c r="B655" s="15" t="n">
        <v>0.8998100539369227</v>
      </c>
      <c r="C655" s="15" t="n">
        <v>0.581473772627317</v>
      </c>
      <c r="D655" s="15" t="n">
        <v>0.3183362813096057</v>
      </c>
      <c r="E655" s="14" t="inlineStr">
        <is>
          <t>Авоська (ООО Авоська-Два)</t>
        </is>
      </c>
      <c r="F655" s="16" t="n"/>
    </row>
    <row r="656">
      <c r="A656" s="14" t="inlineStr">
        <is>
          <t>2026 P08</t>
        </is>
      </c>
      <c r="B656" s="15" t="n">
        <v>0.6242866512006733</v>
      </c>
      <c r="C656" s="15" t="n">
        <v>0.5804933300656134</v>
      </c>
      <c r="D656" s="15" t="n">
        <v>0.04379332113505985</v>
      </c>
      <c r="E656" s="14" t="inlineStr">
        <is>
          <t>ООО ТВК-Р</t>
        </is>
      </c>
      <c r="F656" s="16" t="n"/>
    </row>
    <row r="657">
      <c r="A657" s="14" t="inlineStr">
        <is>
          <t>2026 P07</t>
        </is>
      </c>
      <c r="B657" s="15" t="n">
        <v>0.6093429292243294</v>
      </c>
      <c r="C657" s="15" t="n">
        <v>0.5803409337034005</v>
      </c>
      <c r="D657" s="15" t="n">
        <v>0.02900199552092897</v>
      </c>
      <c r="E657" s="14" t="inlineStr">
        <is>
          <t>89_Хороший ТД</t>
        </is>
      </c>
      <c r="F657" s="16" t="n"/>
    </row>
    <row r="658">
      <c r="A658" s="14" t="inlineStr">
        <is>
          <t>2026 P03</t>
        </is>
      </c>
      <c r="B658" s="15" t="n">
        <v>0.8083650390936192</v>
      </c>
      <c r="C658" s="15" t="n">
        <v>0.5800131474529615</v>
      </c>
      <c r="D658" s="15" t="n">
        <v>0.2283518916406577</v>
      </c>
      <c r="E658" s="14" t="inlineStr">
        <is>
          <t>Таубер</t>
        </is>
      </c>
      <c r="F658" s="16" t="n"/>
    </row>
    <row r="659">
      <c r="A659" s="14" t="inlineStr">
        <is>
          <t>2026 P04</t>
        </is>
      </c>
      <c r="B659" s="15" t="n">
        <v>0.7833490425656524</v>
      </c>
      <c r="C659" s="15" t="n">
        <v>0.5796185997103536</v>
      </c>
      <c r="D659" s="15" t="n">
        <v>0.2037304428552988</v>
      </c>
      <c r="E659" s="14" t="inlineStr">
        <is>
          <t>Шамса-Маркет</t>
        </is>
      </c>
      <c r="F659" s="16" t="n"/>
    </row>
    <row r="660">
      <c r="A660" s="14" t="inlineStr">
        <is>
          <t>2026 P08</t>
        </is>
      </c>
      <c r="B660" s="15" t="n">
        <v>0.9802458701064976</v>
      </c>
      <c r="C660" s="15" t="n">
        <v>0.5795547744831544</v>
      </c>
      <c r="D660" s="15" t="n">
        <v>0.4006910956233432</v>
      </c>
      <c r="E660" s="14" t="inlineStr">
        <is>
          <t>RegX5_LAR</t>
        </is>
      </c>
      <c r="F660" s="16" t="n"/>
    </row>
    <row r="661">
      <c r="A661" s="14" t="inlineStr">
        <is>
          <t>2026 P06</t>
        </is>
      </c>
      <c r="B661" s="15" t="n">
        <v>0.9332207301618249</v>
      </c>
      <c r="C661" s="15" t="n">
        <v>0.5790984391719053</v>
      </c>
      <c r="D661" s="15" t="n">
        <v>0.3541222909899197</v>
      </c>
      <c r="E661" s="14" t="inlineStr">
        <is>
          <t>"""Осень"""</t>
        </is>
      </c>
      <c r="F661" s="16" t="n"/>
    </row>
    <row r="662">
      <c r="A662" s="14" t="inlineStr">
        <is>
          <t>2026 P07</t>
        </is>
      </c>
      <c r="B662" s="15" t="n"/>
      <c r="C662" s="15" t="n">
        <v>0.5783632281437656</v>
      </c>
      <c r="D662" s="15" t="n">
        <v>-0.5783632281437656</v>
      </c>
      <c r="E662" s="14" t="inlineStr">
        <is>
          <t>Fix Price</t>
        </is>
      </c>
      <c r="F662" s="16" t="n"/>
    </row>
    <row r="663">
      <c r="A663" s="14" t="inlineStr">
        <is>
          <t>2026 P01</t>
        </is>
      </c>
      <c r="B663" s="15" t="n">
        <v>0.7572884389379361</v>
      </c>
      <c r="C663" s="15" t="n">
        <v>0.5770057089713058</v>
      </c>
      <c r="D663" s="15" t="n">
        <v>0.1802827299666303</v>
      </c>
      <c r="E663" s="14" t="inlineStr">
        <is>
          <t>Лента HM</t>
        </is>
      </c>
      <c r="F663" s="16" t="n"/>
    </row>
    <row r="664">
      <c r="A664" s="14" t="inlineStr">
        <is>
          <t>2026 P04</t>
        </is>
      </c>
      <c r="B664" s="15" t="n">
        <v>0.9798792424630935</v>
      </c>
      <c r="C664" s="15" t="n">
        <v>0.576292497851678</v>
      </c>
      <c r="D664" s="15" t="n">
        <v>0.4035867446114155</v>
      </c>
      <c r="E664" s="14" t="inlineStr">
        <is>
          <t>RegX5_LAR</t>
        </is>
      </c>
      <c r="F664" s="16" t="n"/>
    </row>
    <row r="665">
      <c r="A665" s="14" t="inlineStr">
        <is>
          <t>2026 P06</t>
        </is>
      </c>
      <c r="B665" s="15" t="n">
        <v>0.6120826471464695</v>
      </c>
      <c r="C665" s="15" t="n">
        <v>0.57599369795178</v>
      </c>
      <c r="D665" s="15" t="n">
        <v>0.03608894919468952</v>
      </c>
      <c r="E665" s="14" t="inlineStr">
        <is>
          <t>ООО ТВК-Р</t>
        </is>
      </c>
      <c r="F665" s="16" t="n"/>
    </row>
    <row r="666">
      <c r="A666" s="14" t="inlineStr">
        <is>
          <t>2026 P06</t>
        </is>
      </c>
      <c r="B666" s="15" t="n">
        <v>0.9160633547373498</v>
      </c>
      <c r="C666" s="15" t="n">
        <v>0.5759921142957932</v>
      </c>
      <c r="D666" s="15" t="n">
        <v>0.3400712404415566</v>
      </c>
      <c r="E666" s="14" t="inlineStr">
        <is>
          <t>Авоська (ООО Авоська-Два)</t>
        </is>
      </c>
      <c r="F666" s="16" t="n"/>
    </row>
    <row r="667">
      <c r="A667" s="14" t="inlineStr">
        <is>
          <t>2026 P06</t>
        </is>
      </c>
      <c r="B667" s="15" t="n">
        <v>0.7305780655136924</v>
      </c>
      <c r="C667" s="15" t="n">
        <v>0.5759792293347056</v>
      </c>
      <c r="D667" s="15" t="n">
        <v>0.1545988361789868</v>
      </c>
      <c r="E667" s="14" t="inlineStr">
        <is>
          <t>Лидер-Крым</t>
        </is>
      </c>
      <c r="F667" s="16" t="n"/>
    </row>
    <row r="668">
      <c r="A668" s="14" t="inlineStr">
        <is>
          <t>2026 P04</t>
        </is>
      </c>
      <c r="B668" s="15" t="n">
        <v>0.8547539809455883</v>
      </c>
      <c r="C668" s="15" t="n">
        <v>0.5750424024180266</v>
      </c>
      <c r="D668" s="15" t="n">
        <v>0.2797115785275617</v>
      </c>
      <c r="E668" s="14" t="inlineStr">
        <is>
          <t>"""Осень"""</t>
        </is>
      </c>
      <c r="F668" s="16" t="n"/>
    </row>
    <row r="669">
      <c r="A669" s="14" t="inlineStr">
        <is>
          <t>2026 P01</t>
        </is>
      </c>
      <c r="B669" s="15" t="n">
        <v>0.6293735542552453</v>
      </c>
      <c r="C669" s="15" t="n">
        <v>0.5731820847685397</v>
      </c>
      <c r="D669" s="15" t="n">
        <v>0.05619146948670561</v>
      </c>
      <c r="E669" s="14" t="inlineStr">
        <is>
          <t>Неотрейд ООО</t>
        </is>
      </c>
      <c r="F669" s="16" t="n"/>
    </row>
    <row r="670">
      <c r="A670" s="14" t="inlineStr">
        <is>
          <t>2026 P04</t>
        </is>
      </c>
      <c r="B670" s="15" t="n">
        <v>0.747121938679598</v>
      </c>
      <c r="C670" s="15" t="n">
        <v>0.5730787969364393</v>
      </c>
      <c r="D670" s="15" t="n">
        <v>0.1740431417431587</v>
      </c>
      <c r="E670" s="14" t="inlineStr">
        <is>
          <t>Заповедник</t>
        </is>
      </c>
      <c r="F670" s="16" t="n"/>
    </row>
    <row r="671">
      <c r="A671" s="14" t="inlineStr">
        <is>
          <t>2026 P02</t>
        </is>
      </c>
      <c r="B671" s="15" t="n">
        <v>0.7988620837188719</v>
      </c>
      <c r="C671" s="15" t="n">
        <v>0.5730471365994666</v>
      </c>
      <c r="D671" s="15" t="n">
        <v>0.2258149471194053</v>
      </c>
      <c r="E671" s="14" t="inlineStr">
        <is>
          <t>Николаевский</t>
        </is>
      </c>
      <c r="F671" s="16" t="n"/>
    </row>
    <row r="672">
      <c r="A672" s="14" t="inlineStr">
        <is>
          <t>2026 P01</t>
        </is>
      </c>
      <c r="B672" s="15" t="n">
        <v>0.7418226602865522</v>
      </c>
      <c r="C672" s="15" t="n">
        <v>0.5714509460007247</v>
      </c>
      <c r="D672" s="15" t="n">
        <v>0.1703717142858275</v>
      </c>
      <c r="E672" s="14" t="inlineStr">
        <is>
          <t>Везунчик</t>
        </is>
      </c>
      <c r="F672" s="16" t="n"/>
    </row>
    <row r="673">
      <c r="A673" s="14" t="inlineStr">
        <is>
          <t>2026 P05</t>
        </is>
      </c>
      <c r="B673" s="15" t="n">
        <v>0.5958016147825935</v>
      </c>
      <c r="C673" s="15" t="n">
        <v>0.5706975273498808</v>
      </c>
      <c r="D673" s="15" t="n">
        <v>0.02510408743271275</v>
      </c>
      <c r="E673" s="14" t="inlineStr">
        <is>
          <t>ООО ТВК-Р</t>
        </is>
      </c>
      <c r="F673" s="16" t="n"/>
    </row>
    <row r="674">
      <c r="A674" s="14" t="inlineStr">
        <is>
          <t>2026 P07</t>
        </is>
      </c>
      <c r="B674" s="15" t="n">
        <v>0.8604226336261145</v>
      </c>
      <c r="C674" s="15" t="n">
        <v>0.5703959430954397</v>
      </c>
      <c r="D674" s="15" t="n">
        <v>0.2900266905306748</v>
      </c>
      <c r="E674" s="14" t="inlineStr">
        <is>
          <t>ЗООДИСКОНТ</t>
        </is>
      </c>
      <c r="F674" s="16" t="n"/>
    </row>
    <row r="675">
      <c r="A675" s="14" t="inlineStr">
        <is>
          <t>2026 P05</t>
        </is>
      </c>
      <c r="B675" s="15" t="n">
        <v>0.7354535081872553</v>
      </c>
      <c r="C675" s="15" t="n">
        <v>0.5700966627720302</v>
      </c>
      <c r="D675" s="15" t="n">
        <v>0.1653568454152251</v>
      </c>
      <c r="E675" s="14" t="inlineStr">
        <is>
          <t>Впрок-Сервис</t>
        </is>
      </c>
      <c r="F675" s="16" t="n"/>
    </row>
    <row r="676">
      <c r="A676" s="14" t="inlineStr">
        <is>
          <t>2026 P06</t>
        </is>
      </c>
      <c r="B676" s="15" t="n">
        <v>0.7184526352180087</v>
      </c>
      <c r="C676" s="15" t="n">
        <v>0.5695235524304056</v>
      </c>
      <c r="D676" s="15" t="n">
        <v>0.1489290827876031</v>
      </c>
      <c r="E676" s="14" t="inlineStr">
        <is>
          <t>Бетховен</t>
        </is>
      </c>
      <c r="F676" s="16" t="n"/>
    </row>
    <row r="677">
      <c r="A677" s="14" t="inlineStr">
        <is>
          <t>2026 P01</t>
        </is>
      </c>
      <c r="B677" s="15" t="n">
        <v>0.754773748657897</v>
      </c>
      <c r="C677" s="15" t="n">
        <v>0.5693517345203842</v>
      </c>
      <c r="D677" s="15" t="n">
        <v>0.1854220141375128</v>
      </c>
      <c r="E677" s="14" t="inlineStr">
        <is>
          <t>Холлифуд</t>
        </is>
      </c>
      <c r="F677" s="16" t="n"/>
    </row>
    <row r="678">
      <c r="A678" s="14" t="inlineStr">
        <is>
          <t>2026 P07</t>
        </is>
      </c>
      <c r="B678" s="15" t="n">
        <v>0.7706734381781801</v>
      </c>
      <c r="C678" s="15" t="n">
        <v>0.5688759642270501</v>
      </c>
      <c r="D678" s="15" t="n">
        <v>0.20179747395113</v>
      </c>
      <c r="E678" s="14" t="inlineStr">
        <is>
          <t>Абсолют</t>
        </is>
      </c>
      <c r="F678" s="16" t="n"/>
    </row>
    <row r="679">
      <c r="A679" s="14" t="inlineStr">
        <is>
          <t>2026 P08</t>
        </is>
      </c>
      <c r="B679" s="15" t="n"/>
      <c r="C679" s="15" t="n">
        <v>0.5676561221544475</v>
      </c>
      <c r="D679" s="15" t="n">
        <v>-0.5676561221544475</v>
      </c>
      <c r="E679" s="14" t="inlineStr">
        <is>
          <t>Fix Price</t>
        </is>
      </c>
      <c r="F679" s="16" t="n"/>
    </row>
    <row r="680">
      <c r="A680" s="14" t="inlineStr">
        <is>
          <t>2026 P01</t>
        </is>
      </c>
      <c r="B680" s="15" t="n">
        <v>0.7483895809810439</v>
      </c>
      <c r="C680" s="15" t="n">
        <v>0.5675981098139383</v>
      </c>
      <c r="D680" s="15" t="n">
        <v>0.1807914711671056</v>
      </c>
      <c r="E680" s="14" t="inlineStr">
        <is>
          <t>Домашкино</t>
        </is>
      </c>
      <c r="F680" s="16" t="n"/>
    </row>
    <row r="681">
      <c r="A681" s="14" t="inlineStr">
        <is>
          <t>2026 P05</t>
        </is>
      </c>
      <c r="B681" s="15" t="n">
        <v>0.8380321570581455</v>
      </c>
      <c r="C681" s="15" t="n">
        <v>0.5663527780367953</v>
      </c>
      <c r="D681" s="15" t="n">
        <v>0.2716793790213502</v>
      </c>
      <c r="E681" s="14" t="inlineStr">
        <is>
          <t>Авоська (ООО Авоська-Два)</t>
        </is>
      </c>
      <c r="F681" s="16" t="n"/>
    </row>
    <row r="682">
      <c r="A682" s="14" t="inlineStr">
        <is>
          <t>2026 P08</t>
        </is>
      </c>
      <c r="B682" s="15" t="n">
        <v>0.700971382140446</v>
      </c>
      <c r="C682" s="15" t="n">
        <v>0.5662200414454095</v>
      </c>
      <c r="D682" s="15" t="n">
        <v>0.1347513406950365</v>
      </c>
      <c r="E682" s="14" t="inlineStr">
        <is>
          <t>Яблоко (Крым)</t>
        </is>
      </c>
      <c r="F682" s="16" t="n"/>
    </row>
    <row r="683">
      <c r="A683" s="14" t="inlineStr">
        <is>
          <t>2026 P04</t>
        </is>
      </c>
      <c r="B683" s="15" t="n">
        <v>0.6361625540012622</v>
      </c>
      <c r="C683" s="15" t="n">
        <v>0.5658003266131827</v>
      </c>
      <c r="D683" s="15" t="n">
        <v>0.07036222738807951</v>
      </c>
      <c r="E683" s="14" t="inlineStr">
        <is>
          <t>89_Хороший ТД</t>
        </is>
      </c>
      <c r="F683" s="16" t="n"/>
    </row>
    <row r="684">
      <c r="A684" s="14" t="inlineStr">
        <is>
          <t>2026 P06</t>
        </is>
      </c>
      <c r="B684" s="15" t="n">
        <v>0.6598610457144648</v>
      </c>
      <c r="C684" s="15" t="n">
        <v>0.5654572633343413</v>
      </c>
      <c r="D684" s="15" t="n">
        <v>0.09440378238012348</v>
      </c>
      <c r="E684" s="14" t="inlineStr">
        <is>
          <t>ОБЛПО ПО</t>
        </is>
      </c>
      <c r="F684" s="16" t="n"/>
    </row>
    <row r="685">
      <c r="A685" s="14" t="inlineStr">
        <is>
          <t>2026 P02</t>
        </is>
      </c>
      <c r="B685" s="15" t="n">
        <v>0.7545403790884594</v>
      </c>
      <c r="C685" s="15" t="n">
        <v>0.5642764195371851</v>
      </c>
      <c r="D685" s="15" t="n">
        <v>0.1902639595512743</v>
      </c>
      <c r="E685" s="14" t="inlineStr">
        <is>
          <t>Хороший ВЛ</t>
        </is>
      </c>
      <c r="F685" s="16" t="n"/>
    </row>
    <row r="686">
      <c r="A686" s="14" t="inlineStr">
        <is>
          <t>2026 P04</t>
        </is>
      </c>
      <c r="B686" s="15" t="n">
        <v>0.6000967396107559</v>
      </c>
      <c r="C686" s="15" t="n">
        <v>0.5632878845793106</v>
      </c>
      <c r="D686" s="15" t="n">
        <v>0.03680885503144538</v>
      </c>
      <c r="E686" s="14" t="inlineStr">
        <is>
          <t>ООО ТВК-Р</t>
        </is>
      </c>
      <c r="F686" s="16" t="n"/>
    </row>
    <row r="687">
      <c r="A687" s="14" t="inlineStr">
        <is>
          <t>2026 P03</t>
        </is>
      </c>
      <c r="B687" s="15" t="n">
        <v>0.8436220853959203</v>
      </c>
      <c r="C687" s="15" t="n">
        <v>0.5631983943925162</v>
      </c>
      <c r="D687" s="15" t="n">
        <v>0.2804236910034041</v>
      </c>
      <c r="E687" s="14" t="inlineStr">
        <is>
          <t>Сибагро</t>
        </is>
      </c>
      <c r="F687" s="16" t="n"/>
    </row>
    <row r="688">
      <c r="A688" s="14" t="inlineStr">
        <is>
          <t>2026 P06</t>
        </is>
      </c>
      <c r="B688" s="15" t="n">
        <v>0.8170000674672352</v>
      </c>
      <c r="C688" s="15" t="n">
        <v>0.5625577094183729</v>
      </c>
      <c r="D688" s="15" t="n">
        <v>0.2544423580488623</v>
      </c>
      <c r="E688" s="14" t="inlineStr">
        <is>
          <t>Народный</t>
        </is>
      </c>
      <c r="F688" s="16" t="n"/>
    </row>
    <row r="689">
      <c r="A689" s="14" t="inlineStr">
        <is>
          <t>2026 P05</t>
        </is>
      </c>
      <c r="B689" s="15" t="n">
        <v>0.7096797563897248</v>
      </c>
      <c r="C689" s="15" t="n">
        <v>0.5621562762619005</v>
      </c>
      <c r="D689" s="15" t="n">
        <v>0.1475234801278243</v>
      </c>
      <c r="E689" s="14" t="inlineStr">
        <is>
          <t>Бетховен</t>
        </is>
      </c>
      <c r="F689" s="16" t="n"/>
    </row>
    <row r="690">
      <c r="A690" s="14" t="inlineStr">
        <is>
          <t>2026 P05</t>
        </is>
      </c>
      <c r="B690" s="15" t="n"/>
      <c r="C690" s="15" t="n">
        <v>0.5618459685610873</v>
      </c>
      <c r="D690" s="15" t="n">
        <v>-0.5618459685610873</v>
      </c>
      <c r="E690" s="14" t="inlineStr">
        <is>
          <t>Fix Price</t>
        </is>
      </c>
      <c r="F690" s="16" t="n"/>
    </row>
    <row r="691">
      <c r="A691" s="14" t="inlineStr">
        <is>
          <t>2026 P04</t>
        </is>
      </c>
      <c r="B691" s="15" t="n">
        <v>0.6404714617854326</v>
      </c>
      <c r="C691" s="15" t="n">
        <v>0.561672685280698</v>
      </c>
      <c r="D691" s="15" t="n">
        <v>0.07879877650473455</v>
      </c>
      <c r="E691" s="14" t="inlineStr">
        <is>
          <t>Караван Волга</t>
        </is>
      </c>
      <c r="F691" s="16" t="n"/>
    </row>
    <row r="692">
      <c r="A692" s="14" t="inlineStr">
        <is>
          <t>2026 P01</t>
        </is>
      </c>
      <c r="B692" s="15" t="n">
        <v>0.7505234002008738</v>
      </c>
      <c r="C692" s="15" t="n">
        <v>0.5610812917476262</v>
      </c>
      <c r="D692" s="15" t="n">
        <v>0.1894421084532476</v>
      </c>
      <c r="E692" s="14" t="inlineStr">
        <is>
          <t>ЗООДИСКОНТ</t>
        </is>
      </c>
      <c r="F692" s="16" t="n"/>
    </row>
    <row r="693">
      <c r="A693" s="14" t="inlineStr">
        <is>
          <t>2026 P02</t>
        </is>
      </c>
      <c r="B693" s="15" t="n">
        <v>0.6437577832921424</v>
      </c>
      <c r="C693" s="15" t="n">
        <v>0.5607684070447057</v>
      </c>
      <c r="D693" s="15" t="n">
        <v>0.08298937624743674</v>
      </c>
      <c r="E693" s="14" t="inlineStr">
        <is>
          <t>Кэш&amp;Керри</t>
        </is>
      </c>
      <c r="F693" s="16" t="n"/>
    </row>
    <row r="694">
      <c r="A694" s="14" t="inlineStr">
        <is>
          <t>2026 P04</t>
        </is>
      </c>
      <c r="B694" s="15" t="n">
        <v>0.7257601115847216</v>
      </c>
      <c r="C694" s="15" t="n">
        <v>0.5602505822571534</v>
      </c>
      <c r="D694" s="15" t="n">
        <v>0.1655095293275682</v>
      </c>
      <c r="E694" s="14" t="inlineStr">
        <is>
          <t>Впрок-Сервис</t>
        </is>
      </c>
      <c r="F694" s="16" t="n"/>
    </row>
    <row r="695">
      <c r="A695" s="14" t="inlineStr">
        <is>
          <t>2026 P05</t>
        </is>
      </c>
      <c r="B695" s="15" t="n">
        <v>0.763031128839587</v>
      </c>
      <c r="C695" s="15" t="n">
        <v>0.5595463780498675</v>
      </c>
      <c r="D695" s="15" t="n">
        <v>0.2034847507897195</v>
      </c>
      <c r="E695" s="14" t="inlineStr">
        <is>
          <t>"""Осень"""</t>
        </is>
      </c>
      <c r="F695" s="16" t="n"/>
    </row>
    <row r="696">
      <c r="A696" s="14" t="inlineStr">
        <is>
          <t>2026 P06</t>
        </is>
      </c>
      <c r="B696" s="15" t="n">
        <v>0.9794526281083289</v>
      </c>
      <c r="C696" s="15" t="n">
        <v>0.5594810459297166</v>
      </c>
      <c r="D696" s="15" t="n">
        <v>0.4199715821786123</v>
      </c>
      <c r="E696" s="14" t="inlineStr">
        <is>
          <t>RegX5_LAR</t>
        </is>
      </c>
      <c r="F696" s="16" t="n"/>
    </row>
    <row r="697">
      <c r="A697" s="14" t="inlineStr">
        <is>
          <t>2026 P03</t>
        </is>
      </c>
      <c r="B697" s="15" t="n">
        <v>0.5885603317926631</v>
      </c>
      <c r="C697" s="15" t="n">
        <v>0.556946335342524</v>
      </c>
      <c r="D697" s="15" t="n">
        <v>0.03161399645013907</v>
      </c>
      <c r="E697" s="14" t="inlineStr">
        <is>
          <t>ООО ТВК-Р</t>
        </is>
      </c>
      <c r="F697" s="16" t="n"/>
    </row>
    <row r="698">
      <c r="A698" s="14" t="inlineStr">
        <is>
          <t>2026 P05</t>
        </is>
      </c>
      <c r="B698" s="15" t="n">
        <v>0.6839365815527625</v>
      </c>
      <c r="C698" s="15" t="n">
        <v>0.5550544034557875</v>
      </c>
      <c r="D698" s="15" t="n">
        <v>0.128882178096975</v>
      </c>
      <c r="E698" s="14" t="inlineStr">
        <is>
          <t>Лидер-Крым</t>
        </is>
      </c>
      <c r="F698" s="16" t="n"/>
    </row>
    <row r="699">
      <c r="A699" s="14" t="inlineStr">
        <is>
          <t>2026 P03</t>
        </is>
      </c>
      <c r="B699" s="15" t="n">
        <v>0.6392600968499582</v>
      </c>
      <c r="C699" s="15" t="n">
        <v>0.5544485417404719</v>
      </c>
      <c r="D699" s="15" t="n">
        <v>0.08481155510948635</v>
      </c>
      <c r="E699" s="14" t="inlineStr">
        <is>
          <t>Караван Волга</t>
        </is>
      </c>
      <c r="F699" s="16" t="n"/>
    </row>
    <row r="700">
      <c r="A700" s="14" t="inlineStr">
        <is>
          <t>2026 P05</t>
        </is>
      </c>
      <c r="B700" s="15" t="n">
        <v>0.6362103511350409</v>
      </c>
      <c r="C700" s="15" t="n">
        <v>0.5541870721201372</v>
      </c>
      <c r="D700" s="15" t="n">
        <v>0.08202327901490369</v>
      </c>
      <c r="E700" s="14" t="inlineStr">
        <is>
          <t>Караван Волга</t>
        </is>
      </c>
      <c r="F700" s="16" t="n"/>
    </row>
    <row r="701">
      <c r="A701" s="14" t="inlineStr">
        <is>
          <t>2026 P05</t>
        </is>
      </c>
      <c r="B701" s="15" t="n">
        <v>0.6885489047809978</v>
      </c>
      <c r="C701" s="15" t="n">
        <v>0.5541296167577875</v>
      </c>
      <c r="D701" s="15" t="n">
        <v>0.1344192880232103</v>
      </c>
      <c r="E701" s="14" t="inlineStr">
        <is>
          <t>Авокадо</t>
        </is>
      </c>
      <c r="F701" s="16" t="n"/>
    </row>
    <row r="702">
      <c r="A702" s="14" t="inlineStr">
        <is>
          <t>2026 P06</t>
        </is>
      </c>
      <c r="B702" s="15" t="n">
        <v>0.7890166562142403</v>
      </c>
      <c r="C702" s="15" t="n">
        <v>0.5531072237598336</v>
      </c>
      <c r="D702" s="15" t="n">
        <v>0.2359094324544068</v>
      </c>
      <c r="E702" s="14" t="inlineStr">
        <is>
          <t>Хороший ВЛ</t>
        </is>
      </c>
      <c r="F702" s="16" t="n"/>
    </row>
    <row r="703">
      <c r="A703" s="14" t="inlineStr">
        <is>
          <t>2026 P01</t>
        </is>
      </c>
      <c r="B703" s="15" t="n">
        <v>0.7445371553804333</v>
      </c>
      <c r="C703" s="15" t="n">
        <v>0.552790936099119</v>
      </c>
      <c r="D703" s="15" t="n">
        <v>0.1917462192813143</v>
      </c>
      <c r="E703" s="14" t="inlineStr">
        <is>
          <t>АТАК</t>
        </is>
      </c>
      <c r="F703" s="16" t="n"/>
    </row>
    <row r="704">
      <c r="A704" s="14" t="inlineStr">
        <is>
          <t>2026 P05</t>
        </is>
      </c>
      <c r="B704" s="15" t="n">
        <v>0.7343070353211</v>
      </c>
      <c r="C704" s="15" t="n">
        <v>0.5520900655640966</v>
      </c>
      <c r="D704" s="15" t="n">
        <v>0.1822169697570034</v>
      </c>
      <c r="E704" s="14" t="inlineStr">
        <is>
          <t>Заповедник</t>
        </is>
      </c>
      <c r="F704" s="16" t="n"/>
    </row>
    <row r="705">
      <c r="A705" s="14" t="inlineStr">
        <is>
          <t>2026 P01</t>
        </is>
      </c>
      <c r="B705" s="15" t="n">
        <v>0.6892292354555797</v>
      </c>
      <c r="C705" s="15" t="n">
        <v>0.5518787367489573</v>
      </c>
      <c r="D705" s="15" t="n">
        <v>0.1373504987066224</v>
      </c>
      <c r="E705" s="14" t="inlineStr">
        <is>
          <t>Кот и Пес</t>
        </is>
      </c>
      <c r="F705" s="16" t="n"/>
    </row>
    <row r="706">
      <c r="A706" s="14" t="inlineStr">
        <is>
          <t>2026 P03</t>
        </is>
      </c>
      <c r="B706" s="15" t="n">
        <v>0.97909840394442</v>
      </c>
      <c r="C706" s="15" t="n">
        <v>0.5518502364844018</v>
      </c>
      <c r="D706" s="15" t="n">
        <v>0.4272481674600183</v>
      </c>
      <c r="E706" s="14" t="inlineStr">
        <is>
          <t>RegX5_LAR</t>
        </is>
      </c>
      <c r="F706" s="16" t="n"/>
    </row>
    <row r="707">
      <c r="A707" s="14" t="inlineStr">
        <is>
          <t>2026 P03</t>
        </is>
      </c>
      <c r="B707" s="15" t="n">
        <v>0.5908096170783382</v>
      </c>
      <c r="C707" s="15" t="n">
        <v>0.5512178648105345</v>
      </c>
      <c r="D707" s="15" t="n">
        <v>0.03959175226780376</v>
      </c>
      <c r="E707" s="14" t="inlineStr">
        <is>
          <t>"""Осень"""</t>
        </is>
      </c>
      <c r="F707" s="16" t="n"/>
    </row>
    <row r="708">
      <c r="A708" s="14" t="inlineStr">
        <is>
          <t>2026 P08</t>
        </is>
      </c>
      <c r="B708" s="15" t="n">
        <v>0.7096166479657721</v>
      </c>
      <c r="C708" s="15" t="n">
        <v>0.5499636722096417</v>
      </c>
      <c r="D708" s="15" t="n">
        <v>0.1596529757561304</v>
      </c>
      <c r="E708" s="14" t="inlineStr">
        <is>
          <t>Авокадо</t>
        </is>
      </c>
      <c r="F708" s="16" t="n"/>
    </row>
    <row r="709">
      <c r="A709" s="14" t="inlineStr">
        <is>
          <t>2026 P03</t>
        </is>
      </c>
      <c r="B709" s="15" t="n">
        <v>0.7168442881442852</v>
      </c>
      <c r="C709" s="15" t="n">
        <v>0.5498061670495807</v>
      </c>
      <c r="D709" s="15" t="n">
        <v>0.1670381210947045</v>
      </c>
      <c r="E709" s="14" t="inlineStr">
        <is>
          <t>Впрок-Сервис</t>
        </is>
      </c>
      <c r="F709" s="16" t="n"/>
    </row>
    <row r="710">
      <c r="A710" s="14" t="inlineStr">
        <is>
          <t>2026 P07</t>
        </is>
      </c>
      <c r="B710" s="15" t="n">
        <v>0.7472756049301923</v>
      </c>
      <c r="C710" s="15" t="n">
        <v>0.5497223738453597</v>
      </c>
      <c r="D710" s="15" t="n">
        <v>0.1975532310848326</v>
      </c>
      <c r="E710" s="14" t="inlineStr">
        <is>
          <t>Любимчик 2.0</t>
        </is>
      </c>
      <c r="F710" s="16" t="n"/>
    </row>
    <row r="711">
      <c r="A711" s="14" t="inlineStr">
        <is>
          <t>2026 P01</t>
        </is>
      </c>
      <c r="B711" s="15" t="n">
        <v>0.7418618074552785</v>
      </c>
      <c r="C711" s="15" t="n">
        <v>0.5496291556560639</v>
      </c>
      <c r="D711" s="15" t="n">
        <v>0.1922326517992147</v>
      </c>
      <c r="E711" s="14" t="inlineStr">
        <is>
          <t>Шамса-Маркет</t>
        </is>
      </c>
      <c r="F711" s="16" t="n"/>
    </row>
    <row r="712">
      <c r="A712" s="14" t="inlineStr">
        <is>
          <t>2026 P02</t>
        </is>
      </c>
      <c r="B712" s="15" t="n">
        <v>0.6173093207488389</v>
      </c>
      <c r="C712" s="15" t="n">
        <v>0.5491265363554619</v>
      </c>
      <c r="D712" s="15" t="n">
        <v>0.06818278439337699</v>
      </c>
      <c r="E712" s="14" t="inlineStr">
        <is>
          <t>Любимчик 2.0</t>
        </is>
      </c>
      <c r="F712" s="16" t="n"/>
    </row>
    <row r="713">
      <c r="A713" s="14" t="inlineStr">
        <is>
          <t>2026 P06</t>
        </is>
      </c>
      <c r="B713" s="15" t="n">
        <v>0.6451401349295609</v>
      </c>
      <c r="C713" s="15" t="n">
        <v>0.5484259503842243</v>
      </c>
      <c r="D713" s="15" t="n">
        <v>0.09671418454533665</v>
      </c>
      <c r="E713" s="14" t="inlineStr">
        <is>
          <t>Караван Волга</t>
        </is>
      </c>
      <c r="F713" s="16" t="n"/>
    </row>
    <row r="714">
      <c r="A714" s="14" t="inlineStr">
        <is>
          <t>2026 P07</t>
        </is>
      </c>
      <c r="B714" s="15" t="n">
        <v>0.6094486762419686</v>
      </c>
      <c r="C714" s="15" t="n">
        <v>0.5484057822179166</v>
      </c>
      <c r="D714" s="15" t="n">
        <v>0.06104289402405205</v>
      </c>
      <c r="E714" s="14" t="inlineStr">
        <is>
          <t>ООО ТВК-Р</t>
        </is>
      </c>
      <c r="F714" s="16" t="n"/>
    </row>
    <row r="715">
      <c r="A715" s="14" t="inlineStr">
        <is>
          <t>2026 P02</t>
        </is>
      </c>
      <c r="B715" s="15" t="n">
        <v>0.7913786274434179</v>
      </c>
      <c r="C715" s="15" t="n">
        <v>0.5480592044038054</v>
      </c>
      <c r="D715" s="15" t="n">
        <v>0.2433194230396125</v>
      </c>
      <c r="E715" s="14" t="inlineStr">
        <is>
          <t>ЗООДИСКОНТ</t>
        </is>
      </c>
      <c r="F715" s="16" t="n"/>
    </row>
    <row r="716">
      <c r="A716" s="14" t="inlineStr">
        <is>
          <t>2026 P04</t>
        </is>
      </c>
      <c r="B716" s="15" t="n">
        <v>0.690759435000053</v>
      </c>
      <c r="C716" s="15" t="n">
        <v>0.5464787531135024</v>
      </c>
      <c r="D716" s="15" t="n">
        <v>0.1442806818865506</v>
      </c>
      <c r="E716" s="14" t="inlineStr">
        <is>
          <t>Лидер-Крым</t>
        </is>
      </c>
      <c r="F716" s="16" t="n"/>
    </row>
    <row r="717">
      <c r="A717" s="14" t="inlineStr">
        <is>
          <t>2026 P03</t>
        </is>
      </c>
      <c r="B717" s="15" t="n">
        <v>0.6459369489975597</v>
      </c>
      <c r="C717" s="15" t="n">
        <v>0.5458476429898373</v>
      </c>
      <c r="D717" s="15" t="n">
        <v>0.1000893060077224</v>
      </c>
      <c r="E717" s="14" t="inlineStr">
        <is>
          <t>Кэш&amp;Керри</t>
        </is>
      </c>
      <c r="F717" s="16" t="n"/>
    </row>
    <row r="718">
      <c r="A718" s="14" t="inlineStr">
        <is>
          <t>2026 P03</t>
        </is>
      </c>
      <c r="B718" s="15" t="n">
        <v>0.6840636617541568</v>
      </c>
      <c r="C718" s="15" t="n">
        <v>0.5458053083205656</v>
      </c>
      <c r="D718" s="15" t="n">
        <v>0.1382583534335912</v>
      </c>
      <c r="E718" s="14" t="inlineStr">
        <is>
          <t>Лидер-Крым</t>
        </is>
      </c>
      <c r="F718" s="16" t="n"/>
    </row>
    <row r="719">
      <c r="A719" s="14" t="inlineStr">
        <is>
          <t>2026 P07</t>
        </is>
      </c>
      <c r="B719" s="15" t="n">
        <v>0.9857226323732083</v>
      </c>
      <c r="C719" s="15" t="n">
        <v>0.545288434949711</v>
      </c>
      <c r="D719" s="15" t="n">
        <v>0.4404341974234973</v>
      </c>
      <c r="E719" s="14" t="inlineStr">
        <is>
          <t>Победа (Гулливер)</t>
        </is>
      </c>
      <c r="F719" s="16" t="n"/>
    </row>
    <row r="720">
      <c r="A720" s="14" t="inlineStr">
        <is>
          <t>2026 P07</t>
        </is>
      </c>
      <c r="B720" s="15" t="n">
        <v>0.8574613187280556</v>
      </c>
      <c r="C720" s="15" t="n">
        <v>0.5450266540353514</v>
      </c>
      <c r="D720" s="15" t="n">
        <v>0.3124346646927042</v>
      </c>
      <c r="E720" s="14" t="inlineStr">
        <is>
          <t>Зооветсервис ООО</t>
        </is>
      </c>
      <c r="F720" s="16" t="n"/>
    </row>
    <row r="721">
      <c r="A721" s="14" t="inlineStr">
        <is>
          <t>2026 P07</t>
        </is>
      </c>
      <c r="B721" s="15" t="n">
        <v>0.6356351488448239</v>
      </c>
      <c r="C721" s="15" t="n">
        <v>0.5449056877071174</v>
      </c>
      <c r="D721" s="15" t="n">
        <v>0.09072946113770641</v>
      </c>
      <c r="E721" s="14" t="inlineStr">
        <is>
          <t>Караван Волга</t>
        </is>
      </c>
      <c r="F721" s="16" t="n"/>
    </row>
    <row r="722">
      <c r="A722" s="14" t="inlineStr">
        <is>
          <t>2026 P05</t>
        </is>
      </c>
      <c r="B722" s="15" t="n">
        <v>1</v>
      </c>
      <c r="C722" s="15" t="n">
        <v>0.5448827716790765</v>
      </c>
      <c r="D722" s="15" t="n">
        <v>0.4551172283209235</v>
      </c>
      <c r="E722" s="14" t="inlineStr">
        <is>
          <t>ИП Щебетовский</t>
        </is>
      </c>
      <c r="F722" s="16" t="n"/>
    </row>
    <row r="723">
      <c r="A723" s="14" t="inlineStr">
        <is>
          <t>2026 P04</t>
        </is>
      </c>
      <c r="B723" s="15" t="n">
        <v>0.8564554847689068</v>
      </c>
      <c r="C723" s="15" t="n">
        <v>0.5431917046195076</v>
      </c>
      <c r="D723" s="15" t="n">
        <v>0.3132637801493992</v>
      </c>
      <c r="E723" s="14" t="inlineStr">
        <is>
          <t>Авоська (ООО Авоська-Два)</t>
        </is>
      </c>
      <c r="F723" s="16" t="n"/>
    </row>
    <row r="724">
      <c r="A724" s="14" t="inlineStr">
        <is>
          <t>2026 P02</t>
        </is>
      </c>
      <c r="B724" s="15" t="n">
        <v>0.9561866614969246</v>
      </c>
      <c r="C724" s="15" t="n">
        <v>0.5428529404838892</v>
      </c>
      <c r="D724" s="15" t="n">
        <v>0.4133337210130353</v>
      </c>
      <c r="E724" s="14" t="inlineStr">
        <is>
          <t>RegX5_LAR</t>
        </is>
      </c>
      <c r="F724" s="16" t="n"/>
    </row>
    <row r="725">
      <c r="A725" s="14" t="inlineStr">
        <is>
          <t>2026 P04</t>
        </is>
      </c>
      <c r="B725" s="15" t="n">
        <v>0.7019304296460688</v>
      </c>
      <c r="C725" s="15" t="n">
        <v>0.542705658270852</v>
      </c>
      <c r="D725" s="15" t="n">
        <v>0.1592247713752167</v>
      </c>
      <c r="E725" s="14" t="inlineStr">
        <is>
          <t>Бетховен</t>
        </is>
      </c>
      <c r="F725" s="16" t="n"/>
    </row>
    <row r="726">
      <c r="A726" s="14" t="inlineStr">
        <is>
          <t>2026 P05</t>
        </is>
      </c>
      <c r="B726" s="15" t="n">
        <v>0.549896127510249</v>
      </c>
      <c r="C726" s="15" t="n">
        <v>0.5424859432690373</v>
      </c>
      <c r="D726" s="15" t="n">
        <v>0.007410184241211648</v>
      </c>
      <c r="E726" s="14" t="inlineStr">
        <is>
          <t>89_Хороший ТД</t>
        </is>
      </c>
      <c r="F726" s="16" t="n"/>
    </row>
    <row r="727">
      <c r="A727" s="14" t="inlineStr">
        <is>
          <t>2026 P06</t>
        </is>
      </c>
      <c r="B727" s="15" t="n">
        <v>0.71460020683391</v>
      </c>
      <c r="C727" s="15" t="n">
        <v>0.5423979781655346</v>
      </c>
      <c r="D727" s="15" t="n">
        <v>0.1722022286683754</v>
      </c>
      <c r="E727" s="14" t="inlineStr">
        <is>
          <t>Впрок-Сервис</t>
        </is>
      </c>
      <c r="F727" s="16" t="n"/>
    </row>
    <row r="728">
      <c r="A728" s="14" t="inlineStr">
        <is>
          <t>2026 P02</t>
        </is>
      </c>
      <c r="B728" s="15" t="n">
        <v>0.6357703426383711</v>
      </c>
      <c r="C728" s="15" t="n">
        <v>0.5420034434266814</v>
      </c>
      <c r="D728" s="15" t="n">
        <v>0.09376689921168968</v>
      </c>
      <c r="E728" s="14" t="inlineStr">
        <is>
          <t>Караван Волга</t>
        </is>
      </c>
      <c r="F728" s="16" t="n"/>
    </row>
    <row r="729">
      <c r="A729" s="14" t="inlineStr">
        <is>
          <t>2026 P02</t>
        </is>
      </c>
      <c r="B729" s="15" t="n">
        <v>0.5835961489443705</v>
      </c>
      <c r="C729" s="15" t="n">
        <v>0.5399561003716989</v>
      </c>
      <c r="D729" s="15" t="n">
        <v>0.04364004857267156</v>
      </c>
      <c r="E729" s="14" t="inlineStr">
        <is>
          <t>ООО ТВК-Р</t>
        </is>
      </c>
      <c r="F729" s="16" t="n"/>
    </row>
    <row r="730">
      <c r="A730" s="14" t="inlineStr">
        <is>
          <t>2026 P07</t>
        </is>
      </c>
      <c r="B730" s="15" t="n">
        <v>0.9251151388890395</v>
      </c>
      <c r="C730" s="15" t="n">
        <v>0.5396699679950586</v>
      </c>
      <c r="D730" s="15" t="n">
        <v>0.3854451708939809</v>
      </c>
      <c r="E730" s="14" t="inlineStr">
        <is>
          <t>"""Осень"""</t>
        </is>
      </c>
      <c r="F730" s="16" t="n"/>
    </row>
    <row r="731">
      <c r="A731" s="14" t="inlineStr">
        <is>
          <t>2026 P03</t>
        </is>
      </c>
      <c r="B731" s="15" t="n">
        <v>0.866900182073624</v>
      </c>
      <c r="C731" s="15" t="n">
        <v>0.5395492066657084</v>
      </c>
      <c r="D731" s="15" t="n">
        <v>0.3273509754079156</v>
      </c>
      <c r="E731" s="14" t="inlineStr">
        <is>
          <t>Авоська (ООО Авоська-Два)</t>
        </is>
      </c>
      <c r="F731" s="16" t="n"/>
    </row>
    <row r="732">
      <c r="A732" s="14" t="inlineStr">
        <is>
          <t>2026 P02</t>
        </is>
      </c>
      <c r="B732" s="15" t="n">
        <v>0.5600999706634604</v>
      </c>
      <c r="C732" s="15" t="n">
        <v>0.5394633288295783</v>
      </c>
      <c r="D732" s="15" t="n">
        <v>0.02063664183388214</v>
      </c>
      <c r="E732" s="14" t="inlineStr">
        <is>
          <t>89_Хороший ТД</t>
        </is>
      </c>
      <c r="F732" s="16" t="n"/>
    </row>
    <row r="733">
      <c r="A733" s="14" t="inlineStr">
        <is>
          <t>2026 P01</t>
        </is>
      </c>
      <c r="B733" s="15" t="n">
        <v>0.6300828220395261</v>
      </c>
      <c r="C733" s="15" t="n">
        <v>0.5388195686633657</v>
      </c>
      <c r="D733" s="15" t="n">
        <v>0.09126325337616048</v>
      </c>
      <c r="E733" s="14" t="inlineStr">
        <is>
          <t>PetShop.ru</t>
        </is>
      </c>
      <c r="F733" s="16" t="n"/>
    </row>
    <row r="734">
      <c r="A734" s="14" t="inlineStr">
        <is>
          <t>2026 P07</t>
        </is>
      </c>
      <c r="B734" s="15" t="n">
        <v>0.7128494296266111</v>
      </c>
      <c r="C734" s="15" t="n">
        <v>0.5380731071583343</v>
      </c>
      <c r="D734" s="15" t="n">
        <v>0.1747763224682768</v>
      </c>
      <c r="E734" s="14" t="inlineStr">
        <is>
          <t>Впрок-Сервис</t>
        </is>
      </c>
      <c r="F734" s="16" t="n"/>
    </row>
    <row r="735">
      <c r="A735" s="14" t="inlineStr">
        <is>
          <t>2026 P08</t>
        </is>
      </c>
      <c r="B735" s="15" t="n">
        <v>0.9439306303192392</v>
      </c>
      <c r="C735" s="15" t="n">
        <v>0.5369210108301882</v>
      </c>
      <c r="D735" s="15" t="n">
        <v>0.407009619489051</v>
      </c>
      <c r="E735" s="14" t="inlineStr">
        <is>
          <t>"""Осень"""</t>
        </is>
      </c>
      <c r="F735" s="16" t="n"/>
    </row>
    <row r="736">
      <c r="A736" s="14" t="inlineStr">
        <is>
          <t>2026 P04</t>
        </is>
      </c>
      <c r="B736" s="15" t="n">
        <v>0.645873386706349</v>
      </c>
      <c r="C736" s="15" t="n">
        <v>0.5361482381381494</v>
      </c>
      <c r="D736" s="15" t="n">
        <v>0.1097251485681996</v>
      </c>
      <c r="E736" s="14" t="inlineStr">
        <is>
          <t>Авокадо</t>
        </is>
      </c>
      <c r="F736" s="16" t="n"/>
    </row>
    <row r="737">
      <c r="A737" s="14" t="inlineStr">
        <is>
          <t>2026 P07</t>
        </is>
      </c>
      <c r="B737" s="15" t="n">
        <v>0.6763091658226128</v>
      </c>
      <c r="C737" s="15" t="n">
        <v>0.5358598172139538</v>
      </c>
      <c r="D737" s="15" t="n">
        <v>0.140449348608659</v>
      </c>
      <c r="E737" s="14" t="inlineStr">
        <is>
          <t>Лидер-Крым</t>
        </is>
      </c>
      <c r="F737" s="16" t="n"/>
    </row>
    <row r="738">
      <c r="A738" s="14" t="inlineStr">
        <is>
          <t>2026 P07</t>
        </is>
      </c>
      <c r="B738" s="15" t="n">
        <v>0.9589862301136024</v>
      </c>
      <c r="C738" s="15" t="n">
        <v>0.535517494826633</v>
      </c>
      <c r="D738" s="15" t="n">
        <v>0.4234687352869694</v>
      </c>
      <c r="E738" s="14" t="inlineStr">
        <is>
          <t>RegX5_LAR</t>
        </is>
      </c>
      <c r="F738" s="16" t="n"/>
    </row>
    <row r="739">
      <c r="A739" s="14" t="inlineStr">
        <is>
          <t>2026 P02</t>
        </is>
      </c>
      <c r="B739" s="15" t="n">
        <v>0.7818743847522959</v>
      </c>
      <c r="C739" s="15" t="n">
        <v>0.5352093035629405</v>
      </c>
      <c r="D739" s="15" t="n">
        <v>0.2466650811893554</v>
      </c>
      <c r="E739" s="14" t="inlineStr">
        <is>
          <t>ИП Феоктистов М.В.</t>
        </is>
      </c>
      <c r="F739" s="16" t="n"/>
    </row>
    <row r="740">
      <c r="A740" s="14" t="inlineStr">
        <is>
          <t>2026 P06</t>
        </is>
      </c>
      <c r="B740" s="15" t="n">
        <v>0.7466630913017896</v>
      </c>
      <c r="C740" s="15" t="n">
        <v>0.5344919855195441</v>
      </c>
      <c r="D740" s="15" t="n">
        <v>0.2121711057822455</v>
      </c>
      <c r="E740" s="14" t="inlineStr">
        <is>
          <t>Заповедник</t>
        </is>
      </c>
      <c r="F740" s="16" t="n"/>
    </row>
    <row r="741">
      <c r="A741" s="14" t="inlineStr">
        <is>
          <t>2026 P02</t>
        </is>
      </c>
      <c r="B741" s="15" t="n">
        <v>0.9134455306389899</v>
      </c>
      <c r="C741" s="15" t="n">
        <v>0.5337635650908823</v>
      </c>
      <c r="D741" s="15" t="n">
        <v>0.3796819655481076</v>
      </c>
      <c r="E741" s="14" t="inlineStr">
        <is>
          <t>Метро</t>
        </is>
      </c>
      <c r="F741" s="16" t="n"/>
    </row>
    <row r="742">
      <c r="A742" s="14" t="inlineStr">
        <is>
          <t>2026 P08</t>
        </is>
      </c>
      <c r="B742" s="15" t="n">
        <v>0.64241385145425</v>
      </c>
      <c r="C742" s="15" t="n">
        <v>0.5313153476685977</v>
      </c>
      <c r="D742" s="15" t="n">
        <v>0.1110985037856523</v>
      </c>
      <c r="E742" s="14" t="inlineStr">
        <is>
          <t>Лидер-Крым</t>
        </is>
      </c>
      <c r="F742" s="16" t="n"/>
    </row>
    <row r="743">
      <c r="A743" s="14" t="inlineStr">
        <is>
          <t>2026 P08</t>
        </is>
      </c>
      <c r="B743" s="15" t="n">
        <v>0.6393496779581049</v>
      </c>
      <c r="C743" s="15" t="n">
        <v>0.5303720714492995</v>
      </c>
      <c r="D743" s="15" t="n">
        <v>0.1089776065088054</v>
      </c>
      <c r="E743" s="14" t="inlineStr">
        <is>
          <t>Караван Волга</t>
        </is>
      </c>
      <c r="F743" s="16" t="n"/>
    </row>
    <row r="744">
      <c r="A744" s="14" t="inlineStr">
        <is>
          <t>2026 P02</t>
        </is>
      </c>
      <c r="B744" s="15" t="n">
        <v>0.7620397609239768</v>
      </c>
      <c r="C744" s="15" t="n">
        <v>0.5302004747937846</v>
      </c>
      <c r="D744" s="15" t="n">
        <v>0.2318392861301922</v>
      </c>
      <c r="E744" s="14" t="inlineStr">
        <is>
          <t>Таубер</t>
        </is>
      </c>
      <c r="F744" s="16" t="n"/>
    </row>
    <row r="745">
      <c r="A745" s="14" t="inlineStr">
        <is>
          <t>2026 P04</t>
        </is>
      </c>
      <c r="B745" s="15" t="n">
        <v>0.999732572085408</v>
      </c>
      <c r="C745" s="15" t="n">
        <v>0.5292409292113123</v>
      </c>
      <c r="D745" s="15" t="n">
        <v>0.4704916428740957</v>
      </c>
      <c r="E745" s="14" t="inlineStr">
        <is>
          <t>ИП Щебетовский</t>
        </is>
      </c>
      <c r="F745" s="16" t="n"/>
    </row>
    <row r="746">
      <c r="A746" s="14" t="inlineStr">
        <is>
          <t>2026 P06</t>
        </is>
      </c>
      <c r="B746" s="15" t="n">
        <v>0.6511254896492729</v>
      </c>
      <c r="C746" s="15" t="n">
        <v>0.5287247383247711</v>
      </c>
      <c r="D746" s="15" t="n">
        <v>0.1224007513245018</v>
      </c>
      <c r="E746" s="14" t="inlineStr">
        <is>
          <t>Авокадо</t>
        </is>
      </c>
      <c r="F746" s="16" t="n"/>
    </row>
    <row r="747">
      <c r="A747" s="14" t="inlineStr">
        <is>
          <t>2026 P07</t>
        </is>
      </c>
      <c r="B747" s="15" t="n">
        <v>0.6690379620087129</v>
      </c>
      <c r="C747" s="15" t="n">
        <v>0.5282993099228371</v>
      </c>
      <c r="D747" s="15" t="n">
        <v>0.1407386520858758</v>
      </c>
      <c r="E747" s="14" t="inlineStr">
        <is>
          <t>Авокадо</t>
        </is>
      </c>
      <c r="F747" s="16" t="n"/>
    </row>
    <row r="748">
      <c r="A748" s="14" t="inlineStr">
        <is>
          <t>2026 P06</t>
        </is>
      </c>
      <c r="B748" s="15" t="n">
        <v>1</v>
      </c>
      <c r="C748" s="15" t="n">
        <v>0.528058858351907</v>
      </c>
      <c r="D748" s="15" t="n">
        <v>0.471941141648093</v>
      </c>
      <c r="E748" s="14" t="inlineStr">
        <is>
          <t>ИП Щебетовский</t>
        </is>
      </c>
      <c r="F748" s="16" t="n"/>
    </row>
    <row r="749">
      <c r="A749" s="14" t="inlineStr">
        <is>
          <t>2026 P01</t>
        </is>
      </c>
      <c r="B749" s="15" t="n">
        <v>0.7909236906659924</v>
      </c>
      <c r="C749" s="15" t="n">
        <v>0.526985881565035</v>
      </c>
      <c r="D749" s="15" t="n">
        <v>0.2639378091009574</v>
      </c>
      <c r="E749" s="14" t="inlineStr">
        <is>
          <t>Таубер</t>
        </is>
      </c>
      <c r="F749" s="16" t="n"/>
    </row>
    <row r="750">
      <c r="A750" s="14" t="inlineStr">
        <is>
          <t>2026 P01</t>
        </is>
      </c>
      <c r="B750" s="15" t="n">
        <v>0.7141623813408307</v>
      </c>
      <c r="C750" s="15" t="n">
        <v>0.5260946086557511</v>
      </c>
      <c r="D750" s="15" t="n">
        <v>0.1880677726850796</v>
      </c>
      <c r="E750" s="14" t="inlineStr">
        <is>
          <t>89_Хороший ТД</t>
        </is>
      </c>
      <c r="F750" s="16" t="n"/>
    </row>
    <row r="751">
      <c r="A751" s="14" t="inlineStr">
        <is>
          <t>2026 P01</t>
        </is>
      </c>
      <c r="B751" s="15" t="n">
        <v>0.8768578079864738</v>
      </c>
      <c r="C751" s="15" t="n">
        <v>0.5256845153493908</v>
      </c>
      <c r="D751" s="15" t="n">
        <v>0.3511732926370831</v>
      </c>
      <c r="E751" s="14" t="inlineStr">
        <is>
          <t>Сибагро</t>
        </is>
      </c>
      <c r="F751" s="16" t="n"/>
    </row>
    <row r="752">
      <c r="A752" s="14" t="inlineStr">
        <is>
          <t>2026 P01</t>
        </is>
      </c>
      <c r="B752" s="15" t="n">
        <v>0.6364124576533151</v>
      </c>
      <c r="C752" s="15" t="n">
        <v>0.5254990529062353</v>
      </c>
      <c r="D752" s="15" t="n">
        <v>0.1109134047470798</v>
      </c>
      <c r="E752" s="14" t="inlineStr">
        <is>
          <t>Караван Волга</t>
        </is>
      </c>
      <c r="F752" s="16" t="n"/>
    </row>
    <row r="753">
      <c r="A753" s="14" t="inlineStr">
        <is>
          <t>2026 P02</t>
        </is>
      </c>
      <c r="B753" s="15" t="n">
        <v>0.9776423228617113</v>
      </c>
      <c r="C753" s="15" t="n">
        <v>0.5245246508554263</v>
      </c>
      <c r="D753" s="15" t="n">
        <v>0.4531176720062849</v>
      </c>
      <c r="E753" s="14" t="inlineStr">
        <is>
          <t>Нем</t>
        </is>
      </c>
      <c r="F753" s="16" t="n"/>
    </row>
    <row r="754">
      <c r="A754" s="14" t="inlineStr">
        <is>
          <t>2026 P01</t>
        </is>
      </c>
      <c r="B754" s="15" t="n">
        <v>0.6757073214027803</v>
      </c>
      <c r="C754" s="15" t="n">
        <v>0.5243727609782739</v>
      </c>
      <c r="D754" s="15" t="n">
        <v>0.1513345604245064</v>
      </c>
      <c r="E754" s="14" t="inlineStr">
        <is>
          <t>Впрок-Сервис</t>
        </is>
      </c>
      <c r="F754" s="16" t="n"/>
    </row>
    <row r="755">
      <c r="A755" s="14" t="inlineStr">
        <is>
          <t>2026 P01</t>
        </is>
      </c>
      <c r="B755" s="15" t="n">
        <v>0.8959117538545666</v>
      </c>
      <c r="C755" s="15" t="n">
        <v>0.5231022661183896</v>
      </c>
      <c r="D755" s="15" t="n">
        <v>0.3728094877361769</v>
      </c>
      <c r="E755" s="14" t="inlineStr">
        <is>
          <t>Авоська (ООО Авоська-Два)</t>
        </is>
      </c>
      <c r="F755" s="16" t="n"/>
    </row>
    <row r="756">
      <c r="A756" s="14" t="inlineStr">
        <is>
          <t>2026 P02</t>
        </is>
      </c>
      <c r="B756" s="15" t="n">
        <v>0.6185946879830938</v>
      </c>
      <c r="C756" s="15" t="n">
        <v>0.5222802213009755</v>
      </c>
      <c r="D756" s="15" t="n">
        <v>0.09631446668211829</v>
      </c>
      <c r="E756" s="14" t="inlineStr">
        <is>
          <t>Авокадо</t>
        </is>
      </c>
      <c r="F756" s="16" t="n"/>
    </row>
    <row r="757">
      <c r="A757" s="14" t="inlineStr">
        <is>
          <t>2026 P01</t>
        </is>
      </c>
      <c r="B757" s="15" t="n">
        <v>0.7914998920442161</v>
      </c>
      <c r="C757" s="15" t="n">
        <v>0.5213345523517612</v>
      </c>
      <c r="D757" s="15" t="n">
        <v>0.2701653396924549</v>
      </c>
      <c r="E757" s="14" t="inlineStr">
        <is>
          <t>ИП Феоктистов М.В.</t>
        </is>
      </c>
      <c r="F757" s="16" t="n"/>
    </row>
    <row r="758">
      <c r="A758" s="14" t="inlineStr">
        <is>
          <t>2026 P05</t>
        </is>
      </c>
      <c r="B758" s="15" t="n">
        <v>0.9740310604354813</v>
      </c>
      <c r="C758" s="15" t="n">
        <v>0.5186808585263896</v>
      </c>
      <c r="D758" s="15" t="n">
        <v>0.4553502019090917</v>
      </c>
      <c r="E758" s="14" t="inlineStr">
        <is>
          <t>Заботливые цены</t>
        </is>
      </c>
      <c r="F758" s="16" t="n"/>
    </row>
    <row r="759">
      <c r="A759" s="14" t="inlineStr">
        <is>
          <t>2026 P03</t>
        </is>
      </c>
      <c r="B759" s="15" t="n">
        <v>0.7414681943754563</v>
      </c>
      <c r="C759" s="15" t="n">
        <v>0.5183186293160778</v>
      </c>
      <c r="D759" s="15" t="n">
        <v>0.2231495650593786</v>
      </c>
      <c r="E759" s="14" t="inlineStr">
        <is>
          <t>ОБЛПО ПО</t>
        </is>
      </c>
      <c r="F759" s="16" t="n"/>
    </row>
    <row r="760">
      <c r="A760" s="14" t="inlineStr">
        <is>
          <t>2026 P08</t>
        </is>
      </c>
      <c r="B760" s="15" t="n">
        <v>0.7365870541939245</v>
      </c>
      <c r="C760" s="15" t="n">
        <v>0.5181851963219611</v>
      </c>
      <c r="D760" s="15" t="n">
        <v>0.2184018578719633</v>
      </c>
      <c r="E760" s="14" t="inlineStr">
        <is>
          <t>Народный</t>
        </is>
      </c>
      <c r="F760" s="16" t="n"/>
    </row>
    <row r="761">
      <c r="A761" s="14" t="inlineStr">
        <is>
          <t>2026 P03</t>
        </is>
      </c>
      <c r="B761" s="15" t="n">
        <v>0.8335352378640928</v>
      </c>
      <c r="C761" s="15" t="n">
        <v>0.516610661121614</v>
      </c>
      <c r="D761" s="15" t="n">
        <v>0.3169245767424788</v>
      </c>
      <c r="E761" s="14" t="inlineStr">
        <is>
          <t>ИП Гулян Д.Г.</t>
        </is>
      </c>
      <c r="F761" s="16" t="n"/>
    </row>
    <row r="762">
      <c r="A762" s="14" t="inlineStr">
        <is>
          <t>2026 P02</t>
        </is>
      </c>
      <c r="B762" s="15" t="n">
        <v>0.8842459903515862</v>
      </c>
      <c r="C762" s="15" t="n">
        <v>0.5157982559270654</v>
      </c>
      <c r="D762" s="15" t="n">
        <v>0.3684477344245208</v>
      </c>
      <c r="E762" s="14" t="inlineStr">
        <is>
          <t>Авоська (ООО Авоська-Два)</t>
        </is>
      </c>
      <c r="F762" s="16" t="n"/>
    </row>
    <row r="763">
      <c r="A763" s="14" t="inlineStr">
        <is>
          <t>2026 P08</t>
        </is>
      </c>
      <c r="B763" s="15" t="n">
        <v>0.9611358660653828</v>
      </c>
      <c r="C763" s="15" t="n">
        <v>0.5144332756289437</v>
      </c>
      <c r="D763" s="15" t="n">
        <v>0.4467025904364391</v>
      </c>
      <c r="E763" s="14" t="inlineStr">
        <is>
          <t>Победа (Гулливер)</t>
        </is>
      </c>
      <c r="F763" s="16" t="n"/>
    </row>
    <row r="764">
      <c r="A764" s="14" t="inlineStr">
        <is>
          <t>2026 P01</t>
        </is>
      </c>
      <c r="B764" s="15" t="n">
        <v>0.5508714555071212</v>
      </c>
      <c r="C764" s="15" t="n">
        <v>0.5111141195240032</v>
      </c>
      <c r="D764" s="15" t="n">
        <v>0.03975733598311804</v>
      </c>
      <c r="E764" s="14" t="inlineStr">
        <is>
          <t>ООО ТВК-Р</t>
        </is>
      </c>
      <c r="F764" s="16" t="n"/>
    </row>
    <row r="765">
      <c r="A765" s="14" t="inlineStr">
        <is>
          <t>2026 P03</t>
        </is>
      </c>
      <c r="B765" s="15" t="n">
        <v>0.6850140893438902</v>
      </c>
      <c r="C765" s="15" t="n">
        <v>0.5091120726303319</v>
      </c>
      <c r="D765" s="15" t="n">
        <v>0.1759020167135583</v>
      </c>
      <c r="E765" s="14" t="inlineStr">
        <is>
          <t>Бетховен</t>
        </is>
      </c>
      <c r="F765" s="16" t="n"/>
    </row>
    <row r="766">
      <c r="A766" s="14" t="inlineStr">
        <is>
          <t>2026 P07</t>
        </is>
      </c>
      <c r="B766" s="15" t="n">
        <v>0.673412629782334</v>
      </c>
      <c r="C766" s="15" t="n">
        <v>0.5080733192960478</v>
      </c>
      <c r="D766" s="15" t="n">
        <v>0.1653393104862861</v>
      </c>
      <c r="E766" s="14" t="inlineStr">
        <is>
          <t>Заповедник</t>
        </is>
      </c>
      <c r="F766" s="16" t="n"/>
    </row>
    <row r="767">
      <c r="A767" s="14" t="inlineStr">
        <is>
          <t>2026 P06</t>
        </is>
      </c>
      <c r="B767" s="15" t="n">
        <v>0.9286757790497967</v>
      </c>
      <c r="C767" s="15" t="n">
        <v>0.5051043921030498</v>
      </c>
      <c r="D767" s="15" t="n">
        <v>0.4235713869467469</v>
      </c>
      <c r="E767" s="14" t="inlineStr">
        <is>
          <t>Победа (Гулливер)</t>
        </is>
      </c>
      <c r="F767" s="16" t="n"/>
    </row>
    <row r="768">
      <c r="A768" s="14" t="inlineStr">
        <is>
          <t>2026 P05</t>
        </is>
      </c>
      <c r="B768" s="15" t="n">
        <v>0.9702131805705225</v>
      </c>
      <c r="C768" s="15" t="n">
        <v>0.504294409536909</v>
      </c>
      <c r="D768" s="15" t="n">
        <v>0.4659187710336136</v>
      </c>
      <c r="E768" s="14" t="inlineStr">
        <is>
          <t>Победа (Гулливер)</t>
        </is>
      </c>
      <c r="F768" s="16" t="n"/>
    </row>
    <row r="769">
      <c r="A769" s="14" t="inlineStr">
        <is>
          <t>2026 P02</t>
        </is>
      </c>
      <c r="B769" s="15" t="n">
        <v>0.5520870724638667</v>
      </c>
      <c r="C769" s="15" t="n">
        <v>0.497773157175015</v>
      </c>
      <c r="D769" s="15" t="n">
        <v>0.05431391528885171</v>
      </c>
      <c r="E769" s="14" t="inlineStr">
        <is>
          <t>"""Осень"""</t>
        </is>
      </c>
      <c r="F769" s="16" t="n"/>
    </row>
    <row r="770">
      <c r="A770" s="14" t="inlineStr">
        <is>
          <t>2026 P06</t>
        </is>
      </c>
      <c r="B770" s="15" t="n">
        <v>0.5324615413920544</v>
      </c>
      <c r="C770" s="15" t="n">
        <v>0.4973914761104557</v>
      </c>
      <c r="D770" s="15" t="n">
        <v>0.03507006528159867</v>
      </c>
      <c r="E770" s="14" t="inlineStr">
        <is>
          <t>89_Хороший ТД</t>
        </is>
      </c>
      <c r="F770" s="16" t="n"/>
    </row>
    <row r="771">
      <c r="A771" s="14" t="inlineStr">
        <is>
          <t>2026 P07</t>
        </is>
      </c>
      <c r="B771" s="15" t="n">
        <v>0.724054286836559</v>
      </c>
      <c r="C771" s="15" t="n">
        <v>0.4964793935887434</v>
      </c>
      <c r="D771" s="15" t="n">
        <v>0.2275748932478156</v>
      </c>
      <c r="E771" s="14" t="inlineStr">
        <is>
          <t>Народный</t>
        </is>
      </c>
      <c r="F771" s="16" t="n"/>
    </row>
    <row r="772">
      <c r="A772" s="14" t="inlineStr">
        <is>
          <t>2026 P03</t>
        </is>
      </c>
      <c r="B772" s="15" t="n">
        <v>0.6114262828150364</v>
      </c>
      <c r="C772" s="15" t="n">
        <v>0.4951571177486552</v>
      </c>
      <c r="D772" s="15" t="n">
        <v>0.1162691650663812</v>
      </c>
      <c r="E772" s="14" t="inlineStr">
        <is>
          <t>Авокадо</t>
        </is>
      </c>
      <c r="F772" s="16" t="n"/>
    </row>
    <row r="773">
      <c r="A773" s="14" t="inlineStr">
        <is>
          <t>2026 P04</t>
        </is>
      </c>
      <c r="B773" s="15" t="n">
        <v>0.9229071086186538</v>
      </c>
      <c r="C773" s="15" t="n">
        <v>0.4947434312049514</v>
      </c>
      <c r="D773" s="15" t="n">
        <v>0.4281636774137024</v>
      </c>
      <c r="E773" s="14" t="inlineStr">
        <is>
          <t>Победа (Гулливер)</t>
        </is>
      </c>
      <c r="F773" s="16" t="n"/>
    </row>
    <row r="774">
      <c r="A774" s="14" t="inlineStr">
        <is>
          <t>2026 P06</t>
        </is>
      </c>
      <c r="B774" s="15" t="n">
        <v>0.7975237664333941</v>
      </c>
      <c r="C774" s="15" t="n">
        <v>0.4936558230116133</v>
      </c>
      <c r="D774" s="15" t="n">
        <v>0.3038679434217808</v>
      </c>
      <c r="E774" s="14" t="inlineStr">
        <is>
          <t>Абсолют</t>
        </is>
      </c>
      <c r="F774" s="16" t="n"/>
    </row>
    <row r="775">
      <c r="A775" s="14" t="inlineStr">
        <is>
          <t>2026 P02</t>
        </is>
      </c>
      <c r="B775" s="15" t="n">
        <v>0.6404726308058296</v>
      </c>
      <c r="C775" s="15" t="n">
        <v>0.4932287606393491</v>
      </c>
      <c r="D775" s="15" t="n">
        <v>0.1472438701664805</v>
      </c>
      <c r="E775" s="14" t="inlineStr">
        <is>
          <t>Впрок-Сервис</t>
        </is>
      </c>
      <c r="F775" s="16" t="n"/>
    </row>
    <row r="776">
      <c r="A776" s="14" t="inlineStr">
        <is>
          <t>2026 P08</t>
        </is>
      </c>
      <c r="B776" s="15" t="n">
        <v>0.7036953077837838</v>
      </c>
      <c r="C776" s="15" t="n">
        <v>0.4931539780306078</v>
      </c>
      <c r="D776" s="15" t="n">
        <v>0.210541329753176</v>
      </c>
      <c r="E776" s="14" t="inlineStr">
        <is>
          <t>Впрок-Сервис</t>
        </is>
      </c>
      <c r="F776" s="16" t="n"/>
    </row>
    <row r="777">
      <c r="A777" s="14" t="inlineStr">
        <is>
          <t>2026 P07</t>
        </is>
      </c>
      <c r="B777" s="15" t="n">
        <v>0.5518461583581374</v>
      </c>
      <c r="C777" s="15" t="n">
        <v>0.4920399903193449</v>
      </c>
      <c r="D777" s="15" t="n">
        <v>0.05980616803879252</v>
      </c>
      <c r="E777" s="14" t="inlineStr">
        <is>
          <t>ОБЛПО ПО</t>
        </is>
      </c>
      <c r="F777" s="16" t="n"/>
    </row>
    <row r="778">
      <c r="A778" s="14" t="inlineStr">
        <is>
          <t>2026 P06</t>
        </is>
      </c>
      <c r="B778" s="15" t="n">
        <v>0.8582480326276983</v>
      </c>
      <c r="C778" s="15" t="n">
        <v>0.491809519276848</v>
      </c>
      <c r="D778" s="15" t="n">
        <v>0.3664385133508504</v>
      </c>
      <c r="E778" s="14" t="inlineStr">
        <is>
          <t>ИП Гулян Д.Г.</t>
        </is>
      </c>
      <c r="F778" s="16" t="n"/>
    </row>
    <row r="779">
      <c r="A779" s="14" t="inlineStr">
        <is>
          <t>2026 P04</t>
        </is>
      </c>
      <c r="B779" s="15" t="n">
        <v>0.6558362086156635</v>
      </c>
      <c r="C779" s="15" t="n">
        <v>0.4917068951731002</v>
      </c>
      <c r="D779" s="15" t="n">
        <v>0.1641293134425633</v>
      </c>
      <c r="E779" s="14" t="inlineStr">
        <is>
          <t>Народный</t>
        </is>
      </c>
      <c r="F779" s="16" t="n"/>
    </row>
    <row r="780">
      <c r="A780" s="14" t="inlineStr">
        <is>
          <t>2026 P02</t>
        </is>
      </c>
      <c r="B780" s="15" t="n">
        <v>0.6418393196369155</v>
      </c>
      <c r="C780" s="15" t="n">
        <v>0.4909362622659666</v>
      </c>
      <c r="D780" s="15" t="n">
        <v>0.1509030573709489</v>
      </c>
      <c r="E780" s="14" t="inlineStr">
        <is>
          <t>Заповедник</t>
        </is>
      </c>
      <c r="F780" s="16" t="n"/>
    </row>
    <row r="781">
      <c r="A781" s="14" t="inlineStr">
        <is>
          <t>2026 P02</t>
        </is>
      </c>
      <c r="B781" s="15" t="n">
        <v>0.6410903751552174</v>
      </c>
      <c r="C781" s="15" t="n">
        <v>0.4896649778272285</v>
      </c>
      <c r="D781" s="15" t="n">
        <v>0.1514253973279889</v>
      </c>
      <c r="E781" s="14" t="inlineStr">
        <is>
          <t>Лидер-Крым</t>
        </is>
      </c>
      <c r="F781" s="16" t="n"/>
    </row>
    <row r="782">
      <c r="A782" s="14" t="inlineStr">
        <is>
          <t>2026 P03</t>
        </is>
      </c>
      <c r="B782" s="15" t="n">
        <v>0.5845004475437561</v>
      </c>
      <c r="C782" s="15" t="n">
        <v>0.4889561099886245</v>
      </c>
      <c r="D782" s="15" t="n">
        <v>0.09554433755513153</v>
      </c>
      <c r="E782" s="14" t="inlineStr">
        <is>
          <t>Бегемот система универсамов</t>
        </is>
      </c>
      <c r="F782" s="16" t="n"/>
    </row>
    <row r="783">
      <c r="A783" s="14" t="inlineStr">
        <is>
          <t>2026 P07</t>
        </is>
      </c>
      <c r="B783" s="15" t="n">
        <v>0.6768609604006791</v>
      </c>
      <c r="C783" s="15" t="n">
        <v>0.4879747926877911</v>
      </c>
      <c r="D783" s="15" t="n">
        <v>0.188886167712888</v>
      </c>
      <c r="E783" s="14" t="inlineStr">
        <is>
          <t>Хороший ВЛ</t>
        </is>
      </c>
      <c r="F783" s="16" t="n"/>
    </row>
    <row r="784">
      <c r="A784" s="14" t="inlineStr">
        <is>
          <t>2026 P03</t>
        </is>
      </c>
      <c r="B784" s="15" t="n">
        <v>0.6689002838272864</v>
      </c>
      <c r="C784" s="15" t="n">
        <v>0.4875548521143285</v>
      </c>
      <c r="D784" s="15" t="n">
        <v>0.1813454317129579</v>
      </c>
      <c r="E784" s="14" t="inlineStr">
        <is>
          <t>Народный</t>
        </is>
      </c>
      <c r="F784" s="16" t="n"/>
    </row>
    <row r="785">
      <c r="A785" s="14" t="inlineStr">
        <is>
          <t>2026 P05</t>
        </is>
      </c>
      <c r="B785" s="15" t="n">
        <v>0.9279235540392009</v>
      </c>
      <c r="C785" s="15" t="n">
        <v>0.4875287026514301</v>
      </c>
      <c r="D785" s="15" t="n">
        <v>0.4403948513877708</v>
      </c>
      <c r="E785" s="14" t="inlineStr">
        <is>
          <t>Зооветсервис ООО</t>
        </is>
      </c>
      <c r="F785" s="16" t="n"/>
    </row>
    <row r="786">
      <c r="A786" s="14" t="inlineStr">
        <is>
          <t>2026 P02</t>
        </is>
      </c>
      <c r="B786" s="15" t="n">
        <v>0.6644676028431989</v>
      </c>
      <c r="C786" s="15" t="n">
        <v>0.4836160761063052</v>
      </c>
      <c r="D786" s="15" t="n">
        <v>0.1808515267368937</v>
      </c>
      <c r="E786" s="14" t="inlineStr">
        <is>
          <t>Народный</t>
        </is>
      </c>
      <c r="F786" s="16" t="n"/>
    </row>
    <row r="787">
      <c r="A787" s="14" t="inlineStr">
        <is>
          <t>2026 P02</t>
        </is>
      </c>
      <c r="B787" s="15" t="n">
        <v>0.8469933743404237</v>
      </c>
      <c r="C787" s="15" t="n">
        <v>0.4829570948704656</v>
      </c>
      <c r="D787" s="15" t="n">
        <v>0.3640362794699581</v>
      </c>
      <c r="E787" s="14" t="inlineStr">
        <is>
          <t>Сибагро</t>
        </is>
      </c>
      <c r="F787" s="16" t="n"/>
    </row>
    <row r="788">
      <c r="A788" s="14" t="inlineStr">
        <is>
          <t>2026 P08</t>
        </is>
      </c>
      <c r="B788" s="15" t="n">
        <v>0.6871623747145532</v>
      </c>
      <c r="C788" s="15" t="n">
        <v>0.4822103948897782</v>
      </c>
      <c r="D788" s="15" t="n">
        <v>0.204951979824775</v>
      </c>
      <c r="E788" s="14" t="inlineStr">
        <is>
          <t>Заповедник</t>
        </is>
      </c>
      <c r="F788" s="16" t="n"/>
    </row>
    <row r="789">
      <c r="A789" s="14" t="inlineStr">
        <is>
          <t>2026 P01</t>
        </is>
      </c>
      <c r="B789" s="15" t="n">
        <v>0.5308502769112073</v>
      </c>
      <c r="C789" s="15" t="n">
        <v>0.4808940184273789</v>
      </c>
      <c r="D789" s="15" t="n">
        <v>0.0499562584838284</v>
      </c>
      <c r="E789" s="14" t="inlineStr">
        <is>
          <t>ОБЛПО ПО</t>
        </is>
      </c>
      <c r="F789" s="16" t="n"/>
    </row>
    <row r="790">
      <c r="A790" s="14" t="inlineStr">
        <is>
          <t>2026 P01</t>
        </is>
      </c>
      <c r="B790" s="15" t="n">
        <v>0.8292587443494371</v>
      </c>
      <c r="C790" s="15" t="n">
        <v>0.4796772447384933</v>
      </c>
      <c r="D790" s="15" t="n">
        <v>0.3495814996109439</v>
      </c>
      <c r="E790" s="14" t="inlineStr">
        <is>
          <t>Метро</t>
        </is>
      </c>
      <c r="F790" s="16" t="n"/>
    </row>
    <row r="791">
      <c r="A791" s="14" t="inlineStr">
        <is>
          <t>2026 P08</t>
        </is>
      </c>
      <c r="B791" s="15" t="n">
        <v>0.5492492134081591</v>
      </c>
      <c r="C791" s="15" t="n">
        <v>0.4785059146625751</v>
      </c>
      <c r="D791" s="15" t="n">
        <v>0.07074329874558405</v>
      </c>
      <c r="E791" s="14" t="inlineStr">
        <is>
          <t>ОБЛПО ПО</t>
        </is>
      </c>
      <c r="F791" s="16" t="n"/>
    </row>
    <row r="792">
      <c r="A792" s="14" t="inlineStr">
        <is>
          <t>2026 P02</t>
        </is>
      </c>
      <c r="B792" s="15" t="n">
        <v>0.6308265960061245</v>
      </c>
      <c r="C792" s="15" t="n">
        <v>0.4764550442729759</v>
      </c>
      <c r="D792" s="15" t="n">
        <v>0.1543715517331486</v>
      </c>
      <c r="E792" s="14" t="inlineStr">
        <is>
          <t>ОБЛПО ПО</t>
        </is>
      </c>
      <c r="F792" s="16" t="n"/>
    </row>
    <row r="793">
      <c r="A793" s="14" t="inlineStr">
        <is>
          <t>2026 P07</t>
        </is>
      </c>
      <c r="B793" s="15" t="n">
        <v>0.9802028234068222</v>
      </c>
      <c r="C793" s="15" t="n">
        <v>0.4726112097869041</v>
      </c>
      <c r="D793" s="15" t="n">
        <v>0.5075916136199181</v>
      </c>
      <c r="E793" s="14" t="inlineStr">
        <is>
          <t>Мир Корма</t>
        </is>
      </c>
      <c r="F793" s="16" t="n"/>
    </row>
    <row r="794">
      <c r="A794" s="14" t="inlineStr">
        <is>
          <t>2026 P02</t>
        </is>
      </c>
      <c r="B794" s="15" t="n">
        <v>0.97701498310303</v>
      </c>
      <c r="C794" s="15" t="n">
        <v>0.4712958680613422</v>
      </c>
      <c r="D794" s="15" t="n">
        <v>0.5057191150416878</v>
      </c>
      <c r="E794" s="14" t="inlineStr">
        <is>
          <t>Победа (Гулливер)</t>
        </is>
      </c>
      <c r="F794" s="16" t="n"/>
    </row>
    <row r="795">
      <c r="A795" s="14" t="inlineStr">
        <is>
          <t>2026 P08</t>
        </is>
      </c>
      <c r="B795" s="15" t="n">
        <v>0.745969650830098</v>
      </c>
      <c r="C795" s="15" t="n">
        <v>0.4712161932564637</v>
      </c>
      <c r="D795" s="15" t="n">
        <v>0.2747534575736343</v>
      </c>
      <c r="E795" s="14" t="inlineStr">
        <is>
          <t>Хороший ВЛ</t>
        </is>
      </c>
      <c r="F795" s="16" t="n"/>
    </row>
    <row r="796">
      <c r="A796" s="14" t="inlineStr">
        <is>
          <t>2026 P01</t>
        </is>
      </c>
      <c r="B796" s="15" t="n">
        <v>0.9734776477858507</v>
      </c>
      <c r="C796" s="15" t="n">
        <v>0.4690013612079198</v>
      </c>
      <c r="D796" s="15" t="n">
        <v>0.5044762865779309</v>
      </c>
      <c r="E796" s="14" t="inlineStr">
        <is>
          <t>Мир Корма</t>
        </is>
      </c>
      <c r="F796" s="16" t="n"/>
    </row>
    <row r="797">
      <c r="A797" s="14" t="inlineStr">
        <is>
          <t>2026 P04</t>
        </is>
      </c>
      <c r="B797" s="15" t="n">
        <v>0.8170470526064455</v>
      </c>
      <c r="C797" s="15" t="n">
        <v>0.4672468299280167</v>
      </c>
      <c r="D797" s="15" t="n">
        <v>0.3498002226784288</v>
      </c>
      <c r="E797" s="14" t="inlineStr">
        <is>
          <t>ИП Гулян Д.Г.</t>
        </is>
      </c>
      <c r="F797" s="16" t="n"/>
    </row>
    <row r="798">
      <c r="A798" s="14" t="inlineStr">
        <is>
          <t>2026 P03</t>
        </is>
      </c>
      <c r="B798" s="15" t="n">
        <v>0.9807333685304771</v>
      </c>
      <c r="C798" s="15" t="n">
        <v>0.466576385910186</v>
      </c>
      <c r="D798" s="15" t="n">
        <v>0.5141569826202911</v>
      </c>
      <c r="E798" s="14" t="inlineStr">
        <is>
          <t>Победа (Гулливер)</t>
        </is>
      </c>
      <c r="F798" s="16" t="n"/>
    </row>
    <row r="799">
      <c r="A799" s="14" t="inlineStr">
        <is>
          <t>2026 P02</t>
        </is>
      </c>
      <c r="B799" s="15" t="n">
        <v>0.5611603020978414</v>
      </c>
      <c r="C799" s="15" t="n">
        <v>0.4664458005359466</v>
      </c>
      <c r="D799" s="15" t="n">
        <v>0.09471450156189476</v>
      </c>
      <c r="E799" s="14" t="inlineStr">
        <is>
          <t>PetShop.ru</t>
        </is>
      </c>
      <c r="F799" s="16" t="n"/>
    </row>
    <row r="800">
      <c r="A800" s="14" t="inlineStr">
        <is>
          <t>2026 P02</t>
        </is>
      </c>
      <c r="B800" s="15" t="n">
        <v>0.9415910642444465</v>
      </c>
      <c r="C800" s="15" t="n">
        <v>0.4662952786906095</v>
      </c>
      <c r="D800" s="15" t="n">
        <v>0.4752957855538369</v>
      </c>
      <c r="E800" s="14" t="inlineStr">
        <is>
          <t>Зооветсервис ООО</t>
        </is>
      </c>
      <c r="F800" s="16" t="n"/>
    </row>
    <row r="801">
      <c r="A801" s="14" t="inlineStr">
        <is>
          <t>2026 P03</t>
        </is>
      </c>
      <c r="B801" s="15" t="n">
        <v>0.5563878044812013</v>
      </c>
      <c r="C801" s="15" t="n">
        <v>0.4649551926392904</v>
      </c>
      <c r="D801" s="15" t="n">
        <v>0.09143261184191093</v>
      </c>
      <c r="E801" s="14" t="inlineStr">
        <is>
          <t>Высшая лига</t>
        </is>
      </c>
      <c r="F801" s="16" t="n"/>
    </row>
    <row r="802">
      <c r="A802" s="14" t="inlineStr">
        <is>
          <t>2026 P05</t>
        </is>
      </c>
      <c r="B802" s="15" t="n">
        <v>0.6055060649147109</v>
      </c>
      <c r="C802" s="15" t="n">
        <v>0.464236721373706</v>
      </c>
      <c r="D802" s="15" t="n">
        <v>0.1412693435410049</v>
      </c>
      <c r="E802" s="14" t="inlineStr">
        <is>
          <t>Народный</t>
        </is>
      </c>
      <c r="F802" s="16" t="n"/>
    </row>
    <row r="803">
      <c r="A803" s="14" t="inlineStr">
        <is>
          <t>2026 P06</t>
        </is>
      </c>
      <c r="B803" s="15" t="n">
        <v>0.5450570866562686</v>
      </c>
      <c r="C803" s="15" t="n">
        <v>0.4629177254434589</v>
      </c>
      <c r="D803" s="15" t="n">
        <v>0.08213936121280974</v>
      </c>
      <c r="E803" s="14" t="inlineStr">
        <is>
          <t>Бегемот система универсамов</t>
        </is>
      </c>
      <c r="F803" s="16" t="n"/>
    </row>
    <row r="804">
      <c r="A804" s="14" t="inlineStr">
        <is>
          <t>2026 P01</t>
        </is>
      </c>
      <c r="B804" s="15" t="n">
        <v>0.6606579617101394</v>
      </c>
      <c r="C804" s="15" t="n">
        <v>0.4615617663679544</v>
      </c>
      <c r="D804" s="15" t="n">
        <v>0.199096195342185</v>
      </c>
      <c r="E804" s="14" t="inlineStr">
        <is>
          <t>Народный</t>
        </is>
      </c>
      <c r="F804" s="16" t="n"/>
    </row>
    <row r="805">
      <c r="A805" s="14" t="inlineStr">
        <is>
          <t>2026 P01</t>
        </is>
      </c>
      <c r="B805" s="15" t="n">
        <v>0.7977332692642526</v>
      </c>
      <c r="C805" s="15" t="n">
        <v>0.4613701272622173</v>
      </c>
      <c r="D805" s="15" t="n">
        <v>0.3363631420020353</v>
      </c>
      <c r="E805" s="14" t="inlineStr">
        <is>
          <t>ЗооТерра</t>
        </is>
      </c>
      <c r="F805" s="16" t="n"/>
    </row>
    <row r="806">
      <c r="A806" s="14" t="inlineStr">
        <is>
          <t>2026 P01</t>
        </is>
      </c>
      <c r="B806" s="15" t="n">
        <v>0.5910628202271951</v>
      </c>
      <c r="C806" s="15" t="n">
        <v>0.4575338970740371</v>
      </c>
      <c r="D806" s="15" t="n">
        <v>0.133528923153158</v>
      </c>
      <c r="E806" s="14" t="inlineStr">
        <is>
          <t>Лидер-Крым</t>
        </is>
      </c>
      <c r="F806" s="16" t="n"/>
    </row>
    <row r="807">
      <c r="A807" s="14" t="inlineStr">
        <is>
          <t>2026 P01</t>
        </is>
      </c>
      <c r="B807" s="15" t="n">
        <v>0.6247398010861762</v>
      </c>
      <c r="C807" s="15" t="n">
        <v>0.4551885646902857</v>
      </c>
      <c r="D807" s="15" t="n">
        <v>0.1695512363958905</v>
      </c>
      <c r="E807" s="14" t="inlineStr">
        <is>
          <t>Хороший ВЛ</t>
        </is>
      </c>
      <c r="F807" s="16" t="n"/>
    </row>
    <row r="808">
      <c r="A808" s="14" t="inlineStr">
        <is>
          <t>2026 P01</t>
        </is>
      </c>
      <c r="B808" s="15" t="n">
        <v>0.6752819652290701</v>
      </c>
      <c r="C808" s="15" t="n">
        <v>0.4518134087348761</v>
      </c>
      <c r="D808" s="15" t="n">
        <v>0.2234685564941941</v>
      </c>
      <c r="E808" s="14" t="inlineStr">
        <is>
          <t>Николаевский</t>
        </is>
      </c>
      <c r="F808" s="16" t="n"/>
    </row>
    <row r="809">
      <c r="A809" s="14" t="inlineStr">
        <is>
          <t>2026 P02</t>
        </is>
      </c>
      <c r="B809" s="15" t="n">
        <v>0.6539719254591643</v>
      </c>
      <c r="C809" s="15" t="n">
        <v>0.4443634487009656</v>
      </c>
      <c r="D809" s="15" t="n">
        <v>0.2096084767581987</v>
      </c>
      <c r="E809" s="14" t="inlineStr">
        <is>
          <t>Бетховен</t>
        </is>
      </c>
      <c r="F809" s="16" t="n"/>
    </row>
    <row r="810">
      <c r="A810" s="14" t="inlineStr">
        <is>
          <t>2026 P05</t>
        </is>
      </c>
      <c r="B810" s="15" t="n">
        <v>0.7068429945033881</v>
      </c>
      <c r="C810" s="15" t="n">
        <v>0.4442215631557263</v>
      </c>
      <c r="D810" s="15" t="n">
        <v>0.2626214313476618</v>
      </c>
      <c r="E810" s="14" t="inlineStr">
        <is>
          <t>ИП Ястребков А.Н.</t>
        </is>
      </c>
      <c r="F810" s="16" t="n"/>
    </row>
    <row r="811">
      <c r="A811" s="14" t="inlineStr">
        <is>
          <t>2026 P01</t>
        </is>
      </c>
      <c r="B811" s="15" t="n">
        <v>0.6330033759591404</v>
      </c>
      <c r="C811" s="15" t="n">
        <v>0.4432727989200066</v>
      </c>
      <c r="D811" s="15" t="n">
        <v>0.1897305770391337</v>
      </c>
      <c r="E811" s="14" t="inlineStr">
        <is>
          <t>Бетховен</t>
        </is>
      </c>
      <c r="F811" s="16" t="n"/>
    </row>
    <row r="812">
      <c r="A812" s="14" t="inlineStr">
        <is>
          <t>2026 P04</t>
        </is>
      </c>
      <c r="B812" s="15" t="n">
        <v>0.9788526575643735</v>
      </c>
      <c r="C812" s="15" t="n">
        <v>0.4420841693394212</v>
      </c>
      <c r="D812" s="15" t="n">
        <v>0.5367684882249522</v>
      </c>
      <c r="E812" s="14" t="inlineStr">
        <is>
          <t>Мир Корма</t>
        </is>
      </c>
      <c r="F812" s="16" t="n"/>
    </row>
    <row r="813">
      <c r="A813" s="14" t="inlineStr">
        <is>
          <t>2026 P01</t>
        </is>
      </c>
      <c r="B813" s="15" t="n">
        <v>0.811993526587154</v>
      </c>
      <c r="C813" s="15" t="n">
        <v>0.4412363846698768</v>
      </c>
      <c r="D813" s="15" t="n">
        <v>0.3707571419172772</v>
      </c>
      <c r="E813" s="14" t="inlineStr">
        <is>
          <t>RegX5_LAR</t>
        </is>
      </c>
      <c r="F813" s="16" t="n"/>
    </row>
    <row r="814">
      <c r="A814" s="14" t="inlineStr">
        <is>
          <t>2026 P07</t>
        </is>
      </c>
      <c r="B814" s="15" t="n">
        <v>0.5188765964192905</v>
      </c>
      <c r="C814" s="15" t="n">
        <v>0.440246429252577</v>
      </c>
      <c r="D814" s="15" t="n">
        <v>0.07863016716671356</v>
      </c>
      <c r="E814" s="14" t="inlineStr">
        <is>
          <t>Бегемот система универсамов</t>
        </is>
      </c>
      <c r="F814" s="16" t="n"/>
    </row>
    <row r="815">
      <c r="A815" s="14" t="inlineStr">
        <is>
          <t>2026 P01</t>
        </is>
      </c>
      <c r="B815" s="15" t="n">
        <v>0.543077144504592</v>
      </c>
      <c r="C815" s="15" t="n">
        <v>0.4360350341646315</v>
      </c>
      <c r="D815" s="15" t="n">
        <v>0.1070421103399605</v>
      </c>
      <c r="E815" s="14" t="inlineStr">
        <is>
          <t>Авокадо</t>
        </is>
      </c>
      <c r="F815" s="16" t="n"/>
    </row>
    <row r="816">
      <c r="A816" s="14" t="inlineStr">
        <is>
          <t>2026 P03</t>
        </is>
      </c>
      <c r="B816" s="15" t="n">
        <v>0.5126075459284885</v>
      </c>
      <c r="C816" s="15" t="n">
        <v>0.4338801946595692</v>
      </c>
      <c r="D816" s="15" t="n">
        <v>0.07872735126891922</v>
      </c>
      <c r="E816" s="14" t="inlineStr">
        <is>
          <t>МТК ООО</t>
        </is>
      </c>
      <c r="F816" s="16" t="n"/>
    </row>
    <row r="817">
      <c r="A817" s="14" t="inlineStr">
        <is>
          <t>2026 P04</t>
        </is>
      </c>
      <c r="B817" s="15" t="n">
        <v>0.5115530265337879</v>
      </c>
      <c r="C817" s="15" t="n">
        <v>0.4324138135013728</v>
      </c>
      <c r="D817" s="15" t="n">
        <v>0.07913921303241511</v>
      </c>
      <c r="E817" s="14" t="inlineStr">
        <is>
          <t>Бегемот система универсамов</t>
        </is>
      </c>
      <c r="F817" s="16" t="n"/>
    </row>
    <row r="818">
      <c r="A818" s="14" t="inlineStr">
        <is>
          <t>2026 P08</t>
        </is>
      </c>
      <c r="B818" s="15" t="n">
        <v>0.521783866396696</v>
      </c>
      <c r="C818" s="15" t="n">
        <v>0.4301556127267014</v>
      </c>
      <c r="D818" s="15" t="n">
        <v>0.09162825366999466</v>
      </c>
      <c r="E818" s="14" t="inlineStr">
        <is>
          <t>Бегемот система универсамов</t>
        </is>
      </c>
      <c r="F818" s="16" t="n"/>
    </row>
    <row r="819">
      <c r="A819" s="14" t="inlineStr">
        <is>
          <t>2026 P06</t>
        </is>
      </c>
      <c r="B819" s="15" t="n">
        <v>0.9829700686714137</v>
      </c>
      <c r="C819" s="15" t="n">
        <v>0.4301018978690548</v>
      </c>
      <c r="D819" s="15" t="n">
        <v>0.5528681708023588</v>
      </c>
      <c r="E819" s="14" t="inlineStr">
        <is>
          <t>Мир Корма</t>
        </is>
      </c>
      <c r="F819" s="16" t="n"/>
    </row>
    <row r="820">
      <c r="A820" s="14" t="inlineStr">
        <is>
          <t>2026 P03</t>
        </is>
      </c>
      <c r="B820" s="15" t="n">
        <v>0.9655454959140898</v>
      </c>
      <c r="C820" s="15" t="n">
        <v>0.4277041652705919</v>
      </c>
      <c r="D820" s="15" t="n">
        <v>0.5378413306434979</v>
      </c>
      <c r="E820" s="14" t="inlineStr">
        <is>
          <t>Зоосмак</t>
        </is>
      </c>
      <c r="F820" s="16" t="n"/>
    </row>
    <row r="821">
      <c r="A821" s="14" t="inlineStr">
        <is>
          <t>2026 P03</t>
        </is>
      </c>
      <c r="B821" s="15" t="n">
        <v>0.9420970786677519</v>
      </c>
      <c r="C821" s="15" t="n">
        <v>0.4275342504816469</v>
      </c>
      <c r="D821" s="15" t="n">
        <v>0.514562828186105</v>
      </c>
      <c r="E821" s="14" t="inlineStr">
        <is>
          <t>Зооветсервис ООО</t>
        </is>
      </c>
      <c r="F821" s="16" t="n"/>
    </row>
    <row r="822">
      <c r="A822" s="14" t="inlineStr">
        <is>
          <t>2026 P03</t>
        </is>
      </c>
      <c r="B822" s="15" t="n">
        <v>0.9779519105013438</v>
      </c>
      <c r="C822" s="15" t="n">
        <v>0.4253889595890923</v>
      </c>
      <c r="D822" s="15" t="n">
        <v>0.5525629509122515</v>
      </c>
      <c r="E822" s="14" t="inlineStr">
        <is>
          <t>Мир Корма</t>
        </is>
      </c>
      <c r="F822" s="16" t="n"/>
    </row>
    <row r="823">
      <c r="A823" s="14" t="inlineStr">
        <is>
          <t>2026 P05</t>
        </is>
      </c>
      <c r="B823" s="15" t="n">
        <v>0.479721042023022</v>
      </c>
      <c r="C823" s="15" t="n">
        <v>0.4233723055725477</v>
      </c>
      <c r="D823" s="15" t="n">
        <v>0.05634873645047422</v>
      </c>
      <c r="E823" s="14" t="inlineStr">
        <is>
          <t>Бегемот система универсамов</t>
        </is>
      </c>
      <c r="F823" s="16" t="n"/>
    </row>
    <row r="824">
      <c r="A824" s="14" t="inlineStr">
        <is>
          <t>2026 P01</t>
        </is>
      </c>
      <c r="B824" s="15" t="n">
        <v>0.58995410709922</v>
      </c>
      <c r="C824" s="15" t="n">
        <v>0.4225260059103385</v>
      </c>
      <c r="D824" s="15" t="n">
        <v>0.1674281011888815</v>
      </c>
      <c r="E824" s="14" t="inlineStr">
        <is>
          <t>Заповедник</t>
        </is>
      </c>
      <c r="F824" s="16" t="n"/>
    </row>
    <row r="825">
      <c r="A825" s="14" t="inlineStr">
        <is>
          <t>2026 P04</t>
        </is>
      </c>
      <c r="B825" s="15" t="n">
        <v>0.6071605360197565</v>
      </c>
      <c r="C825" s="15" t="n">
        <v>0.4221861173592228</v>
      </c>
      <c r="D825" s="15" t="n">
        <v>0.1849744186605337</v>
      </c>
      <c r="E825" s="14" t="inlineStr">
        <is>
          <t>ОБЛПО ПО</t>
        </is>
      </c>
      <c r="F825" s="16" t="n"/>
    </row>
    <row r="826">
      <c r="A826" s="14" t="inlineStr">
        <is>
          <t>2026 P04</t>
        </is>
      </c>
      <c r="B826" s="15" t="n">
        <v>0.9435882651769365</v>
      </c>
      <c r="C826" s="15" t="n">
        <v>0.4179921184932561</v>
      </c>
      <c r="D826" s="15" t="n">
        <v>0.5255961466836805</v>
      </c>
      <c r="E826" s="14" t="inlineStr">
        <is>
          <t>Зоосмак</t>
        </is>
      </c>
      <c r="F826" s="16" t="n"/>
    </row>
    <row r="827">
      <c r="A827" s="14" t="inlineStr">
        <is>
          <t>2026 P05</t>
        </is>
      </c>
      <c r="B827" s="15" t="n">
        <v>0.4830186654629064</v>
      </c>
      <c r="C827" s="15" t="n">
        <v>0.4138967809760381</v>
      </c>
      <c r="D827" s="15" t="n">
        <v>0.06912188448686835</v>
      </c>
      <c r="E827" s="14" t="inlineStr">
        <is>
          <t>Лама</t>
        </is>
      </c>
      <c r="F827" s="16" t="n"/>
    </row>
    <row r="828">
      <c r="A828" s="14" t="inlineStr">
        <is>
          <t>2026 P05</t>
        </is>
      </c>
      <c r="B828" s="15" t="n">
        <v>0.7748696099626627</v>
      </c>
      <c r="C828" s="15" t="n">
        <v>0.4111804408779587</v>
      </c>
      <c r="D828" s="15" t="n">
        <v>0.363689169084704</v>
      </c>
      <c r="E828" s="14" t="inlineStr">
        <is>
          <t>ИП Гулян Д.Г.</t>
        </is>
      </c>
      <c r="F828" s="16" t="n"/>
    </row>
    <row r="829">
      <c r="A829" s="14" t="inlineStr">
        <is>
          <t>2026 P02</t>
        </is>
      </c>
      <c r="B829" s="15" t="n">
        <v>0.6312855242642764</v>
      </c>
      <c r="C829" s="15" t="n">
        <v>0.4108574579004863</v>
      </c>
      <c r="D829" s="15" t="n">
        <v>0.2204280663637901</v>
      </c>
      <c r="E829" s="14" t="inlineStr">
        <is>
          <t>ПУД</t>
        </is>
      </c>
      <c r="F829" s="16" t="n"/>
    </row>
    <row r="830">
      <c r="A830" s="14" t="inlineStr">
        <is>
          <t>2026 P02</t>
        </is>
      </c>
      <c r="B830" s="15" t="n">
        <v>0.6842841886483998</v>
      </c>
      <c r="C830" s="15" t="n">
        <v>0.41054422463881</v>
      </c>
      <c r="D830" s="15" t="n">
        <v>0.2737399640095898</v>
      </c>
      <c r="E830" s="14" t="inlineStr">
        <is>
          <t>ИП Гулян Д.Г.</t>
        </is>
      </c>
      <c r="F830" s="16" t="n"/>
    </row>
    <row r="831">
      <c r="A831" s="14" t="inlineStr">
        <is>
          <t>2026 P07</t>
        </is>
      </c>
      <c r="B831" s="15" t="n">
        <v>0.5256931675761578</v>
      </c>
      <c r="C831" s="15" t="n">
        <v>0.4087042539399983</v>
      </c>
      <c r="D831" s="15" t="n">
        <v>0.1169889136361595</v>
      </c>
      <c r="E831" s="14" t="inlineStr">
        <is>
          <t>Аникс</t>
        </is>
      </c>
      <c r="F831" s="16" t="n"/>
    </row>
    <row r="832">
      <c r="A832" s="14" t="inlineStr">
        <is>
          <t>2026 P04</t>
        </is>
      </c>
      <c r="B832" s="15" t="n">
        <v>0.5277897009995303</v>
      </c>
      <c r="C832" s="15" t="n">
        <v>0.4060811018268013</v>
      </c>
      <c r="D832" s="15" t="n">
        <v>0.1217085991727289</v>
      </c>
      <c r="E832" s="14" t="inlineStr">
        <is>
          <t>Высшая лига</t>
        </is>
      </c>
      <c r="F832" s="16" t="n"/>
    </row>
    <row r="833">
      <c r="A833" s="14" t="inlineStr">
        <is>
          <t>2026 P06</t>
        </is>
      </c>
      <c r="B833" s="15" t="n">
        <v>0.9590100457436173</v>
      </c>
      <c r="C833" s="15" t="n">
        <v>0.4060657049255432</v>
      </c>
      <c r="D833" s="15" t="n">
        <v>0.5529443408180741</v>
      </c>
      <c r="E833" s="14" t="inlineStr">
        <is>
          <t>Зоосмак</t>
        </is>
      </c>
      <c r="F833" s="16" t="n"/>
    </row>
    <row r="834">
      <c r="A834" s="14" t="inlineStr">
        <is>
          <t>2026 P05</t>
        </is>
      </c>
      <c r="B834" s="15" t="n">
        <v>0.5324022014001502</v>
      </c>
      <c r="C834" s="15" t="n">
        <v>0.4042524075791701</v>
      </c>
      <c r="D834" s="15" t="n">
        <v>0.1281497938209801</v>
      </c>
      <c r="E834" s="14" t="inlineStr">
        <is>
          <t>Десяточка North</t>
        </is>
      </c>
      <c r="F834" s="16" t="n"/>
    </row>
    <row r="835">
      <c r="A835" s="14" t="inlineStr">
        <is>
          <t>2026 P01</t>
        </is>
      </c>
      <c r="B835" s="15" t="n">
        <v>0.8528094628024459</v>
      </c>
      <c r="C835" s="15" t="n">
        <v>0.4038571233853633</v>
      </c>
      <c r="D835" s="15" t="n">
        <v>0.4489523394170825</v>
      </c>
      <c r="E835" s="14" t="inlineStr">
        <is>
          <t>Малашинская</t>
        </is>
      </c>
      <c r="F835" s="16" t="n"/>
    </row>
    <row r="836">
      <c r="A836" s="14" t="inlineStr">
        <is>
          <t>2026 P01</t>
        </is>
      </c>
      <c r="B836" s="15" t="n">
        <v>0.9574117204681178</v>
      </c>
      <c r="C836" s="15" t="n">
        <v>0.4034507913186616</v>
      </c>
      <c r="D836" s="15" t="n">
        <v>0.5539609291494563</v>
      </c>
      <c r="E836" s="14" t="inlineStr">
        <is>
          <t>Зоосмак</t>
        </is>
      </c>
      <c r="F836" s="16" t="n"/>
    </row>
    <row r="837">
      <c r="A837" s="14" t="inlineStr">
        <is>
          <t>2026 P02</t>
        </is>
      </c>
      <c r="B837" s="15" t="n">
        <v>0.4649469566312517</v>
      </c>
      <c r="C837" s="15" t="n">
        <v>0.4033201394837762</v>
      </c>
      <c r="D837" s="15" t="n">
        <v>0.06162681714747548</v>
      </c>
      <c r="E837" s="14" t="inlineStr">
        <is>
          <t>Бегемот система универсамов</t>
        </is>
      </c>
      <c r="F837" s="16" t="n"/>
    </row>
    <row r="838">
      <c r="A838" s="14" t="inlineStr">
        <is>
          <t>2026 P03</t>
        </is>
      </c>
      <c r="B838" s="15" t="n">
        <v>0.8336902725600703</v>
      </c>
      <c r="C838" s="15" t="n">
        <v>0.4027108092102367</v>
      </c>
      <c r="D838" s="15" t="n">
        <v>0.4309794633498336</v>
      </c>
      <c r="E838" s="14" t="inlineStr">
        <is>
          <t>ИП Ястребков А.Н.</t>
        </is>
      </c>
      <c r="F838" s="16" t="n"/>
    </row>
    <row r="839">
      <c r="A839" s="14" t="inlineStr">
        <is>
          <t>2026 P02</t>
        </is>
      </c>
      <c r="B839" s="15" t="n">
        <v>0.9727330179650768</v>
      </c>
      <c r="C839" s="15" t="n">
        <v>0.401610617593429</v>
      </c>
      <c r="D839" s="15" t="n">
        <v>0.5711224003716479</v>
      </c>
      <c r="E839" s="14" t="inlineStr">
        <is>
          <t>Мир Корма</t>
        </is>
      </c>
      <c r="F839" s="16" t="n"/>
    </row>
    <row r="840">
      <c r="A840" s="14" t="inlineStr">
        <is>
          <t>2026 P05</t>
        </is>
      </c>
      <c r="B840" s="15" t="n">
        <v>0.4949672576625584</v>
      </c>
      <c r="C840" s="15" t="n">
        <v>0.399786876211765</v>
      </c>
      <c r="D840" s="15" t="n">
        <v>0.09518038145079344</v>
      </c>
      <c r="E840" s="14" t="inlineStr">
        <is>
          <t>ОБЛПО ПО</t>
        </is>
      </c>
      <c r="F840" s="16" t="n"/>
    </row>
    <row r="841">
      <c r="A841" s="14" t="inlineStr">
        <is>
          <t>2026 P01</t>
        </is>
      </c>
      <c r="B841" s="15" t="n">
        <v>0.9548910830820476</v>
      </c>
      <c r="C841" s="15" t="n">
        <v>0.3974738830883502</v>
      </c>
      <c r="D841" s="15" t="n">
        <v>0.5574171999936974</v>
      </c>
      <c r="E841" s="14" t="inlineStr">
        <is>
          <t>Победа (Гулливер)</t>
        </is>
      </c>
      <c r="F841" s="16" t="n"/>
    </row>
    <row r="842">
      <c r="A842" s="14" t="inlineStr">
        <is>
          <t>2026 P02</t>
        </is>
      </c>
      <c r="B842" s="15" t="n">
        <v>0.4836926456957475</v>
      </c>
      <c r="C842" s="15" t="n">
        <v>0.3973835471542027</v>
      </c>
      <c r="D842" s="15" t="n">
        <v>0.08630909854154484</v>
      </c>
      <c r="E842" s="14" t="inlineStr">
        <is>
          <t>Высшая лига</t>
        </is>
      </c>
      <c r="F842" s="16" t="n"/>
    </row>
    <row r="843">
      <c r="A843" s="14" t="inlineStr">
        <is>
          <t>2026 P08</t>
        </is>
      </c>
      <c r="B843" s="15" t="n">
        <v>0.5152284831899924</v>
      </c>
      <c r="C843" s="15" t="n">
        <v>0.393397033196482</v>
      </c>
      <c r="D843" s="15" t="n">
        <v>0.1218314499935104</v>
      </c>
      <c r="E843" s="14" t="inlineStr">
        <is>
          <t>Аникс</t>
        </is>
      </c>
      <c r="F843" s="16" t="n"/>
    </row>
    <row r="844">
      <c r="A844" s="14" t="inlineStr">
        <is>
          <t>2026 P07</t>
        </is>
      </c>
      <c r="B844" s="15" t="n">
        <v>0.9532155558920801</v>
      </c>
      <c r="C844" s="15" t="n">
        <v>0.3932061830293136</v>
      </c>
      <c r="D844" s="15" t="n">
        <v>0.5600093728627664</v>
      </c>
      <c r="E844" s="14" t="inlineStr">
        <is>
          <t>Зоосмак</t>
        </is>
      </c>
      <c r="F844" s="16" t="n"/>
    </row>
    <row r="845">
      <c r="A845" s="14" t="inlineStr">
        <is>
          <t>2026 P01</t>
        </is>
      </c>
      <c r="B845" s="15" t="n">
        <v>0.4974590598774572</v>
      </c>
      <c r="C845" s="15" t="n">
        <v>0.3917225268881547</v>
      </c>
      <c r="D845" s="15" t="n">
        <v>0.1057365329893025</v>
      </c>
      <c r="E845" s="14" t="inlineStr">
        <is>
          <t>Высшая лига</t>
        </is>
      </c>
      <c r="F845" s="16" t="n"/>
    </row>
    <row r="846">
      <c r="A846" s="14" t="inlineStr">
        <is>
          <t>2026 P07</t>
        </is>
      </c>
      <c r="B846" s="15" t="n">
        <v>0.4019417531711919</v>
      </c>
      <c r="C846" s="15" t="n">
        <v>0.3911753659407629</v>
      </c>
      <c r="D846" s="15" t="n">
        <v>0.010766387230429</v>
      </c>
      <c r="E846" s="14" t="inlineStr">
        <is>
          <t>ООО Оптима-Волга</t>
        </is>
      </c>
      <c r="F846" s="16" t="n"/>
    </row>
    <row r="847">
      <c r="A847" s="14" t="inlineStr">
        <is>
          <t>2026 P01</t>
        </is>
      </c>
      <c r="B847" s="15" t="n">
        <v>0.4295236116259314</v>
      </c>
      <c r="C847" s="15" t="n">
        <v>0.3910633038907463</v>
      </c>
      <c r="D847" s="15" t="n">
        <v>0.03846030773518505</v>
      </c>
      <c r="E847" s="14" t="inlineStr">
        <is>
          <t>"""Осень"""</t>
        </is>
      </c>
      <c r="F847" s="16" t="n"/>
    </row>
    <row r="848">
      <c r="A848" s="14" t="inlineStr">
        <is>
          <t>2026 P04</t>
        </is>
      </c>
      <c r="B848" s="15" t="n">
        <v>0.4501589543667497</v>
      </c>
      <c r="C848" s="15" t="n">
        <v>0.3902435327927066</v>
      </c>
      <c r="D848" s="15" t="n">
        <v>0.05991542157404306</v>
      </c>
      <c r="E848" s="14" t="inlineStr">
        <is>
          <t>МТК ООО</t>
        </is>
      </c>
      <c r="F848" s="16" t="n"/>
    </row>
    <row r="849">
      <c r="A849" s="14" t="inlineStr">
        <is>
          <t>2026 P03</t>
        </is>
      </c>
      <c r="B849" s="15" t="n">
        <v>0.504299955100157</v>
      </c>
      <c r="C849" s="15" t="n">
        <v>0.388898944129339</v>
      </c>
      <c r="D849" s="15" t="n">
        <v>0.1154010109708181</v>
      </c>
      <c r="E849" s="14" t="inlineStr">
        <is>
          <t>PetShop.ru</t>
        </is>
      </c>
      <c r="F849" s="16" t="n"/>
    </row>
    <row r="850">
      <c r="A850" s="14" t="inlineStr">
        <is>
          <t>2026 P07</t>
        </is>
      </c>
      <c r="B850" s="15" t="n">
        <v>0.8153678961117251</v>
      </c>
      <c r="C850" s="15" t="n">
        <v>0.3856264457969515</v>
      </c>
      <c r="D850" s="15" t="n">
        <v>0.4297414503147736</v>
      </c>
      <c r="E850" s="14" t="inlineStr">
        <is>
          <t>ИП Гулян Д.Г.</t>
        </is>
      </c>
      <c r="F850" s="16" t="n"/>
    </row>
    <row r="851">
      <c r="A851" s="14" t="inlineStr">
        <is>
          <t>2026 P06</t>
        </is>
      </c>
      <c r="B851" s="15" t="n">
        <v>0.5020866049996553</v>
      </c>
      <c r="C851" s="15" t="n">
        <v>0.3845928555318482</v>
      </c>
      <c r="D851" s="15" t="n">
        <v>0.1174937494678071</v>
      </c>
      <c r="E851" s="14" t="inlineStr">
        <is>
          <t>Аникс</t>
        </is>
      </c>
      <c r="F851" s="16" t="n"/>
    </row>
    <row r="852">
      <c r="A852" s="14" t="inlineStr">
        <is>
          <t>2026 P06</t>
        </is>
      </c>
      <c r="B852" s="15" t="n">
        <v>0.4476578256366869</v>
      </c>
      <c r="C852" s="15" t="n">
        <v>0.3825982046779473</v>
      </c>
      <c r="D852" s="15" t="n">
        <v>0.06505962095873963</v>
      </c>
      <c r="E852" s="14" t="inlineStr">
        <is>
          <t>Лама</t>
        </is>
      </c>
      <c r="F852" s="16" t="n"/>
    </row>
    <row r="853">
      <c r="A853" s="14" t="inlineStr">
        <is>
          <t>2026 P02</t>
        </is>
      </c>
      <c r="B853" s="15" t="n">
        <v>0.4558392964886462</v>
      </c>
      <c r="C853" s="15" t="n">
        <v>0.3815142994815572</v>
      </c>
      <c r="D853" s="15" t="n">
        <v>0.07432499700708906</v>
      </c>
      <c r="E853" s="14" t="inlineStr">
        <is>
          <t>Десяточка North</t>
        </is>
      </c>
      <c r="F853" s="16" t="n"/>
    </row>
    <row r="854">
      <c r="A854" s="14" t="inlineStr">
        <is>
          <t>2026 P02</t>
        </is>
      </c>
      <c r="B854" s="15" t="n">
        <v>0.498136042671111</v>
      </c>
      <c r="C854" s="15" t="n">
        <v>0.3804220300205199</v>
      </c>
      <c r="D854" s="15" t="n">
        <v>0.1177140126505911</v>
      </c>
      <c r="E854" s="14" t="inlineStr">
        <is>
          <t>Аникс</t>
        </is>
      </c>
      <c r="F854" s="16" t="n"/>
    </row>
    <row r="855">
      <c r="A855" s="14" t="inlineStr">
        <is>
          <t>2026 P01</t>
        </is>
      </c>
      <c r="B855" s="15" t="n">
        <v>0.440116607267123</v>
      </c>
      <c r="C855" s="15" t="n">
        <v>0.3799401423938352</v>
      </c>
      <c r="D855" s="15" t="n">
        <v>0.06017646487328776</v>
      </c>
      <c r="E855" s="14" t="inlineStr">
        <is>
          <t>МТК ООО</t>
        </is>
      </c>
      <c r="F855" s="16" t="n"/>
    </row>
    <row r="856">
      <c r="A856" s="14" t="inlineStr">
        <is>
          <t>2026 P05</t>
        </is>
      </c>
      <c r="B856" s="15" t="n">
        <v>0.4804762372291955</v>
      </c>
      <c r="C856" s="15" t="n">
        <v>0.3794634819175565</v>
      </c>
      <c r="D856" s="15" t="n">
        <v>0.1010127553116391</v>
      </c>
      <c r="E856" s="14" t="inlineStr">
        <is>
          <t>Высшая лига</t>
        </is>
      </c>
      <c r="F856" s="16" t="n"/>
    </row>
    <row r="857">
      <c r="A857" s="14" t="inlineStr">
        <is>
          <t>2026 P08</t>
        </is>
      </c>
      <c r="B857" s="15" t="n">
        <v>0.4532788648841069</v>
      </c>
      <c r="C857" s="15" t="n">
        <v>0.3771820871398275</v>
      </c>
      <c r="D857" s="15" t="n">
        <v>0.07609677774427942</v>
      </c>
      <c r="E857" s="14" t="inlineStr">
        <is>
          <t>Лама</t>
        </is>
      </c>
      <c r="F857" s="16" t="n"/>
    </row>
    <row r="858">
      <c r="A858" s="14" t="inlineStr">
        <is>
          <t>2026 P07</t>
        </is>
      </c>
      <c r="B858" s="15" t="n">
        <v>0.4426982329175358</v>
      </c>
      <c r="C858" s="15" t="n">
        <v>0.3768251570253662</v>
      </c>
      <c r="D858" s="15" t="n">
        <v>0.06587307589216956</v>
      </c>
      <c r="E858" s="14" t="inlineStr">
        <is>
          <t>Лама</t>
        </is>
      </c>
      <c r="F858" s="16" t="n"/>
    </row>
    <row r="859">
      <c r="A859" s="14" t="inlineStr">
        <is>
          <t>2026 P08</t>
        </is>
      </c>
      <c r="B859" s="15" t="n">
        <v>0.6014282404342084</v>
      </c>
      <c r="C859" s="15" t="n">
        <v>0.3767191647809762</v>
      </c>
      <c r="D859" s="15" t="n">
        <v>0.2247090756532322</v>
      </c>
      <c r="E859" s="14" t="inlineStr">
        <is>
          <t>Десяточка North</t>
        </is>
      </c>
      <c r="F859" s="16" t="n"/>
    </row>
    <row r="860">
      <c r="A860" s="14" t="inlineStr">
        <is>
          <t>2026 P02</t>
        </is>
      </c>
      <c r="B860" s="15" t="n">
        <v>0.9586684878819931</v>
      </c>
      <c r="C860" s="15" t="n">
        <v>0.376378236456154</v>
      </c>
      <c r="D860" s="15" t="n">
        <v>0.5822902514258391</v>
      </c>
      <c r="E860" s="14" t="inlineStr">
        <is>
          <t>Зоосмак</t>
        </is>
      </c>
      <c r="F860" s="16" t="n"/>
    </row>
    <row r="861">
      <c r="A861" s="14" t="inlineStr">
        <is>
          <t>2026 P06</t>
        </is>
      </c>
      <c r="B861" s="15" t="n">
        <v>0.5277159128051602</v>
      </c>
      <c r="C861" s="15" t="n">
        <v>0.3758869714437366</v>
      </c>
      <c r="D861" s="15" t="n">
        <v>0.1518289413614236</v>
      </c>
      <c r="E861" s="14" t="inlineStr">
        <is>
          <t>Десяточка North</t>
        </is>
      </c>
      <c r="F861" s="16" t="n"/>
    </row>
    <row r="862">
      <c r="A862" s="14" t="inlineStr">
        <is>
          <t>2026 P01</t>
        </is>
      </c>
      <c r="B862" s="15" t="n">
        <v>0.4263510303660153</v>
      </c>
      <c r="C862" s="15" t="n">
        <v>0.3755658924646198</v>
      </c>
      <c r="D862" s="15" t="n">
        <v>0.05078513790139549</v>
      </c>
      <c r="E862" s="14" t="inlineStr">
        <is>
          <t>Бегемот система универсамов</t>
        </is>
      </c>
      <c r="F862" s="16" t="n"/>
    </row>
    <row r="863">
      <c r="A863" s="14" t="inlineStr">
        <is>
          <t>2026 P04</t>
        </is>
      </c>
      <c r="B863" s="15" t="n">
        <v>0.4473353954616734</v>
      </c>
      <c r="C863" s="15" t="n">
        <v>0.3748534002444275</v>
      </c>
      <c r="D863" s="15" t="n">
        <v>0.07248199521724596</v>
      </c>
      <c r="E863" s="14" t="inlineStr">
        <is>
          <t>Лама</t>
        </is>
      </c>
      <c r="F863" s="16" t="n"/>
    </row>
    <row r="864">
      <c r="A864" s="14" t="inlineStr">
        <is>
          <t>2026 P01</t>
        </is>
      </c>
      <c r="B864" s="15" t="n">
        <v>0.6058996848028384</v>
      </c>
      <c r="C864" s="15" t="n">
        <v>0.3743653905731638</v>
      </c>
      <c r="D864" s="15" t="n">
        <v>0.2315342942296746</v>
      </c>
      <c r="E864" s="14" t="inlineStr">
        <is>
          <t>ИП Гулян Д.Г.</t>
        </is>
      </c>
      <c r="F864" s="16" t="n"/>
    </row>
    <row r="865">
      <c r="A865" s="14" t="inlineStr">
        <is>
          <t>2026 P08</t>
        </is>
      </c>
      <c r="B865" s="15" t="n">
        <v>0.3962917882204292</v>
      </c>
      <c r="C865" s="15" t="n">
        <v>0.3737737337480467</v>
      </c>
      <c r="D865" s="15" t="n">
        <v>0.02251805447238242</v>
      </c>
      <c r="E865" s="14" t="inlineStr">
        <is>
          <t>МТК ООО</t>
        </is>
      </c>
      <c r="F865" s="16" t="n"/>
    </row>
    <row r="866">
      <c r="A866" s="14" t="inlineStr">
        <is>
          <t>2026 P05</t>
        </is>
      </c>
      <c r="B866" s="15" t="n">
        <v>0.4169898311163037</v>
      </c>
      <c r="C866" s="15" t="n">
        <v>0.3734786179288384</v>
      </c>
      <c r="D866" s="15" t="n">
        <v>0.04351121318746537</v>
      </c>
      <c r="E866" s="14" t="inlineStr">
        <is>
          <t>МТК ООО</t>
        </is>
      </c>
      <c r="F866" s="16" t="n"/>
    </row>
    <row r="867">
      <c r="A867" s="14" t="inlineStr">
        <is>
          <t>2026 P02</t>
        </is>
      </c>
      <c r="B867" s="15" t="n">
        <v>0.4319507735837021</v>
      </c>
      <c r="C867" s="15" t="n">
        <v>0.3711846251209351</v>
      </c>
      <c r="D867" s="15" t="n">
        <v>0.06076614846276701</v>
      </c>
      <c r="E867" s="14" t="inlineStr">
        <is>
          <t>МТК ООО</t>
        </is>
      </c>
      <c r="F867" s="16" t="n"/>
    </row>
    <row r="868">
      <c r="A868" s="14" t="inlineStr">
        <is>
          <t>2026 P07</t>
        </is>
      </c>
      <c r="B868" s="15" t="n">
        <v>0.5455633803015557</v>
      </c>
      <c r="C868" s="15" t="n">
        <v>0.3639294509660906</v>
      </c>
      <c r="D868" s="15" t="n">
        <v>0.1816339293354651</v>
      </c>
      <c r="E868" s="14" t="inlineStr">
        <is>
          <t>Десяточка North</t>
        </is>
      </c>
      <c r="F868" s="16" t="n"/>
    </row>
    <row r="869">
      <c r="A869" s="14" t="inlineStr">
        <is>
          <t>2026 P05</t>
        </is>
      </c>
      <c r="B869" s="15" t="n">
        <v>0.9692927482255362</v>
      </c>
      <c r="C869" s="15" t="n">
        <v>0.3584536151979357</v>
      </c>
      <c r="D869" s="15" t="n">
        <v>0.6108391330276005</v>
      </c>
      <c r="E869" s="14" t="inlineStr">
        <is>
          <t>Мир Корма</t>
        </is>
      </c>
      <c r="F869" s="16" t="n"/>
    </row>
    <row r="870">
      <c r="A870" s="14" t="inlineStr">
        <is>
          <t>2026 P05</t>
        </is>
      </c>
      <c r="B870" s="15" t="n">
        <v>0.4897910491912329</v>
      </c>
      <c r="C870" s="15" t="n">
        <v>0.3557839692085993</v>
      </c>
      <c r="D870" s="15" t="n">
        <v>0.1340070799826336</v>
      </c>
      <c r="E870" s="14" t="inlineStr">
        <is>
          <t>Аникс</t>
        </is>
      </c>
      <c r="F870" s="16" t="n"/>
    </row>
    <row r="871">
      <c r="A871" s="14" t="inlineStr">
        <is>
          <t>2026 P01</t>
        </is>
      </c>
      <c r="B871" s="15" t="n">
        <v>0.4177913197769804</v>
      </c>
      <c r="C871" s="15" t="n">
        <v>0.3553483543803436</v>
      </c>
      <c r="D871" s="15" t="n">
        <v>0.06244296539663674</v>
      </c>
      <c r="E871" s="14" t="inlineStr">
        <is>
          <t>Лама</t>
        </is>
      </c>
      <c r="F871" s="16" t="n"/>
    </row>
    <row r="872">
      <c r="A872" s="14" t="inlineStr">
        <is>
          <t>2026 P04</t>
        </is>
      </c>
      <c r="B872" s="15" t="n">
        <v>0.4507322981984909</v>
      </c>
      <c r="C872" s="15" t="n">
        <v>0.3512993681755623</v>
      </c>
      <c r="D872" s="15" t="n">
        <v>0.09943293002292858</v>
      </c>
      <c r="E872" s="14" t="inlineStr">
        <is>
          <t>PetShop.ru</t>
        </is>
      </c>
      <c r="F872" s="16" t="n"/>
    </row>
    <row r="873">
      <c r="A873" s="14" t="inlineStr">
        <is>
          <t>2026 P05</t>
        </is>
      </c>
      <c r="B873" s="15" t="n">
        <v>0.9417581429607139</v>
      </c>
      <c r="C873" s="15" t="n">
        <v>0.3487684658911117</v>
      </c>
      <c r="D873" s="15" t="n">
        <v>0.5929896770696023</v>
      </c>
      <c r="E873" s="14" t="inlineStr">
        <is>
          <t>Зоосмак</t>
        </is>
      </c>
      <c r="F873" s="16" t="n"/>
    </row>
    <row r="874">
      <c r="A874" s="14" t="inlineStr">
        <is>
          <t>2026 P02</t>
        </is>
      </c>
      <c r="B874" s="15" t="n">
        <v>0.8086170246053941</v>
      </c>
      <c r="C874" s="15" t="n">
        <v>0.3485915386544595</v>
      </c>
      <c r="D874" s="15" t="n">
        <v>0.4600254859509346</v>
      </c>
      <c r="E874" s="14" t="inlineStr">
        <is>
          <t>Малашинская</t>
        </is>
      </c>
      <c r="F874" s="16" t="n"/>
    </row>
    <row r="875">
      <c r="A875" s="14" t="inlineStr">
        <is>
          <t>2026 P04</t>
        </is>
      </c>
      <c r="B875" s="15" t="n">
        <v>0.4700857436760115</v>
      </c>
      <c r="C875" s="15" t="n">
        <v>0.3466583192881126</v>
      </c>
      <c r="D875" s="15" t="n">
        <v>0.1234274243878989</v>
      </c>
      <c r="E875" s="14" t="inlineStr">
        <is>
          <t>Десяточка North</t>
        </is>
      </c>
      <c r="F875" s="16" t="n"/>
    </row>
    <row r="876">
      <c r="A876" s="14" t="inlineStr">
        <is>
          <t>2026 P07</t>
        </is>
      </c>
      <c r="B876" s="15" t="n">
        <v>0.9466161216863905</v>
      </c>
      <c r="C876" s="15" t="n">
        <v>0.344349875902619</v>
      </c>
      <c r="D876" s="15" t="n">
        <v>0.6022662457837715</v>
      </c>
      <c r="E876" s="14" t="inlineStr">
        <is>
          <t>Малашинская</t>
        </is>
      </c>
      <c r="F876" s="16" t="n"/>
    </row>
    <row r="877">
      <c r="A877" s="14" t="inlineStr">
        <is>
          <t>2026 P03</t>
        </is>
      </c>
      <c r="B877" s="15" t="n">
        <v>0.4338052049632974</v>
      </c>
      <c r="C877" s="15" t="n">
        <v>0.3431247417908739</v>
      </c>
      <c r="D877" s="15" t="n">
        <v>0.09068046317242356</v>
      </c>
      <c r="E877" s="14" t="inlineStr">
        <is>
          <t>ПУД</t>
        </is>
      </c>
      <c r="F877" s="16" t="n"/>
    </row>
    <row r="878">
      <c r="A878" s="14" t="inlineStr">
        <is>
          <t>2026 P04</t>
        </is>
      </c>
      <c r="B878" s="15" t="n">
        <v>0.4362489133539408</v>
      </c>
      <c r="C878" s="15" t="n">
        <v>0.342314671277089</v>
      </c>
      <c r="D878" s="15" t="n">
        <v>0.09393424207685186</v>
      </c>
      <c r="E878" s="14" t="inlineStr">
        <is>
          <t>Аникс</t>
        </is>
      </c>
      <c r="F878" s="16" t="n"/>
    </row>
    <row r="879">
      <c r="A879" s="14" t="inlineStr">
        <is>
          <t>2026 P01</t>
        </is>
      </c>
      <c r="B879" s="15" t="n">
        <v>0.4588755690920821</v>
      </c>
      <c r="C879" s="15" t="n">
        <v>0.3353692984303326</v>
      </c>
      <c r="D879" s="15" t="n">
        <v>0.1235062706617495</v>
      </c>
      <c r="E879" s="14" t="inlineStr">
        <is>
          <t>Аникс</t>
        </is>
      </c>
      <c r="F879" s="16" t="n"/>
    </row>
    <row r="880">
      <c r="A880" s="14" t="inlineStr">
        <is>
          <t>2026 P03</t>
        </is>
      </c>
      <c r="B880" s="15" t="n">
        <v>0.9532432395412431</v>
      </c>
      <c r="C880" s="15" t="n">
        <v>0.3264939756598856</v>
      </c>
      <c r="D880" s="15" t="n">
        <v>0.6267492638813574</v>
      </c>
      <c r="E880" s="14" t="inlineStr">
        <is>
          <t>Малашинская</t>
        </is>
      </c>
      <c r="F880" s="16" t="n"/>
    </row>
    <row r="881">
      <c r="A881" s="14" t="inlineStr">
        <is>
          <t>2026 P04</t>
        </is>
      </c>
      <c r="B881" s="15" t="n">
        <v>0.8406362608261659</v>
      </c>
      <c r="C881" s="15" t="n">
        <v>0.3249886266275477</v>
      </c>
      <c r="D881" s="15" t="n">
        <v>0.5156476341986183</v>
      </c>
      <c r="E881" s="14" t="inlineStr">
        <is>
          <t>Малашинская</t>
        </is>
      </c>
      <c r="F881" s="16" t="n"/>
    </row>
    <row r="882">
      <c r="A882" s="14" t="inlineStr">
        <is>
          <t>2026 P07</t>
        </is>
      </c>
      <c r="B882" s="15" t="n">
        <v>0.4418461957370843</v>
      </c>
      <c r="C882" s="15" t="n">
        <v>0.3239732253379951</v>
      </c>
      <c r="D882" s="15" t="n">
        <v>0.1178729703990892</v>
      </c>
      <c r="E882" s="14" t="inlineStr">
        <is>
          <t>Высшая лига</t>
        </is>
      </c>
      <c r="F882" s="16" t="n"/>
    </row>
    <row r="883">
      <c r="A883" s="14" t="inlineStr">
        <is>
          <t>2026 P06</t>
        </is>
      </c>
      <c r="B883" s="15" t="n">
        <v>0.348404976662184</v>
      </c>
      <c r="C883" s="15" t="n">
        <v>0.3155052876794905</v>
      </c>
      <c r="D883" s="15" t="n">
        <v>0.03289968898269346</v>
      </c>
      <c r="E883" s="14" t="inlineStr">
        <is>
          <t>МТК ООО</t>
        </is>
      </c>
      <c r="F883" s="16" t="n"/>
    </row>
    <row r="884">
      <c r="A884" s="14" t="inlineStr">
        <is>
          <t>2026 P03</t>
        </is>
      </c>
      <c r="B884" s="15" t="n">
        <v>0.3950201298207184</v>
      </c>
      <c r="C884" s="15" t="n">
        <v>0.3113025873519707</v>
      </c>
      <c r="D884" s="15" t="n">
        <v>0.08371754246874769</v>
      </c>
      <c r="E884" s="14" t="inlineStr">
        <is>
          <t>Аникс</t>
        </is>
      </c>
      <c r="F884" s="16" t="n"/>
    </row>
    <row r="885">
      <c r="A885" s="14" t="inlineStr">
        <is>
          <t>2026 P06</t>
        </is>
      </c>
      <c r="B885" s="15" t="n">
        <v>0.8298093024155846</v>
      </c>
      <c r="C885" s="15" t="n">
        <v>0.3085134715029749</v>
      </c>
      <c r="D885" s="15" t="n">
        <v>0.5212958309126097</v>
      </c>
      <c r="E885" s="14" t="inlineStr">
        <is>
          <t>ИП Ястребков А.Н.</t>
        </is>
      </c>
      <c r="F885" s="16" t="n"/>
    </row>
    <row r="886">
      <c r="A886" s="14" t="inlineStr">
        <is>
          <t>2026 P05</t>
        </is>
      </c>
      <c r="B886" s="15" t="n">
        <v>0.3742456821213648</v>
      </c>
      <c r="C886" s="15" t="n">
        <v>0.3058305162695628</v>
      </c>
      <c r="D886" s="15" t="n">
        <v>0.06841516585180196</v>
      </c>
      <c r="E886" s="14" t="inlineStr">
        <is>
          <t>PetShop.ru</t>
        </is>
      </c>
      <c r="F886" s="16" t="n"/>
    </row>
    <row r="887">
      <c r="A887" s="14" t="inlineStr">
        <is>
          <t>2026 P06</t>
        </is>
      </c>
      <c r="B887" s="15" t="n">
        <v>0.9541893237925818</v>
      </c>
      <c r="C887" s="15" t="n">
        <v>0.3053770141050667</v>
      </c>
      <c r="D887" s="15" t="n">
        <v>0.6488123096875151</v>
      </c>
      <c r="E887" s="14" t="inlineStr">
        <is>
          <t>Зооветсервис ООО</t>
        </is>
      </c>
      <c r="F887" s="16" t="n"/>
    </row>
    <row r="888">
      <c r="A888" s="14" t="inlineStr">
        <is>
          <t>2026 P01</t>
        </is>
      </c>
      <c r="B888" s="15" t="n">
        <v>0.9208276381105341</v>
      </c>
      <c r="C888" s="15" t="n">
        <v>0.3033675980230719</v>
      </c>
      <c r="D888" s="15" t="n">
        <v>0.6174600400874622</v>
      </c>
      <c r="E888" s="14" t="inlineStr">
        <is>
          <t>Зооветсервис ООО</t>
        </is>
      </c>
      <c r="F888" s="16" t="n"/>
    </row>
    <row r="889">
      <c r="A889" s="14" t="inlineStr">
        <is>
          <t>2026 P08</t>
        </is>
      </c>
      <c r="B889" s="15" t="n">
        <v>0.426727856921387</v>
      </c>
      <c r="C889" s="15" t="n">
        <v>0.3004576856188343</v>
      </c>
      <c r="D889" s="15" t="n">
        <v>0.1262701713025526</v>
      </c>
      <c r="E889" s="14" t="inlineStr">
        <is>
          <t>Высшая лига</t>
        </is>
      </c>
      <c r="F889" s="16" t="n"/>
    </row>
    <row r="890">
      <c r="A890" s="14" t="inlineStr">
        <is>
          <t>2026 P07</t>
        </is>
      </c>
      <c r="B890" s="15" t="n">
        <v>0.3423140923562181</v>
      </c>
      <c r="C890" s="15" t="n">
        <v>0.3002144182838231</v>
      </c>
      <c r="D890" s="15" t="n">
        <v>0.04209967407239495</v>
      </c>
      <c r="E890" s="14" t="inlineStr">
        <is>
          <t>МТК ООО</t>
        </is>
      </c>
      <c r="F890" s="16" t="n"/>
    </row>
    <row r="891">
      <c r="A891" s="14" t="inlineStr">
        <is>
          <t>2026 P01</t>
        </is>
      </c>
      <c r="B891" s="15" t="n">
        <v>0.3895985321075637</v>
      </c>
      <c r="C891" s="15" t="n">
        <v>0.2968238537985127</v>
      </c>
      <c r="D891" s="15" t="n">
        <v>0.09277467830905095</v>
      </c>
      <c r="E891" s="14" t="inlineStr">
        <is>
          <t>Десяточка North</t>
        </is>
      </c>
      <c r="F891" s="16" t="n"/>
    </row>
    <row r="892">
      <c r="A892" s="14" t="inlineStr">
        <is>
          <t>2026 P06</t>
        </is>
      </c>
      <c r="B892" s="15" t="n">
        <v>0.3100454537261562</v>
      </c>
      <c r="C892" s="15" t="n">
        <v>0.292280517562415</v>
      </c>
      <c r="D892" s="15" t="n">
        <v>0.01776493616374125</v>
      </c>
      <c r="E892" s="14" t="inlineStr">
        <is>
          <t>Холлифуд</t>
        </is>
      </c>
      <c r="F892" s="16" t="n"/>
    </row>
    <row r="893">
      <c r="A893" s="14" t="inlineStr">
        <is>
          <t>2026 P06</t>
        </is>
      </c>
      <c r="B893" s="15" t="n">
        <v>0.3729749248915794</v>
      </c>
      <c r="C893" s="15" t="n">
        <v>0.2859730221116367</v>
      </c>
      <c r="D893" s="15" t="n">
        <v>0.08700190277994269</v>
      </c>
      <c r="E893" s="14" t="inlineStr">
        <is>
          <t>Высшая лига</t>
        </is>
      </c>
      <c r="F893" s="16" t="n"/>
    </row>
    <row r="894">
      <c r="A894" s="14" t="inlineStr">
        <is>
          <t>2026 P06</t>
        </is>
      </c>
      <c r="B894" s="15" t="n">
        <v>0.3192632549937764</v>
      </c>
      <c r="C894" s="15" t="n">
        <v>0.283256790092317</v>
      </c>
      <c r="D894" s="15" t="n">
        <v>0.03600646490145937</v>
      </c>
      <c r="E894" s="14" t="inlineStr">
        <is>
          <t>PetShop.ru</t>
        </is>
      </c>
      <c r="F894" s="16" t="n"/>
    </row>
    <row r="895">
      <c r="A895" s="14" t="inlineStr">
        <is>
          <t>2026 P05</t>
        </is>
      </c>
      <c r="B895" s="15" t="n">
        <v>0.3015698366727246</v>
      </c>
      <c r="C895" s="15" t="n">
        <v>0.278978419448259</v>
      </c>
      <c r="D895" s="15" t="n">
        <v>0.02259141722446562</v>
      </c>
      <c r="E895" s="14" t="inlineStr">
        <is>
          <t>Детский Мир (Москва)</t>
        </is>
      </c>
      <c r="F895" s="16" t="n"/>
    </row>
    <row r="896">
      <c r="A896" s="14" t="inlineStr">
        <is>
          <t>2026 P01</t>
        </is>
      </c>
      <c r="B896" s="15" t="n">
        <v>0.7175452889558139</v>
      </c>
      <c r="C896" s="15" t="n">
        <v>0.2742320516943503</v>
      </c>
      <c r="D896" s="15" t="n">
        <v>0.4433132372614636</v>
      </c>
      <c r="E896" s="14" t="inlineStr">
        <is>
          <t>Арт-Маркет</t>
        </is>
      </c>
      <c r="F896" s="16" t="n"/>
    </row>
    <row r="897">
      <c r="A897" s="14" t="inlineStr">
        <is>
          <t>2026 P04</t>
        </is>
      </c>
      <c r="B897" s="15" t="n">
        <v>0.2919307970829131</v>
      </c>
      <c r="C897" s="15" t="n">
        <v>0.2742227545145731</v>
      </c>
      <c r="D897" s="15" t="n">
        <v>0.01770804256834002</v>
      </c>
      <c r="E897" s="14" t="inlineStr">
        <is>
          <t>Детский Мир (Москва)</t>
        </is>
      </c>
      <c r="F897" s="16" t="n"/>
    </row>
    <row r="898">
      <c r="A898" s="14" t="inlineStr">
        <is>
          <t>2026 P01</t>
        </is>
      </c>
      <c r="B898" s="15" t="n">
        <v>0.6604697532719277</v>
      </c>
      <c r="C898" s="15" t="n">
        <v>0.2712515053153218</v>
      </c>
      <c r="D898" s="15" t="n">
        <v>0.3892182479566059</v>
      </c>
      <c r="E898" s="14" t="inlineStr">
        <is>
          <t>Кэш&amp;Керри</t>
        </is>
      </c>
      <c r="F898" s="16" t="n"/>
    </row>
    <row r="899">
      <c r="A899" s="14" t="inlineStr">
        <is>
          <t>2026 P05</t>
        </is>
      </c>
      <c r="B899" s="15" t="n">
        <v>0.9575776492410293</v>
      </c>
      <c r="C899" s="15" t="n">
        <v>0.2682113630706311</v>
      </c>
      <c r="D899" s="15" t="n">
        <v>0.6893662861703982</v>
      </c>
      <c r="E899" s="14" t="inlineStr">
        <is>
          <t>Малашинская</t>
        </is>
      </c>
      <c r="F899" s="16" t="n"/>
    </row>
    <row r="900">
      <c r="A900" s="14" t="inlineStr">
        <is>
          <t>2026 P03</t>
        </is>
      </c>
      <c r="B900" s="15" t="n">
        <v>0.3489653630391126</v>
      </c>
      <c r="C900" s="15" t="n">
        <v>0.2647235427178789</v>
      </c>
      <c r="D900" s="15" t="n">
        <v>0.08424182032123367</v>
      </c>
      <c r="E900" s="14" t="inlineStr">
        <is>
          <t>Десяточка North</t>
        </is>
      </c>
      <c r="F900" s="16" t="n"/>
    </row>
    <row r="901">
      <c r="A901" s="14" t="inlineStr">
        <is>
          <t>2026 P07</t>
        </is>
      </c>
      <c r="B901" s="15" t="n">
        <v>0.3238543694430335</v>
      </c>
      <c r="C901" s="15" t="n">
        <v>0.2633858764942673</v>
      </c>
      <c r="D901" s="15" t="n">
        <v>0.06046849294876627</v>
      </c>
      <c r="E901" s="14" t="inlineStr">
        <is>
          <t>Детский Мир (Москва)</t>
        </is>
      </c>
      <c r="F901" s="16" t="n"/>
    </row>
    <row r="902">
      <c r="A902" s="14" t="inlineStr">
        <is>
          <t>2026 P08</t>
        </is>
      </c>
      <c r="B902" s="15" t="n">
        <v>0.3132719639558424</v>
      </c>
      <c r="C902" s="15" t="n">
        <v>0.2600060462334535</v>
      </c>
      <c r="D902" s="15" t="n">
        <v>0.05326591772238892</v>
      </c>
      <c r="E902" s="14" t="inlineStr">
        <is>
          <t>Детский Мир (Москва)</t>
        </is>
      </c>
      <c r="F902" s="16" t="n"/>
    </row>
    <row r="903">
      <c r="A903" s="14" t="inlineStr">
        <is>
          <t>2026 P03</t>
        </is>
      </c>
      <c r="B903" s="15" t="n">
        <v>0.2925008085998575</v>
      </c>
      <c r="C903" s="15" t="n">
        <v>0.2540558026216045</v>
      </c>
      <c r="D903" s="15" t="n">
        <v>0.03844500597825301</v>
      </c>
      <c r="E903" s="14" t="inlineStr">
        <is>
          <t>Лама</t>
        </is>
      </c>
      <c r="F903" s="16" t="n"/>
    </row>
    <row r="904">
      <c r="A904" s="14" t="inlineStr">
        <is>
          <t>2026 P02</t>
        </is>
      </c>
      <c r="B904" s="15" t="n">
        <v>0.2997248748059915</v>
      </c>
      <c r="C904" s="15" t="n">
        <v>0.2534577445827692</v>
      </c>
      <c r="D904" s="15" t="n">
        <v>0.04626713022322237</v>
      </c>
      <c r="E904" s="14" t="inlineStr">
        <is>
          <t>Лама</t>
        </is>
      </c>
      <c r="F904" s="16" t="n"/>
    </row>
    <row r="905">
      <c r="A905" s="14" t="inlineStr">
        <is>
          <t>2026 P05</t>
        </is>
      </c>
      <c r="B905" s="15" t="n">
        <v>0.6019070650378943</v>
      </c>
      <c r="C905" s="15" t="n">
        <v>0.2523960304021588</v>
      </c>
      <c r="D905" s="15" t="n">
        <v>0.3495110346357355</v>
      </c>
      <c r="E905" s="14" t="inlineStr">
        <is>
          <t>Арыш Мае</t>
        </is>
      </c>
      <c r="F905" s="16" t="n"/>
    </row>
    <row r="906">
      <c r="A906" s="14" t="inlineStr">
        <is>
          <t>2026 P08</t>
        </is>
      </c>
      <c r="B906" s="15" t="n">
        <v>0.3212810717837282</v>
      </c>
      <c r="C906" s="15" t="n">
        <v>0.2460145002281246</v>
      </c>
      <c r="D906" s="15" t="n">
        <v>0.07526657155560362</v>
      </c>
      <c r="E906" s="14" t="inlineStr">
        <is>
          <t>Народный (Санкт-Петербург)</t>
        </is>
      </c>
      <c r="F906" s="16" t="n"/>
    </row>
    <row r="907">
      <c r="A907" s="14" t="inlineStr">
        <is>
          <t>2026 P02</t>
        </is>
      </c>
      <c r="B907" s="15" t="n">
        <v>0.3140244682519222</v>
      </c>
      <c r="C907" s="15" t="n">
        <v>0.2431335352130276</v>
      </c>
      <c r="D907" s="15" t="n">
        <v>0.07089093303889457</v>
      </c>
      <c r="E907" s="14" t="inlineStr">
        <is>
          <t>Семь шагов</t>
        </is>
      </c>
      <c r="F907" s="16" t="n"/>
    </row>
    <row r="908">
      <c r="A908" s="14" t="inlineStr">
        <is>
          <t>2026 P08</t>
        </is>
      </c>
      <c r="B908" s="15" t="n">
        <v>0.2299798741987762</v>
      </c>
      <c r="C908" s="15" t="n">
        <v>0.2355088887117399</v>
      </c>
      <c r="D908" s="15" t="n">
        <v>-0.005529014512963698</v>
      </c>
      <c r="E908" s="14" t="inlineStr">
        <is>
          <t>Холлифуд</t>
        </is>
      </c>
      <c r="F908" s="16" t="n"/>
    </row>
    <row r="909">
      <c r="A909" s="14" t="inlineStr">
        <is>
          <t>2026 P06</t>
        </is>
      </c>
      <c r="B909" s="15" t="n">
        <v>0.3021383959419923</v>
      </c>
      <c r="C909" s="15" t="n">
        <v>0.2352911069195477</v>
      </c>
      <c r="D909" s="15" t="n">
        <v>0.06684728902244461</v>
      </c>
      <c r="E909" s="14" t="inlineStr">
        <is>
          <t>Детский Мир (Москва)</t>
        </is>
      </c>
      <c r="F909" s="16" t="n"/>
    </row>
    <row r="910">
      <c r="A910" s="14" t="inlineStr">
        <is>
          <t>2026 P03</t>
        </is>
      </c>
      <c r="B910" s="15" t="n">
        <v>0.2964094855822811</v>
      </c>
      <c r="C910" s="15" t="n">
        <v>0.2342085065371276</v>
      </c>
      <c r="D910" s="15" t="n">
        <v>0.06220097904515354</v>
      </c>
      <c r="E910" s="14" t="inlineStr">
        <is>
          <t>Детский Мир (Москва)</t>
        </is>
      </c>
      <c r="F910" s="16" t="n"/>
    </row>
    <row r="911">
      <c r="A911" s="14" t="inlineStr">
        <is>
          <t>2026 P08</t>
        </is>
      </c>
      <c r="B911" s="15" t="n">
        <v>0.5096963049768871</v>
      </c>
      <c r="C911" s="15" t="n">
        <v>0.228000253406905</v>
      </c>
      <c r="D911" s="15" t="n">
        <v>0.2816960515699821</v>
      </c>
      <c r="E911" s="14" t="inlineStr">
        <is>
          <t>Челухин</t>
        </is>
      </c>
      <c r="F911" s="16" t="n"/>
    </row>
    <row r="912">
      <c r="A912" s="14" t="inlineStr">
        <is>
          <t>2026 P03</t>
        </is>
      </c>
      <c r="B912" s="15" t="n">
        <v>0.4757456958697041</v>
      </c>
      <c r="C912" s="15" t="n">
        <v>0.2240082042187084</v>
      </c>
      <c r="D912" s="15" t="n">
        <v>0.2517374916509956</v>
      </c>
      <c r="E912" s="14" t="inlineStr">
        <is>
          <t>Арыш Мае</t>
        </is>
      </c>
      <c r="F912" s="16" t="n"/>
    </row>
    <row r="913">
      <c r="A913" s="14" t="inlineStr">
        <is>
          <t>2026 P04</t>
        </is>
      </c>
      <c r="B913" s="15" t="n">
        <v>0.5540497499051024</v>
      </c>
      <c r="C913" s="15" t="n">
        <v>0.2207867784169569</v>
      </c>
      <c r="D913" s="15" t="n">
        <v>0.3332629714881454</v>
      </c>
      <c r="E913" s="14" t="inlineStr">
        <is>
          <t>Арыш Мае</t>
        </is>
      </c>
      <c r="F913" s="16" t="n"/>
    </row>
    <row r="914">
      <c r="A914" s="14" t="inlineStr">
        <is>
          <t>2026 P02</t>
        </is>
      </c>
      <c r="B914" s="15" t="n">
        <v>0.3023012990524832</v>
      </c>
      <c r="C914" s="15" t="n">
        <v>0.220758306130703</v>
      </c>
      <c r="D914" s="15" t="n">
        <v>0.08154299292178016</v>
      </c>
      <c r="E914" s="14" t="inlineStr">
        <is>
          <t>Детский Мир (Москва)</t>
        </is>
      </c>
      <c r="F914" s="16" t="n"/>
    </row>
    <row r="915">
      <c r="A915" s="14" t="inlineStr">
        <is>
          <t>2026 P07</t>
        </is>
      </c>
      <c r="B915" s="15" t="n">
        <v>0.2143618897058373</v>
      </c>
      <c r="C915" s="15" t="n">
        <v>0.2186559962716994</v>
      </c>
      <c r="D915" s="15" t="n">
        <v>-0.004294106565862127</v>
      </c>
      <c r="E915" s="14" t="inlineStr">
        <is>
          <t>Холлифуд</t>
        </is>
      </c>
      <c r="F915" s="16" t="n"/>
    </row>
    <row r="916">
      <c r="A916" s="14" t="inlineStr">
        <is>
          <t>2026 P06</t>
        </is>
      </c>
      <c r="B916" s="15" t="n">
        <v>0.5903538012035303</v>
      </c>
      <c r="C916" s="15" t="n">
        <v>0.2165216989684789</v>
      </c>
      <c r="D916" s="15" t="n">
        <v>0.3738321022350514</v>
      </c>
      <c r="E916" s="14" t="inlineStr">
        <is>
          <t>Арыш Мае</t>
        </is>
      </c>
      <c r="F916" s="16" t="n"/>
    </row>
    <row r="917">
      <c r="A917" s="14" t="inlineStr">
        <is>
          <t>2026 P07</t>
        </is>
      </c>
      <c r="B917" s="15" t="n">
        <v>0.2962512446799183</v>
      </c>
      <c r="C917" s="15" t="n">
        <v>0.2098037496488648</v>
      </c>
      <c r="D917" s="15" t="n">
        <v>0.08644749503105348</v>
      </c>
      <c r="E917" s="14" t="inlineStr">
        <is>
          <t>Народный (Санкт-Петербург)</t>
        </is>
      </c>
      <c r="F917" s="16" t="n"/>
    </row>
    <row r="918">
      <c r="A918" s="14" t="inlineStr">
        <is>
          <t>2026 P07</t>
        </is>
      </c>
      <c r="B918" s="15" t="n">
        <v>0.4894734007307365</v>
      </c>
      <c r="C918" s="15" t="n">
        <v>0.2068582968533138</v>
      </c>
      <c r="D918" s="15" t="n">
        <v>0.2826151038774228</v>
      </c>
      <c r="E918" s="14" t="inlineStr">
        <is>
          <t>Челухин</t>
        </is>
      </c>
      <c r="F918" s="16" t="n"/>
    </row>
    <row r="919">
      <c r="A919" s="14" t="inlineStr">
        <is>
          <t>2026 P01</t>
        </is>
      </c>
      <c r="B919" s="15" t="n">
        <v>0.3389304841301404</v>
      </c>
      <c r="C919" s="15" t="n">
        <v>0.2062761144124769</v>
      </c>
      <c r="D919" s="15" t="n">
        <v>0.1326543697176635</v>
      </c>
      <c r="E919" s="14" t="inlineStr">
        <is>
          <t>Детский Мир (Москва)</t>
        </is>
      </c>
      <c r="F919" s="16" t="n"/>
    </row>
    <row r="920">
      <c r="A920" s="14" t="inlineStr">
        <is>
          <t>2026 P07</t>
        </is>
      </c>
      <c r="B920" s="15" t="n">
        <v>0.5726384493749234</v>
      </c>
      <c r="C920" s="15" t="n">
        <v>0.2021575518483693</v>
      </c>
      <c r="D920" s="15" t="n">
        <v>0.3704808975265541</v>
      </c>
      <c r="E920" s="14" t="inlineStr">
        <is>
          <t>Арыш Мае</t>
        </is>
      </c>
      <c r="F920" s="16" t="n"/>
    </row>
    <row r="921">
      <c r="A921" s="14" t="inlineStr">
        <is>
          <t>2026 P08</t>
        </is>
      </c>
      <c r="B921" s="15" t="n">
        <v>0.2232703928936223</v>
      </c>
      <c r="C921" s="15" t="n">
        <v>0.1927598124619403</v>
      </c>
      <c r="D921" s="15" t="n">
        <v>0.03051058043168206</v>
      </c>
      <c r="E921" s="14" t="inlineStr">
        <is>
          <t>Баско</t>
        </is>
      </c>
      <c r="F921" s="16" t="n"/>
    </row>
    <row r="922">
      <c r="A922" s="14" t="inlineStr">
        <is>
          <t>2026 P01</t>
        </is>
      </c>
      <c r="B922" s="15" t="n">
        <v>0.2483254361295821</v>
      </c>
      <c r="C922" s="15" t="n">
        <v>0.1883056907634626</v>
      </c>
      <c r="D922" s="15" t="n">
        <v>0.06001974536611943</v>
      </c>
      <c r="E922" s="14" t="inlineStr">
        <is>
          <t>Семь шагов</t>
        </is>
      </c>
      <c r="F922" s="16" t="n"/>
    </row>
    <row r="923">
      <c r="A923" s="14" t="inlineStr">
        <is>
          <t>2026 P06</t>
        </is>
      </c>
      <c r="B923" s="15" t="n">
        <v>0.3998395305212207</v>
      </c>
      <c r="C923" s="15" t="n">
        <v>0.1810334168732657</v>
      </c>
      <c r="D923" s="15" t="n">
        <v>0.2188061136479549</v>
      </c>
      <c r="E923" s="14" t="inlineStr">
        <is>
          <t>Челухин</t>
        </is>
      </c>
      <c r="F923" s="16" t="n"/>
    </row>
    <row r="924">
      <c r="A924" s="14" t="inlineStr">
        <is>
          <t>2026 P07</t>
        </is>
      </c>
      <c r="B924" s="15" t="n">
        <v>0.2011101922569459</v>
      </c>
      <c r="C924" s="15" t="n">
        <v>0.1805092040607374</v>
      </c>
      <c r="D924" s="15" t="n">
        <v>0.02060098819620848</v>
      </c>
      <c r="E924" s="14" t="inlineStr">
        <is>
          <t>PetShop.ru</t>
        </is>
      </c>
      <c r="F924" s="16" t="n"/>
    </row>
    <row r="925">
      <c r="A925" s="14" t="inlineStr">
        <is>
          <t>2026 P04</t>
        </is>
      </c>
      <c r="B925" s="15" t="n">
        <v>0.6939249457876184</v>
      </c>
      <c r="C925" s="15" t="n">
        <v>0.178064148233911</v>
      </c>
      <c r="D925" s="15" t="n">
        <v>0.5158607975537075</v>
      </c>
      <c r="E925" s="14" t="inlineStr">
        <is>
          <t>Арслан ООО (Августина)</t>
        </is>
      </c>
      <c r="F925" s="16" t="n"/>
    </row>
    <row r="926">
      <c r="A926" s="14" t="inlineStr">
        <is>
          <t>2026 P08</t>
        </is>
      </c>
      <c r="B926" s="15" t="n">
        <v>0.591856677086568</v>
      </c>
      <c r="C926" s="15" t="n">
        <v>0.1750711149818161</v>
      </c>
      <c r="D926" s="15" t="n">
        <v>0.4167855621047519</v>
      </c>
      <c r="E926" s="14" t="inlineStr">
        <is>
          <t>Арыш Мае</t>
        </is>
      </c>
      <c r="F926" s="16" t="n"/>
    </row>
    <row r="927">
      <c r="A927" s="14" t="inlineStr">
        <is>
          <t>2026 P02</t>
        </is>
      </c>
      <c r="B927" s="15" t="n">
        <v>0.4686102978026691</v>
      </c>
      <c r="C927" s="15" t="n">
        <v>0.1683221701477134</v>
      </c>
      <c r="D927" s="15" t="n">
        <v>0.3002881276549557</v>
      </c>
      <c r="E927" s="14" t="inlineStr">
        <is>
          <t>Арыш Мае</t>
        </is>
      </c>
      <c r="F927" s="16" t="n"/>
    </row>
    <row r="928">
      <c r="A928" s="14" t="inlineStr">
        <is>
          <t>2026 P03</t>
        </is>
      </c>
      <c r="B928" s="15" t="n">
        <v>0.5871429248300398</v>
      </c>
      <c r="C928" s="15" t="n">
        <v>0.1649430781725075</v>
      </c>
      <c r="D928" s="15" t="n">
        <v>0.4221998466575324</v>
      </c>
      <c r="E928" s="14" t="inlineStr">
        <is>
          <t>Арслан ООО (Августина)</t>
        </is>
      </c>
      <c r="F928" s="16" t="n"/>
    </row>
    <row r="929">
      <c r="A929" s="14" t="inlineStr">
        <is>
          <t>2026 P01</t>
        </is>
      </c>
      <c r="B929" s="15" t="n">
        <v>0.4367010549353854</v>
      </c>
      <c r="C929" s="15" t="n">
        <v>0.1497536516826265</v>
      </c>
      <c r="D929" s="15" t="n">
        <v>0.2869474032527589</v>
      </c>
      <c r="E929" s="14" t="inlineStr">
        <is>
          <t>Арыш Мае</t>
        </is>
      </c>
      <c r="F929" s="16" t="n"/>
    </row>
    <row r="930">
      <c r="A930" s="14" t="inlineStr">
        <is>
          <t>2026 P07</t>
        </is>
      </c>
      <c r="B930" s="15" t="n">
        <v>0.7213039466768397</v>
      </c>
      <c r="C930" s="15" t="n">
        <v>0.147035096901224</v>
      </c>
      <c r="D930" s="15" t="n">
        <v>0.5742688497756157</v>
      </c>
      <c r="E930" s="14" t="inlineStr">
        <is>
          <t>Арслан ООО (Августина)</t>
        </is>
      </c>
      <c r="F930" s="16" t="n"/>
    </row>
    <row r="931">
      <c r="A931" s="14" t="inlineStr">
        <is>
          <t>2026 P06</t>
        </is>
      </c>
      <c r="B931" s="15" t="n">
        <v>0.6731931763029693</v>
      </c>
      <c r="C931" s="15" t="n">
        <v>0.1464877446868438</v>
      </c>
      <c r="D931" s="15" t="n">
        <v>0.5267054316161255</v>
      </c>
      <c r="E931" s="14" t="inlineStr">
        <is>
          <t>Арслан ООО (Августина)</t>
        </is>
      </c>
      <c r="F931" s="16" t="n"/>
    </row>
    <row r="932">
      <c r="A932" s="14" t="inlineStr">
        <is>
          <t>2026 P07</t>
        </is>
      </c>
      <c r="B932" s="15" t="n">
        <v>0.1885402656882719</v>
      </c>
      <c r="C932" s="15" t="n">
        <v>0.1462834091747283</v>
      </c>
      <c r="D932" s="15" t="n">
        <v>0.04225685651354358</v>
      </c>
      <c r="E932" s="14" t="inlineStr">
        <is>
          <t>Баско</t>
        </is>
      </c>
      <c r="F932" s="16" t="n"/>
    </row>
    <row r="933">
      <c r="A933" s="14" t="inlineStr">
        <is>
          <t>2026 P06</t>
        </is>
      </c>
      <c r="B933" s="15" t="n">
        <v>0.1656039921488552</v>
      </c>
      <c r="C933" s="15" t="n">
        <v>0.1402319899391642</v>
      </c>
      <c r="D933" s="15" t="n">
        <v>0.02537200220969099</v>
      </c>
      <c r="E933" s="14" t="inlineStr">
        <is>
          <t>Баско</t>
        </is>
      </c>
      <c r="F933" s="16" t="n"/>
    </row>
    <row r="934">
      <c r="A934" s="14" t="inlineStr">
        <is>
          <t>2026 P05</t>
        </is>
      </c>
      <c r="B934" s="15" t="n">
        <v>0.4209679258218714</v>
      </c>
      <c r="C934" s="15" t="n">
        <v>0.136718472169175</v>
      </c>
      <c r="D934" s="15" t="n">
        <v>0.2842494536526964</v>
      </c>
      <c r="E934" s="14" t="inlineStr">
        <is>
          <t>Челухин</t>
        </is>
      </c>
      <c r="F934" s="16" t="n"/>
    </row>
    <row r="935">
      <c r="A935" s="14" t="inlineStr">
        <is>
          <t>2026 P02</t>
        </is>
      </c>
      <c r="B935" s="15" t="n">
        <v>0.5899458278601835</v>
      </c>
      <c r="C935" s="15" t="n">
        <v>0.1351083618015883</v>
      </c>
      <c r="D935" s="15" t="n">
        <v>0.4548374660585952</v>
      </c>
      <c r="E935" s="14" t="inlineStr">
        <is>
          <t>Арслан ООО (Августина)</t>
        </is>
      </c>
      <c r="F935" s="16" t="n"/>
    </row>
    <row r="936">
      <c r="A936" s="14" t="inlineStr">
        <is>
          <t>2026 P08</t>
        </is>
      </c>
      <c r="B936" s="15" t="n">
        <v>0.1574239630520735</v>
      </c>
      <c r="C936" s="15" t="n">
        <v>0.1340227500497431</v>
      </c>
      <c r="D936" s="15" t="n">
        <v>0.02340121300233033</v>
      </c>
      <c r="E936" s="14" t="inlineStr">
        <is>
          <t>PetShop.ru</t>
        </is>
      </c>
      <c r="F936" s="16" t="n"/>
    </row>
    <row r="937">
      <c r="A937" s="14" t="inlineStr">
        <is>
          <t>2026 P01</t>
        </is>
      </c>
      <c r="B937" s="15" t="n">
        <v>0.2617544250859365</v>
      </c>
      <c r="C937" s="15" t="n">
        <v>0.1334628362371847</v>
      </c>
      <c r="D937" s="15" t="n">
        <v>0.1282915888487518</v>
      </c>
      <c r="E937" s="14" t="inlineStr">
        <is>
          <t>Челухин</t>
        </is>
      </c>
      <c r="F937" s="16" t="n"/>
    </row>
    <row r="938">
      <c r="A938" s="14" t="inlineStr">
        <is>
          <t>2026 P05</t>
        </is>
      </c>
      <c r="B938" s="15" t="n">
        <v>0.1777117028080943</v>
      </c>
      <c r="C938" s="15" t="n">
        <v>0.133321332903949</v>
      </c>
      <c r="D938" s="15" t="n">
        <v>0.04439036990414524</v>
      </c>
      <c r="E938" s="14" t="inlineStr">
        <is>
          <t>Баско</t>
        </is>
      </c>
      <c r="F938" s="16" t="n"/>
    </row>
    <row r="939">
      <c r="A939" s="14" t="inlineStr">
        <is>
          <t>2026 P08</t>
        </is>
      </c>
      <c r="B939" s="15" t="n">
        <v>0.7411555633233063</v>
      </c>
      <c r="C939" s="15" t="n">
        <v>0.133315923633667</v>
      </c>
      <c r="D939" s="15" t="n">
        <v>0.6078396396896394</v>
      </c>
      <c r="E939" s="14" t="inlineStr">
        <is>
          <t>Арслан ООО (Августина)</t>
        </is>
      </c>
      <c r="F939" s="16" t="n"/>
    </row>
    <row r="940">
      <c r="A940" s="14" t="inlineStr">
        <is>
          <t>2026 P05</t>
        </is>
      </c>
      <c r="B940" s="15" t="n">
        <v>0.6322284081913168</v>
      </c>
      <c r="C940" s="15" t="n">
        <v>0.1325549682807421</v>
      </c>
      <c r="D940" s="15" t="n">
        <v>0.4996734399105747</v>
      </c>
      <c r="E940" s="14" t="inlineStr">
        <is>
          <t>Арслан ООО (Августина)</t>
        </is>
      </c>
      <c r="F940" s="16" t="n"/>
    </row>
    <row r="941">
      <c r="A941" s="14" t="inlineStr">
        <is>
          <t>2026 P02</t>
        </is>
      </c>
      <c r="B941" s="15" t="n">
        <v>0.2636335553079118</v>
      </c>
      <c r="C941" s="15" t="n">
        <v>0.1236343909352589</v>
      </c>
      <c r="D941" s="15" t="n">
        <v>0.1399991643726529</v>
      </c>
      <c r="E941" s="14" t="inlineStr">
        <is>
          <t>Челухин</t>
        </is>
      </c>
      <c r="F941" s="16" t="n"/>
    </row>
    <row r="942">
      <c r="A942" s="14" t="inlineStr">
        <is>
          <t>2026 P04</t>
        </is>
      </c>
      <c r="B942" s="15" t="n">
        <v>0.31471908106439</v>
      </c>
      <c r="C942" s="15" t="n">
        <v>0.120382708601693</v>
      </c>
      <c r="D942" s="15" t="n">
        <v>0.194336372462697</v>
      </c>
      <c r="E942" s="14" t="inlineStr">
        <is>
          <t>Лион</t>
        </is>
      </c>
      <c r="F942" s="16" t="n"/>
    </row>
    <row r="943">
      <c r="A943" s="14" t="inlineStr">
        <is>
          <t>2026 P01</t>
        </is>
      </c>
      <c r="B943" s="15" t="n">
        <v>0.5660608138572439</v>
      </c>
      <c r="C943" s="15" t="n">
        <v>0.120373315967615</v>
      </c>
      <c r="D943" s="15" t="n">
        <v>0.4456874978896289</v>
      </c>
      <c r="E943" s="14" t="inlineStr">
        <is>
          <t>Арслан ООО (Августина)</t>
        </is>
      </c>
      <c r="F943" s="16" t="n"/>
    </row>
    <row r="944">
      <c r="A944" s="14" t="inlineStr">
        <is>
          <t>2026 P08</t>
        </is>
      </c>
      <c r="B944" s="15" t="n">
        <v>0.1708630245193386</v>
      </c>
      <c r="C944" s="15" t="n">
        <v>0.113147911106883</v>
      </c>
      <c r="D944" s="15" t="n">
        <v>0.05771511341245554</v>
      </c>
      <c r="E944" s="14" t="inlineStr">
        <is>
          <t>Лион</t>
        </is>
      </c>
      <c r="F944" s="16" t="n"/>
    </row>
    <row r="945">
      <c r="A945" s="14" t="inlineStr">
        <is>
          <t>2026 P03</t>
        </is>
      </c>
      <c r="B945" s="15" t="n">
        <v>0.438949926541901</v>
      </c>
      <c r="C945" s="15" t="n">
        <v>0.112047468248021</v>
      </c>
      <c r="D945" s="15" t="n">
        <v>0.32690245829388</v>
      </c>
      <c r="E945" s="14" t="inlineStr">
        <is>
          <t>Челухин</t>
        </is>
      </c>
      <c r="F945" s="16" t="n"/>
    </row>
    <row r="946">
      <c r="A946" s="14" t="inlineStr">
        <is>
          <t>2026 P03</t>
        </is>
      </c>
      <c r="B946" s="15" t="n">
        <v>0.2859890674350955</v>
      </c>
      <c r="C946" s="15" t="n">
        <v>0.1016007726542162</v>
      </c>
      <c r="D946" s="15" t="n">
        <v>0.1843882947808793</v>
      </c>
      <c r="E946" s="14" t="inlineStr">
        <is>
          <t>Лион</t>
        </is>
      </c>
      <c r="F946" s="16" t="n"/>
    </row>
    <row r="947">
      <c r="A947" s="14" t="inlineStr">
        <is>
          <t>2026 P04</t>
        </is>
      </c>
      <c r="B947" s="15" t="n">
        <v>0.4672938947374192</v>
      </c>
      <c r="C947" s="15" t="n">
        <v>0.08594279332555135</v>
      </c>
      <c r="D947" s="15" t="n">
        <v>0.3813511014118678</v>
      </c>
      <c r="E947" s="14" t="inlineStr">
        <is>
          <t>Челухин</t>
        </is>
      </c>
      <c r="F947" s="16" t="n"/>
    </row>
    <row r="948">
      <c r="A948" s="14" t="inlineStr">
        <is>
          <t>2026 P06</t>
        </is>
      </c>
      <c r="B948" s="15" t="n">
        <v>0.2670507935668304</v>
      </c>
      <c r="C948" s="15" t="n">
        <v>0.07953460685289777</v>
      </c>
      <c r="D948" s="15" t="n">
        <v>0.1875161867139326</v>
      </c>
      <c r="E948" s="14" t="inlineStr">
        <is>
          <t>Лион</t>
        </is>
      </c>
      <c r="F948" s="16" t="n"/>
    </row>
    <row r="949">
      <c r="A949" s="14" t="inlineStr">
        <is>
          <t>2026 P02</t>
        </is>
      </c>
      <c r="B949" s="15" t="n">
        <v>0.2484795689152094</v>
      </c>
      <c r="C949" s="15" t="n">
        <v>0.0780595006299334</v>
      </c>
      <c r="D949" s="15" t="n">
        <v>0.1704200682852759</v>
      </c>
      <c r="E949" s="14" t="inlineStr">
        <is>
          <t>Лион</t>
        </is>
      </c>
      <c r="F949" s="16" t="n"/>
    </row>
    <row r="950">
      <c r="A950" s="14" t="inlineStr">
        <is>
          <t>2026 P07</t>
        </is>
      </c>
      <c r="B950" s="15" t="n">
        <v>0.2161512234009006</v>
      </c>
      <c r="C950" s="15" t="n">
        <v>0.07497444631676564</v>
      </c>
      <c r="D950" s="15" t="n">
        <v>0.1411767770841349</v>
      </c>
      <c r="E950" s="14" t="inlineStr">
        <is>
          <t>Лион</t>
        </is>
      </c>
      <c r="F950" s="16" t="n"/>
    </row>
    <row r="951">
      <c r="A951" s="14" t="inlineStr">
        <is>
          <t>2026 P05</t>
        </is>
      </c>
      <c r="B951" s="15" t="n">
        <v>0.2510844060609312</v>
      </c>
      <c r="C951" s="15" t="n">
        <v>0.07056861825969475</v>
      </c>
      <c r="D951" s="15" t="n">
        <v>0.1805157878012365</v>
      </c>
      <c r="E951" s="14" t="inlineStr">
        <is>
          <t>Лион</t>
        </is>
      </c>
      <c r="F951" s="16" t="n"/>
    </row>
    <row r="952">
      <c r="A952" s="14" t="inlineStr">
        <is>
          <t>2026 P01</t>
        </is>
      </c>
      <c r="B952" s="15" t="n">
        <v>0.2353088442416713</v>
      </c>
      <c r="C952" s="15" t="n">
        <v>0.05351875046462098</v>
      </c>
      <c r="D952" s="15" t="n">
        <v>0.1817900937770503</v>
      </c>
      <c r="E952" s="14" t="inlineStr">
        <is>
          <t>Лион</t>
        </is>
      </c>
      <c r="F952" s="16" t="n"/>
    </row>
    <row r="953">
      <c r="A953" s="14" t="inlineStr">
        <is>
          <t>2026 P06</t>
        </is>
      </c>
      <c r="B953" s="15" t="n">
        <v>0</v>
      </c>
      <c r="C953" s="15" t="n">
        <v>0.0115672789956276</v>
      </c>
      <c r="D953" s="15" t="n">
        <v>-0.0115672789956276</v>
      </c>
      <c r="E953" s="14" t="inlineStr">
        <is>
          <t>Маяк</t>
        </is>
      </c>
      <c r="F953" s="16" t="n"/>
    </row>
    <row r="954">
      <c r="A954" s="14" t="inlineStr">
        <is>
          <t>2026 P04</t>
        </is>
      </c>
      <c r="B954" s="15" t="n">
        <v>0.02132286965742653</v>
      </c>
      <c r="C954" s="15" t="n">
        <v>0.009142437641916924</v>
      </c>
      <c r="D954" s="15" t="n">
        <v>0.01218043201550961</v>
      </c>
      <c r="E954" s="14" t="inlineStr">
        <is>
          <t>Маяк</t>
        </is>
      </c>
      <c r="F954" s="16" t="n"/>
    </row>
    <row r="955">
      <c r="A955" s="14" t="inlineStr">
        <is>
          <t>2026 P05</t>
        </is>
      </c>
      <c r="B955" s="15" t="n">
        <v>0.02429657534129151</v>
      </c>
      <c r="C955" s="15" t="n">
        <v>0.001939115850866144</v>
      </c>
      <c r="D955" s="15" t="n">
        <v>0.02235745949042536</v>
      </c>
      <c r="E955" s="14" t="inlineStr">
        <is>
          <t>Маяк</t>
        </is>
      </c>
      <c r="F955" s="16" t="n"/>
    </row>
    <row r="956">
      <c r="A956" s="17" t="inlineStr">
        <is>
          <t>Total</t>
        </is>
      </c>
      <c r="B956" s="18" t="n">
        <v>0.9318367781049945</v>
      </c>
      <c r="C956" s="18" t="n">
        <v>0.7525111684219925</v>
      </c>
      <c r="D956" s="18" t="n">
        <v>0.179325609683002</v>
      </c>
      <c r="E956" s="17" t="n"/>
      <c r="F956" s="16" t="n"/>
    </row>
    <row r="957">
      <c r="A957" s="16" t="n"/>
      <c r="B957" s="16" t="n"/>
      <c r="C957" s="16" t="n"/>
      <c r="D957" s="16" t="n"/>
      <c r="E957" s="16" t="n"/>
      <c r="F957" s="16" t="n"/>
    </row>
    <row r="958">
      <c r="A958" s="19" t="inlineStr">
        <is>
          <t>Applied filters:
OSA-D_OSA is OSA
distributor_region is RF
mars_year is 2026
na_rka_segment is not BTC, Other SPT, Other SS, Опт, or Other E-com</t>
        </is>
      </c>
      <c r="B958" s="16" t="n"/>
      <c r="C958" s="16" t="n"/>
      <c r="D958" s="16" t="n"/>
      <c r="E958" s="16" t="n"/>
      <c r="F958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2026-08-10T10:28:40Z</dcterms:created>
  <dcterms:modified xsi:type="dcterms:W3CDTF">2026-08-10T10:29:51Z</dcterms:modified>
</cp:coreProperties>
</file>