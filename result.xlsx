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grams\osa_calculator\"/>
    </mc:Choice>
  </mc:AlternateContent>
  <xr:revisionPtr revIDLastSave="0" documentId="11_88DA2CF105CC15EDFB3A9E97235BDA16A6CC2A5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  <sheet name="Ex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4" i="1" l="1"/>
  <c r="G314" i="1"/>
  <c r="F314" i="1"/>
  <c r="Q313" i="1"/>
  <c r="Q314" i="1" s="1"/>
  <c r="N313" i="1"/>
  <c r="N314" i="1" s="1"/>
  <c r="M313" i="1"/>
  <c r="M314" i="1" s="1"/>
  <c r="J313" i="1"/>
  <c r="J314" i="1" s="1"/>
  <c r="I313" i="1"/>
  <c r="I314" i="1" s="1"/>
  <c r="F313" i="1"/>
  <c r="E313" i="1"/>
  <c r="E314" i="1" s="1"/>
  <c r="Q312" i="1"/>
  <c r="P312" i="1"/>
  <c r="P313" i="1" s="1"/>
  <c r="P314" i="1" s="1"/>
  <c r="O312" i="1"/>
  <c r="O313" i="1" s="1"/>
  <c r="O314" i="1" s="1"/>
  <c r="N312" i="1"/>
  <c r="M312" i="1"/>
  <c r="L312" i="1"/>
  <c r="L313" i="1" s="1"/>
  <c r="L314" i="1" s="1"/>
  <c r="K312" i="1"/>
  <c r="K313" i="1" s="1"/>
  <c r="K314" i="1" s="1"/>
  <c r="J312" i="1"/>
  <c r="I312" i="1"/>
  <c r="H312" i="1"/>
  <c r="H313" i="1" s="1"/>
  <c r="G312" i="1"/>
  <c r="G313" i="1" s="1"/>
  <c r="F312" i="1"/>
  <c r="E312" i="1"/>
  <c r="R311" i="1"/>
  <c r="R310" i="1"/>
  <c r="R309" i="1"/>
  <c r="P307" i="1"/>
  <c r="L307" i="1"/>
  <c r="I307" i="1"/>
  <c r="N306" i="1"/>
  <c r="N307" i="1" s="1"/>
  <c r="K306" i="1"/>
  <c r="K307" i="1" s="1"/>
  <c r="J306" i="1"/>
  <c r="J307" i="1" s="1"/>
  <c r="F306" i="1"/>
  <c r="F307" i="1" s="1"/>
  <c r="Q305" i="1"/>
  <c r="Q306" i="1" s="1"/>
  <c r="Q307" i="1" s="1"/>
  <c r="P305" i="1"/>
  <c r="P306" i="1" s="1"/>
  <c r="O305" i="1"/>
  <c r="O306" i="1" s="1"/>
  <c r="O307" i="1" s="1"/>
  <c r="N305" i="1"/>
  <c r="M305" i="1"/>
  <c r="M306" i="1" s="1"/>
  <c r="M307" i="1" s="1"/>
  <c r="L305" i="1"/>
  <c r="L306" i="1" s="1"/>
  <c r="K305" i="1"/>
  <c r="J305" i="1"/>
  <c r="I305" i="1"/>
  <c r="I306" i="1" s="1"/>
  <c r="H305" i="1"/>
  <c r="H306" i="1" s="1"/>
  <c r="H307" i="1" s="1"/>
  <c r="G305" i="1"/>
  <c r="G306" i="1" s="1"/>
  <c r="G307" i="1" s="1"/>
  <c r="F305" i="1"/>
  <c r="E305" i="1"/>
  <c r="E306" i="1" s="1"/>
  <c r="E307" i="1" s="1"/>
  <c r="R304" i="1"/>
  <c r="R303" i="1"/>
  <c r="R302" i="1"/>
  <c r="M300" i="1"/>
  <c r="P299" i="1"/>
  <c r="P300" i="1" s="1"/>
  <c r="O299" i="1"/>
  <c r="O300" i="1" s="1"/>
  <c r="N299" i="1"/>
  <c r="N300" i="1" s="1"/>
  <c r="K299" i="1"/>
  <c r="K300" i="1" s="1"/>
  <c r="H299" i="1"/>
  <c r="H300" i="1" s="1"/>
  <c r="G299" i="1"/>
  <c r="G300" i="1" s="1"/>
  <c r="R298" i="1"/>
  <c r="R299" i="1" s="1"/>
  <c r="Q298" i="1"/>
  <c r="Q299" i="1" s="1"/>
  <c r="Q300" i="1" s="1"/>
  <c r="P298" i="1"/>
  <c r="O298" i="1"/>
  <c r="N298" i="1"/>
  <c r="M298" i="1"/>
  <c r="M299" i="1" s="1"/>
  <c r="L298" i="1"/>
  <c r="L299" i="1" s="1"/>
  <c r="L300" i="1" s="1"/>
  <c r="K298" i="1"/>
  <c r="J298" i="1"/>
  <c r="J299" i="1" s="1"/>
  <c r="J300" i="1" s="1"/>
  <c r="I298" i="1"/>
  <c r="I299" i="1" s="1"/>
  <c r="I300" i="1" s="1"/>
  <c r="H298" i="1"/>
  <c r="G298" i="1"/>
  <c r="F298" i="1"/>
  <c r="F299" i="1" s="1"/>
  <c r="F300" i="1" s="1"/>
  <c r="E298" i="1"/>
  <c r="E299" i="1" s="1"/>
  <c r="E300" i="1" s="1"/>
  <c r="R297" i="1"/>
  <c r="R296" i="1"/>
  <c r="R295" i="1"/>
  <c r="O293" i="1"/>
  <c r="F293" i="1"/>
  <c r="E293" i="1"/>
  <c r="R293" i="1" s="1"/>
  <c r="Q292" i="1"/>
  <c r="Q293" i="1" s="1"/>
  <c r="P292" i="1"/>
  <c r="P293" i="1" s="1"/>
  <c r="M292" i="1"/>
  <c r="M293" i="1" s="1"/>
  <c r="L292" i="1"/>
  <c r="L293" i="1" s="1"/>
  <c r="H292" i="1"/>
  <c r="H293" i="1" s="1"/>
  <c r="E292" i="1"/>
  <c r="Q291" i="1"/>
  <c r="P291" i="1"/>
  <c r="O291" i="1"/>
  <c r="O292" i="1" s="1"/>
  <c r="N291" i="1"/>
  <c r="N292" i="1" s="1"/>
  <c r="N293" i="1" s="1"/>
  <c r="M291" i="1"/>
  <c r="L291" i="1"/>
  <c r="K291" i="1"/>
  <c r="K292" i="1" s="1"/>
  <c r="K293" i="1" s="1"/>
  <c r="J291" i="1"/>
  <c r="J292" i="1" s="1"/>
  <c r="J293" i="1" s="1"/>
  <c r="I291" i="1"/>
  <c r="I292" i="1" s="1"/>
  <c r="I293" i="1" s="1"/>
  <c r="H291" i="1"/>
  <c r="G291" i="1"/>
  <c r="G292" i="1" s="1"/>
  <c r="G293" i="1" s="1"/>
  <c r="F291" i="1"/>
  <c r="F292" i="1" s="1"/>
  <c r="E291" i="1"/>
  <c r="R290" i="1"/>
  <c r="R289" i="1"/>
  <c r="R291" i="1" s="1"/>
  <c r="R292" i="1" s="1"/>
  <c r="R288" i="1"/>
  <c r="O286" i="1"/>
  <c r="G286" i="1"/>
  <c r="Q285" i="1"/>
  <c r="Q286" i="1" s="1"/>
  <c r="M285" i="1"/>
  <c r="M286" i="1" s="1"/>
  <c r="J285" i="1"/>
  <c r="J286" i="1" s="1"/>
  <c r="I285" i="1"/>
  <c r="I286" i="1" s="1"/>
  <c r="H285" i="1"/>
  <c r="H286" i="1" s="1"/>
  <c r="E285" i="1"/>
  <c r="E286" i="1" s="1"/>
  <c r="Q284" i="1"/>
  <c r="P284" i="1"/>
  <c r="P285" i="1" s="1"/>
  <c r="P286" i="1" s="1"/>
  <c r="O284" i="1"/>
  <c r="O285" i="1" s="1"/>
  <c r="N284" i="1"/>
  <c r="N285" i="1" s="1"/>
  <c r="N286" i="1" s="1"/>
  <c r="M284" i="1"/>
  <c r="L284" i="1"/>
  <c r="L285" i="1" s="1"/>
  <c r="L286" i="1" s="1"/>
  <c r="K284" i="1"/>
  <c r="K285" i="1" s="1"/>
  <c r="K286" i="1" s="1"/>
  <c r="J284" i="1"/>
  <c r="I284" i="1"/>
  <c r="H284" i="1"/>
  <c r="G284" i="1"/>
  <c r="G285" i="1" s="1"/>
  <c r="F284" i="1"/>
  <c r="F285" i="1" s="1"/>
  <c r="F286" i="1" s="1"/>
  <c r="E284" i="1"/>
  <c r="R283" i="1"/>
  <c r="R282" i="1"/>
  <c r="R281" i="1"/>
  <c r="Q279" i="1"/>
  <c r="M279" i="1"/>
  <c r="L279" i="1"/>
  <c r="I279" i="1"/>
  <c r="R278" i="1"/>
  <c r="O278" i="1"/>
  <c r="O279" i="1" s="1"/>
  <c r="N278" i="1"/>
  <c r="N279" i="1" s="1"/>
  <c r="M278" i="1"/>
  <c r="K278" i="1"/>
  <c r="K279" i="1" s="1"/>
  <c r="J278" i="1"/>
  <c r="J279" i="1" s="1"/>
  <c r="G278" i="1"/>
  <c r="G279" i="1" s="1"/>
  <c r="F278" i="1"/>
  <c r="F279" i="1" s="1"/>
  <c r="E278" i="1"/>
  <c r="E279" i="1" s="1"/>
  <c r="Q277" i="1"/>
  <c r="Q278" i="1" s="1"/>
  <c r="P277" i="1"/>
  <c r="P278" i="1" s="1"/>
  <c r="P279" i="1" s="1"/>
  <c r="O277" i="1"/>
  <c r="N277" i="1"/>
  <c r="M277" i="1"/>
  <c r="L277" i="1"/>
  <c r="L278" i="1" s="1"/>
  <c r="K277" i="1"/>
  <c r="J277" i="1"/>
  <c r="I277" i="1"/>
  <c r="I278" i="1" s="1"/>
  <c r="H277" i="1"/>
  <c r="H278" i="1" s="1"/>
  <c r="H279" i="1" s="1"/>
  <c r="G277" i="1"/>
  <c r="F277" i="1"/>
  <c r="E277" i="1"/>
  <c r="R276" i="1"/>
  <c r="R275" i="1"/>
  <c r="R277" i="1" s="1"/>
  <c r="R274" i="1"/>
  <c r="Q272" i="1"/>
  <c r="N272" i="1"/>
  <c r="M272" i="1"/>
  <c r="F272" i="1"/>
  <c r="P271" i="1"/>
  <c r="P272" i="1" s="1"/>
  <c r="O271" i="1"/>
  <c r="O272" i="1" s="1"/>
  <c r="L271" i="1"/>
  <c r="L272" i="1" s="1"/>
  <c r="K271" i="1"/>
  <c r="K272" i="1" s="1"/>
  <c r="G271" i="1"/>
  <c r="G272" i="1" s="1"/>
  <c r="R270" i="1"/>
  <c r="R271" i="1" s="1"/>
  <c r="Q270" i="1"/>
  <c r="Q271" i="1" s="1"/>
  <c r="P270" i="1"/>
  <c r="O270" i="1"/>
  <c r="N270" i="1"/>
  <c r="N271" i="1" s="1"/>
  <c r="M270" i="1"/>
  <c r="M271" i="1" s="1"/>
  <c r="L270" i="1"/>
  <c r="K270" i="1"/>
  <c r="J270" i="1"/>
  <c r="J271" i="1" s="1"/>
  <c r="J272" i="1" s="1"/>
  <c r="I270" i="1"/>
  <c r="I271" i="1" s="1"/>
  <c r="I272" i="1" s="1"/>
  <c r="H270" i="1"/>
  <c r="H271" i="1" s="1"/>
  <c r="H272" i="1" s="1"/>
  <c r="G270" i="1"/>
  <c r="F270" i="1"/>
  <c r="F271" i="1" s="1"/>
  <c r="E270" i="1"/>
  <c r="E271" i="1" s="1"/>
  <c r="E272" i="1" s="1"/>
  <c r="R269" i="1"/>
  <c r="R268" i="1"/>
  <c r="R267" i="1"/>
  <c r="J265" i="1"/>
  <c r="F265" i="1"/>
  <c r="Q264" i="1"/>
  <c r="Q265" i="1" s="1"/>
  <c r="P264" i="1"/>
  <c r="P265" i="1" s="1"/>
  <c r="L264" i="1"/>
  <c r="L265" i="1" s="1"/>
  <c r="I264" i="1"/>
  <c r="I265" i="1" s="1"/>
  <c r="H264" i="1"/>
  <c r="H265" i="1" s="1"/>
  <c r="G264" i="1"/>
  <c r="G265" i="1" s="1"/>
  <c r="E264" i="1"/>
  <c r="E265" i="1" s="1"/>
  <c r="Q263" i="1"/>
  <c r="P263" i="1"/>
  <c r="O263" i="1"/>
  <c r="O264" i="1" s="1"/>
  <c r="O265" i="1" s="1"/>
  <c r="N263" i="1"/>
  <c r="N264" i="1" s="1"/>
  <c r="N265" i="1" s="1"/>
  <c r="M263" i="1"/>
  <c r="M264" i="1" s="1"/>
  <c r="M265" i="1" s="1"/>
  <c r="L263" i="1"/>
  <c r="K263" i="1"/>
  <c r="K264" i="1" s="1"/>
  <c r="K265" i="1" s="1"/>
  <c r="J263" i="1"/>
  <c r="J264" i="1" s="1"/>
  <c r="I263" i="1"/>
  <c r="H263" i="1"/>
  <c r="G263" i="1"/>
  <c r="F263" i="1"/>
  <c r="F264" i="1" s="1"/>
  <c r="E263" i="1"/>
  <c r="R262" i="1"/>
  <c r="R261" i="1"/>
  <c r="R263" i="1" s="1"/>
  <c r="R264" i="1" s="1"/>
  <c r="R260" i="1"/>
  <c r="K258" i="1"/>
  <c r="H258" i="1"/>
  <c r="G258" i="1"/>
  <c r="Q257" i="1"/>
  <c r="Q258" i="1" s="1"/>
  <c r="N257" i="1"/>
  <c r="N258" i="1" s="1"/>
  <c r="M257" i="1"/>
  <c r="M258" i="1" s="1"/>
  <c r="L257" i="1"/>
  <c r="L258" i="1" s="1"/>
  <c r="J257" i="1"/>
  <c r="J258" i="1" s="1"/>
  <c r="I257" i="1"/>
  <c r="I258" i="1" s="1"/>
  <c r="F257" i="1"/>
  <c r="F258" i="1" s="1"/>
  <c r="E257" i="1"/>
  <c r="E258" i="1" s="1"/>
  <c r="R256" i="1"/>
  <c r="R257" i="1" s="1"/>
  <c r="Q256" i="1"/>
  <c r="P256" i="1"/>
  <c r="P257" i="1" s="1"/>
  <c r="P258" i="1" s="1"/>
  <c r="O256" i="1"/>
  <c r="O257" i="1" s="1"/>
  <c r="O258" i="1" s="1"/>
  <c r="N256" i="1"/>
  <c r="M256" i="1"/>
  <c r="L256" i="1"/>
  <c r="K256" i="1"/>
  <c r="K257" i="1" s="1"/>
  <c r="J256" i="1"/>
  <c r="I256" i="1"/>
  <c r="H256" i="1"/>
  <c r="H257" i="1" s="1"/>
  <c r="G256" i="1"/>
  <c r="G257" i="1" s="1"/>
  <c r="F256" i="1"/>
  <c r="E256" i="1"/>
  <c r="R255" i="1"/>
  <c r="R254" i="1"/>
  <c r="R253" i="1"/>
  <c r="M251" i="1"/>
  <c r="L251" i="1"/>
  <c r="E251" i="1"/>
  <c r="O250" i="1"/>
  <c r="O251" i="1" s="1"/>
  <c r="N250" i="1"/>
  <c r="N251" i="1" s="1"/>
  <c r="K250" i="1"/>
  <c r="K251" i="1" s="1"/>
  <c r="J250" i="1"/>
  <c r="J251" i="1" s="1"/>
  <c r="F250" i="1"/>
  <c r="F251" i="1" s="1"/>
  <c r="Q249" i="1"/>
  <c r="Q250" i="1" s="1"/>
  <c r="Q251" i="1" s="1"/>
  <c r="P249" i="1"/>
  <c r="P250" i="1" s="1"/>
  <c r="P251" i="1" s="1"/>
  <c r="O249" i="1"/>
  <c r="N249" i="1"/>
  <c r="M249" i="1"/>
  <c r="M250" i="1" s="1"/>
  <c r="L249" i="1"/>
  <c r="L250" i="1" s="1"/>
  <c r="K249" i="1"/>
  <c r="J249" i="1"/>
  <c r="I249" i="1"/>
  <c r="I250" i="1" s="1"/>
  <c r="I251" i="1" s="1"/>
  <c r="H249" i="1"/>
  <c r="H250" i="1" s="1"/>
  <c r="H251" i="1" s="1"/>
  <c r="G249" i="1"/>
  <c r="G250" i="1" s="1"/>
  <c r="G251" i="1" s="1"/>
  <c r="F249" i="1"/>
  <c r="E249" i="1"/>
  <c r="E250" i="1" s="1"/>
  <c r="R248" i="1"/>
  <c r="R247" i="1"/>
  <c r="R249" i="1" s="1"/>
  <c r="R250" i="1" s="1"/>
  <c r="R246" i="1"/>
  <c r="P244" i="1"/>
  <c r="N244" i="1"/>
  <c r="E244" i="1"/>
  <c r="P243" i="1"/>
  <c r="O243" i="1"/>
  <c r="O244" i="1" s="1"/>
  <c r="K243" i="1"/>
  <c r="K244" i="1" s="1"/>
  <c r="H243" i="1"/>
  <c r="H244" i="1" s="1"/>
  <c r="G243" i="1"/>
  <c r="G244" i="1" s="1"/>
  <c r="F243" i="1"/>
  <c r="F244" i="1" s="1"/>
  <c r="R242" i="1"/>
  <c r="R243" i="1" s="1"/>
  <c r="Q242" i="1"/>
  <c r="Q243" i="1" s="1"/>
  <c r="Q244" i="1" s="1"/>
  <c r="P242" i="1"/>
  <c r="O242" i="1"/>
  <c r="N242" i="1"/>
  <c r="N243" i="1" s="1"/>
  <c r="M242" i="1"/>
  <c r="M243" i="1" s="1"/>
  <c r="M244" i="1" s="1"/>
  <c r="L242" i="1"/>
  <c r="L243" i="1" s="1"/>
  <c r="L244" i="1" s="1"/>
  <c r="K242" i="1"/>
  <c r="J242" i="1"/>
  <c r="J243" i="1" s="1"/>
  <c r="J244" i="1" s="1"/>
  <c r="I242" i="1"/>
  <c r="I243" i="1" s="1"/>
  <c r="I244" i="1" s="1"/>
  <c r="H242" i="1"/>
  <c r="G242" i="1"/>
  <c r="F242" i="1"/>
  <c r="E242" i="1"/>
  <c r="E243" i="1" s="1"/>
  <c r="R241" i="1"/>
  <c r="R240" i="1"/>
  <c r="R239" i="1"/>
  <c r="G235" i="1"/>
  <c r="P234" i="1"/>
  <c r="P235" i="1" s="1"/>
  <c r="L234" i="1"/>
  <c r="L235" i="1" s="1"/>
  <c r="K234" i="1"/>
  <c r="K235" i="1" s="1"/>
  <c r="I234" i="1"/>
  <c r="I235" i="1" s="1"/>
  <c r="H234" i="1"/>
  <c r="H235" i="1" s="1"/>
  <c r="E234" i="1"/>
  <c r="E235" i="1" s="1"/>
  <c r="Q233" i="1"/>
  <c r="Q234" i="1" s="1"/>
  <c r="Q235" i="1" s="1"/>
  <c r="P233" i="1"/>
  <c r="O233" i="1"/>
  <c r="O234" i="1" s="1"/>
  <c r="O235" i="1" s="1"/>
  <c r="N233" i="1"/>
  <c r="N234" i="1" s="1"/>
  <c r="N235" i="1" s="1"/>
  <c r="M233" i="1"/>
  <c r="M234" i="1" s="1"/>
  <c r="M235" i="1" s="1"/>
  <c r="L233" i="1"/>
  <c r="K233" i="1"/>
  <c r="J233" i="1"/>
  <c r="J234" i="1" s="1"/>
  <c r="J235" i="1" s="1"/>
  <c r="I233" i="1"/>
  <c r="H233" i="1"/>
  <c r="G233" i="1"/>
  <c r="G234" i="1" s="1"/>
  <c r="F233" i="1"/>
  <c r="F234" i="1" s="1"/>
  <c r="F235" i="1" s="1"/>
  <c r="E233" i="1"/>
  <c r="R232" i="1"/>
  <c r="R231" i="1"/>
  <c r="R233" i="1" s="1"/>
  <c r="R234" i="1" s="1"/>
  <c r="R230" i="1"/>
  <c r="P228" i="1"/>
  <c r="O228" i="1"/>
  <c r="J228" i="1"/>
  <c r="Q227" i="1"/>
  <c r="Q228" i="1" s="1"/>
  <c r="M227" i="1"/>
  <c r="M228" i="1" s="1"/>
  <c r="J227" i="1"/>
  <c r="I227" i="1"/>
  <c r="I228" i="1" s="1"/>
  <c r="H227" i="1"/>
  <c r="H228" i="1" s="1"/>
  <c r="E227" i="1"/>
  <c r="E228" i="1" s="1"/>
  <c r="Q226" i="1"/>
  <c r="P226" i="1"/>
  <c r="P227" i="1" s="1"/>
  <c r="O226" i="1"/>
  <c r="O227" i="1" s="1"/>
  <c r="N226" i="1"/>
  <c r="N227" i="1" s="1"/>
  <c r="N228" i="1" s="1"/>
  <c r="M226" i="1"/>
  <c r="L226" i="1"/>
  <c r="L227" i="1" s="1"/>
  <c r="L228" i="1" s="1"/>
  <c r="K226" i="1"/>
  <c r="K227" i="1" s="1"/>
  <c r="K228" i="1" s="1"/>
  <c r="J226" i="1"/>
  <c r="I226" i="1"/>
  <c r="H226" i="1"/>
  <c r="G226" i="1"/>
  <c r="G227" i="1" s="1"/>
  <c r="G228" i="1" s="1"/>
  <c r="F226" i="1"/>
  <c r="F227" i="1" s="1"/>
  <c r="F228" i="1" s="1"/>
  <c r="E226" i="1"/>
  <c r="R225" i="1"/>
  <c r="R224" i="1"/>
  <c r="R223" i="1"/>
  <c r="P219" i="1"/>
  <c r="M219" i="1"/>
  <c r="L219" i="1"/>
  <c r="K219" i="1"/>
  <c r="G219" i="1"/>
  <c r="Q218" i="1"/>
  <c r="Q219" i="1" s="1"/>
  <c r="O218" i="1"/>
  <c r="O219" i="1" s="1"/>
  <c r="N218" i="1"/>
  <c r="N219" i="1" s="1"/>
  <c r="J218" i="1"/>
  <c r="J219" i="1" s="1"/>
  <c r="G218" i="1"/>
  <c r="F218" i="1"/>
  <c r="F219" i="1" s="1"/>
  <c r="E218" i="1"/>
  <c r="E219" i="1" s="1"/>
  <c r="R219" i="1" s="1"/>
  <c r="Q217" i="1"/>
  <c r="P217" i="1"/>
  <c r="P218" i="1" s="1"/>
  <c r="O217" i="1"/>
  <c r="N217" i="1"/>
  <c r="M217" i="1"/>
  <c r="M218" i="1" s="1"/>
  <c r="L217" i="1"/>
  <c r="L218" i="1" s="1"/>
  <c r="K217" i="1"/>
  <c r="K218" i="1" s="1"/>
  <c r="J217" i="1"/>
  <c r="I217" i="1"/>
  <c r="I218" i="1" s="1"/>
  <c r="I219" i="1" s="1"/>
  <c r="H217" i="1"/>
  <c r="H218" i="1" s="1"/>
  <c r="H219" i="1" s="1"/>
  <c r="G217" i="1"/>
  <c r="F217" i="1"/>
  <c r="E217" i="1"/>
  <c r="R216" i="1"/>
  <c r="R215" i="1"/>
  <c r="R217" i="1" s="1"/>
  <c r="R218" i="1" s="1"/>
  <c r="R214" i="1"/>
  <c r="M212" i="1"/>
  <c r="J212" i="1"/>
  <c r="I212" i="1"/>
  <c r="O211" i="1"/>
  <c r="O212" i="1" s="1"/>
  <c r="N211" i="1"/>
  <c r="N212" i="1" s="1"/>
  <c r="L211" i="1"/>
  <c r="L212" i="1" s="1"/>
  <c r="K211" i="1"/>
  <c r="K212" i="1" s="1"/>
  <c r="J211" i="1"/>
  <c r="G211" i="1"/>
  <c r="G212" i="1" s="1"/>
  <c r="F211" i="1"/>
  <c r="F212" i="1" s="1"/>
  <c r="Q210" i="1"/>
  <c r="Q211" i="1" s="1"/>
  <c r="Q212" i="1" s="1"/>
  <c r="P210" i="1"/>
  <c r="P211" i="1" s="1"/>
  <c r="P212" i="1" s="1"/>
  <c r="O210" i="1"/>
  <c r="N210" i="1"/>
  <c r="M210" i="1"/>
  <c r="M211" i="1" s="1"/>
  <c r="L210" i="1"/>
  <c r="K210" i="1"/>
  <c r="J210" i="1"/>
  <c r="I210" i="1"/>
  <c r="I211" i="1" s="1"/>
  <c r="H210" i="1"/>
  <c r="H211" i="1" s="1"/>
  <c r="H212" i="1" s="1"/>
  <c r="G210" i="1"/>
  <c r="F210" i="1"/>
  <c r="E210" i="1"/>
  <c r="E211" i="1" s="1"/>
  <c r="E212" i="1" s="1"/>
  <c r="R209" i="1"/>
  <c r="R210" i="1" s="1"/>
  <c r="R211" i="1" s="1"/>
  <c r="R208" i="1"/>
  <c r="R207" i="1"/>
  <c r="Q205" i="1"/>
  <c r="O205" i="1"/>
  <c r="G205" i="1"/>
  <c r="P204" i="1"/>
  <c r="P205" i="1" s="1"/>
  <c r="L204" i="1"/>
  <c r="L205" i="1" s="1"/>
  <c r="K204" i="1"/>
  <c r="K205" i="1" s="1"/>
  <c r="I204" i="1"/>
  <c r="I205" i="1" s="1"/>
  <c r="H204" i="1"/>
  <c r="H205" i="1" s="1"/>
  <c r="R203" i="1"/>
  <c r="R204" i="1" s="1"/>
  <c r="Q203" i="1"/>
  <c r="Q204" i="1" s="1"/>
  <c r="P203" i="1"/>
  <c r="O203" i="1"/>
  <c r="O204" i="1" s="1"/>
  <c r="N203" i="1"/>
  <c r="N204" i="1" s="1"/>
  <c r="N205" i="1" s="1"/>
  <c r="M203" i="1"/>
  <c r="M204" i="1" s="1"/>
  <c r="M205" i="1" s="1"/>
  <c r="L203" i="1"/>
  <c r="K203" i="1"/>
  <c r="J203" i="1"/>
  <c r="J204" i="1" s="1"/>
  <c r="J205" i="1" s="1"/>
  <c r="I203" i="1"/>
  <c r="H203" i="1"/>
  <c r="G203" i="1"/>
  <c r="G204" i="1" s="1"/>
  <c r="F203" i="1"/>
  <c r="F204" i="1" s="1"/>
  <c r="F205" i="1" s="1"/>
  <c r="E203" i="1"/>
  <c r="E204" i="1" s="1"/>
  <c r="E205" i="1" s="1"/>
  <c r="R205" i="1" s="1"/>
  <c r="R202" i="1"/>
  <c r="R201" i="1"/>
  <c r="R200" i="1"/>
  <c r="O198" i="1"/>
  <c r="Q197" i="1"/>
  <c r="Q198" i="1" s="1"/>
  <c r="P197" i="1"/>
  <c r="P198" i="1" s="1"/>
  <c r="M197" i="1"/>
  <c r="M198" i="1" s="1"/>
  <c r="J197" i="1"/>
  <c r="J198" i="1" s="1"/>
  <c r="I197" i="1"/>
  <c r="I198" i="1" s="1"/>
  <c r="H197" i="1"/>
  <c r="H198" i="1" s="1"/>
  <c r="F197" i="1"/>
  <c r="F198" i="1" s="1"/>
  <c r="E197" i="1"/>
  <c r="E198" i="1" s="1"/>
  <c r="Q196" i="1"/>
  <c r="P196" i="1"/>
  <c r="O196" i="1"/>
  <c r="O197" i="1" s="1"/>
  <c r="N196" i="1"/>
  <c r="N197" i="1" s="1"/>
  <c r="N198" i="1" s="1"/>
  <c r="M196" i="1"/>
  <c r="L196" i="1"/>
  <c r="L197" i="1" s="1"/>
  <c r="L198" i="1" s="1"/>
  <c r="K196" i="1"/>
  <c r="K197" i="1" s="1"/>
  <c r="K198" i="1" s="1"/>
  <c r="J196" i="1"/>
  <c r="I196" i="1"/>
  <c r="H196" i="1"/>
  <c r="G196" i="1"/>
  <c r="G197" i="1" s="1"/>
  <c r="G198" i="1" s="1"/>
  <c r="F196" i="1"/>
  <c r="E196" i="1"/>
  <c r="R195" i="1"/>
  <c r="R194" i="1"/>
  <c r="R193" i="1"/>
  <c r="L191" i="1"/>
  <c r="K191" i="1"/>
  <c r="O190" i="1"/>
  <c r="O191" i="1" s="1"/>
  <c r="N190" i="1"/>
  <c r="N191" i="1" s="1"/>
  <c r="M190" i="1"/>
  <c r="M191" i="1" s="1"/>
  <c r="J190" i="1"/>
  <c r="J191" i="1" s="1"/>
  <c r="G190" i="1"/>
  <c r="G191" i="1" s="1"/>
  <c r="F190" i="1"/>
  <c r="F191" i="1" s="1"/>
  <c r="E190" i="1"/>
  <c r="E191" i="1" s="1"/>
  <c r="Q189" i="1"/>
  <c r="Q190" i="1" s="1"/>
  <c r="Q191" i="1" s="1"/>
  <c r="P189" i="1"/>
  <c r="P190" i="1" s="1"/>
  <c r="P191" i="1" s="1"/>
  <c r="O189" i="1"/>
  <c r="N189" i="1"/>
  <c r="M189" i="1"/>
  <c r="L189" i="1"/>
  <c r="L190" i="1" s="1"/>
  <c r="K189" i="1"/>
  <c r="K190" i="1" s="1"/>
  <c r="J189" i="1"/>
  <c r="I189" i="1"/>
  <c r="I190" i="1" s="1"/>
  <c r="I191" i="1" s="1"/>
  <c r="H189" i="1"/>
  <c r="H190" i="1" s="1"/>
  <c r="H191" i="1" s="1"/>
  <c r="G189" i="1"/>
  <c r="F189" i="1"/>
  <c r="E189" i="1"/>
  <c r="R188" i="1"/>
  <c r="R187" i="1"/>
  <c r="R186" i="1"/>
  <c r="Q184" i="1"/>
  <c r="M184" i="1"/>
  <c r="I184" i="1"/>
  <c r="O183" i="1"/>
  <c r="O184" i="1" s="1"/>
  <c r="L183" i="1"/>
  <c r="L184" i="1" s="1"/>
  <c r="K183" i="1"/>
  <c r="K184" i="1" s="1"/>
  <c r="J183" i="1"/>
  <c r="J184" i="1" s="1"/>
  <c r="G183" i="1"/>
  <c r="G184" i="1" s="1"/>
  <c r="R182" i="1"/>
  <c r="R183" i="1" s="1"/>
  <c r="Q182" i="1"/>
  <c r="Q183" i="1" s="1"/>
  <c r="P182" i="1"/>
  <c r="P183" i="1" s="1"/>
  <c r="P184" i="1" s="1"/>
  <c r="O182" i="1"/>
  <c r="N182" i="1"/>
  <c r="N183" i="1" s="1"/>
  <c r="N184" i="1" s="1"/>
  <c r="M182" i="1"/>
  <c r="M183" i="1" s="1"/>
  <c r="L182" i="1"/>
  <c r="K182" i="1"/>
  <c r="J182" i="1"/>
  <c r="I182" i="1"/>
  <c r="I183" i="1" s="1"/>
  <c r="H182" i="1"/>
  <c r="H183" i="1" s="1"/>
  <c r="H184" i="1" s="1"/>
  <c r="G182" i="1"/>
  <c r="F182" i="1"/>
  <c r="F183" i="1" s="1"/>
  <c r="F184" i="1" s="1"/>
  <c r="E182" i="1"/>
  <c r="E183" i="1" s="1"/>
  <c r="E184" i="1" s="1"/>
  <c r="R181" i="1"/>
  <c r="R180" i="1"/>
  <c r="R179" i="1"/>
  <c r="Q177" i="1"/>
  <c r="O177" i="1"/>
  <c r="N177" i="1"/>
  <c r="J177" i="1"/>
  <c r="F177" i="1"/>
  <c r="E177" i="1"/>
  <c r="R177" i="1" s="1"/>
  <c r="Q176" i="1"/>
  <c r="P176" i="1"/>
  <c r="P177" i="1" s="1"/>
  <c r="L176" i="1"/>
  <c r="L177" i="1" s="1"/>
  <c r="I176" i="1"/>
  <c r="I177" i="1" s="1"/>
  <c r="H176" i="1"/>
  <c r="H177" i="1" s="1"/>
  <c r="G176" i="1"/>
  <c r="G177" i="1" s="1"/>
  <c r="Q175" i="1"/>
  <c r="P175" i="1"/>
  <c r="O175" i="1"/>
  <c r="O176" i="1" s="1"/>
  <c r="N175" i="1"/>
  <c r="N176" i="1" s="1"/>
  <c r="M175" i="1"/>
  <c r="M176" i="1" s="1"/>
  <c r="M177" i="1" s="1"/>
  <c r="L175" i="1"/>
  <c r="K175" i="1"/>
  <c r="K176" i="1" s="1"/>
  <c r="K177" i="1" s="1"/>
  <c r="J175" i="1"/>
  <c r="J176" i="1" s="1"/>
  <c r="I175" i="1"/>
  <c r="H175" i="1"/>
  <c r="G175" i="1"/>
  <c r="F175" i="1"/>
  <c r="F176" i="1" s="1"/>
  <c r="E175" i="1"/>
  <c r="E176" i="1" s="1"/>
  <c r="R174" i="1"/>
  <c r="R173" i="1"/>
  <c r="R175" i="1" s="1"/>
  <c r="R176" i="1" s="1"/>
  <c r="R172" i="1"/>
  <c r="L170" i="1"/>
  <c r="Q169" i="1"/>
  <c r="Q170" i="1" s="1"/>
  <c r="P169" i="1"/>
  <c r="P170" i="1" s="1"/>
  <c r="N169" i="1"/>
  <c r="N170" i="1" s="1"/>
  <c r="M169" i="1"/>
  <c r="M170" i="1" s="1"/>
  <c r="I169" i="1"/>
  <c r="I170" i="1" s="1"/>
  <c r="F169" i="1"/>
  <c r="F170" i="1" s="1"/>
  <c r="E169" i="1"/>
  <c r="E170" i="1" s="1"/>
  <c r="Q168" i="1"/>
  <c r="P168" i="1"/>
  <c r="O168" i="1"/>
  <c r="O169" i="1" s="1"/>
  <c r="O170" i="1" s="1"/>
  <c r="N168" i="1"/>
  <c r="M168" i="1"/>
  <c r="L168" i="1"/>
  <c r="L169" i="1" s="1"/>
  <c r="K168" i="1"/>
  <c r="K169" i="1" s="1"/>
  <c r="K170" i="1" s="1"/>
  <c r="J168" i="1"/>
  <c r="J169" i="1" s="1"/>
  <c r="J170" i="1" s="1"/>
  <c r="I168" i="1"/>
  <c r="H168" i="1"/>
  <c r="H169" i="1" s="1"/>
  <c r="H170" i="1" s="1"/>
  <c r="G168" i="1"/>
  <c r="G169" i="1" s="1"/>
  <c r="G170" i="1" s="1"/>
  <c r="F168" i="1"/>
  <c r="E168" i="1"/>
  <c r="R167" i="1"/>
  <c r="R166" i="1"/>
  <c r="R168" i="1" s="1"/>
  <c r="R169" i="1" s="1"/>
  <c r="R165" i="1"/>
  <c r="H161" i="1"/>
  <c r="N160" i="1"/>
  <c r="N161" i="1" s="1"/>
  <c r="M160" i="1"/>
  <c r="M161" i="1" s="1"/>
  <c r="K160" i="1"/>
  <c r="K161" i="1" s="1"/>
  <c r="J160" i="1"/>
  <c r="J161" i="1" s="1"/>
  <c r="F160" i="1"/>
  <c r="F161" i="1" s="1"/>
  <c r="Q159" i="1"/>
  <c r="Q160" i="1" s="1"/>
  <c r="Q161" i="1" s="1"/>
  <c r="P159" i="1"/>
  <c r="P160" i="1" s="1"/>
  <c r="P161" i="1" s="1"/>
  <c r="O159" i="1"/>
  <c r="O160" i="1" s="1"/>
  <c r="O161" i="1" s="1"/>
  <c r="N159" i="1"/>
  <c r="M159" i="1"/>
  <c r="L159" i="1"/>
  <c r="L160" i="1" s="1"/>
  <c r="L161" i="1" s="1"/>
  <c r="K159" i="1"/>
  <c r="J159" i="1"/>
  <c r="I159" i="1"/>
  <c r="I160" i="1" s="1"/>
  <c r="I161" i="1" s="1"/>
  <c r="H159" i="1"/>
  <c r="H160" i="1" s="1"/>
  <c r="G159" i="1"/>
  <c r="G160" i="1" s="1"/>
  <c r="G161" i="1" s="1"/>
  <c r="F159" i="1"/>
  <c r="E159" i="1"/>
  <c r="E160" i="1" s="1"/>
  <c r="E161" i="1" s="1"/>
  <c r="R158" i="1"/>
  <c r="R157" i="1"/>
  <c r="R159" i="1" s="1"/>
  <c r="R160" i="1" s="1"/>
  <c r="R156" i="1"/>
  <c r="Q154" i="1"/>
  <c r="P154" i="1"/>
  <c r="H154" i="1"/>
  <c r="F154" i="1"/>
  <c r="E154" i="1"/>
  <c r="R154" i="1" s="1"/>
  <c r="O153" i="1"/>
  <c r="O154" i="1" s="1"/>
  <c r="K153" i="1"/>
  <c r="K154" i="1" s="1"/>
  <c r="J153" i="1"/>
  <c r="J154" i="1" s="1"/>
  <c r="H153" i="1"/>
  <c r="G153" i="1"/>
  <c r="G154" i="1" s="1"/>
  <c r="R152" i="1"/>
  <c r="R153" i="1" s="1"/>
  <c r="Q152" i="1"/>
  <c r="Q153" i="1" s="1"/>
  <c r="P152" i="1"/>
  <c r="P153" i="1" s="1"/>
  <c r="O152" i="1"/>
  <c r="N152" i="1"/>
  <c r="N153" i="1" s="1"/>
  <c r="N154" i="1" s="1"/>
  <c r="M152" i="1"/>
  <c r="M153" i="1" s="1"/>
  <c r="M154" i="1" s="1"/>
  <c r="L152" i="1"/>
  <c r="L153" i="1" s="1"/>
  <c r="L154" i="1" s="1"/>
  <c r="K152" i="1"/>
  <c r="J152" i="1"/>
  <c r="I152" i="1"/>
  <c r="I153" i="1" s="1"/>
  <c r="I154" i="1" s="1"/>
  <c r="H152" i="1"/>
  <c r="G152" i="1"/>
  <c r="F152" i="1"/>
  <c r="F153" i="1" s="1"/>
  <c r="E152" i="1"/>
  <c r="E153" i="1" s="1"/>
  <c r="R151" i="1"/>
  <c r="R150" i="1"/>
  <c r="R149" i="1"/>
  <c r="O147" i="1"/>
  <c r="N147" i="1"/>
  <c r="M147" i="1"/>
  <c r="E147" i="1"/>
  <c r="R146" i="1"/>
  <c r="N146" i="1"/>
  <c r="M146" i="1"/>
  <c r="K146" i="1"/>
  <c r="K147" i="1" s="1"/>
  <c r="J146" i="1"/>
  <c r="J147" i="1" s="1"/>
  <c r="I146" i="1"/>
  <c r="I147" i="1" s="1"/>
  <c r="F146" i="1"/>
  <c r="F147" i="1" s="1"/>
  <c r="E146" i="1"/>
  <c r="Q145" i="1"/>
  <c r="Q146" i="1" s="1"/>
  <c r="Q147" i="1" s="1"/>
  <c r="P145" i="1"/>
  <c r="P146" i="1" s="1"/>
  <c r="P147" i="1" s="1"/>
  <c r="O145" i="1"/>
  <c r="O146" i="1" s="1"/>
  <c r="N145" i="1"/>
  <c r="M145" i="1"/>
  <c r="L145" i="1"/>
  <c r="L146" i="1" s="1"/>
  <c r="L147" i="1" s="1"/>
  <c r="K145" i="1"/>
  <c r="J145" i="1"/>
  <c r="I145" i="1"/>
  <c r="H145" i="1"/>
  <c r="H146" i="1" s="1"/>
  <c r="H147" i="1" s="1"/>
  <c r="G145" i="1"/>
  <c r="G146" i="1" s="1"/>
  <c r="G147" i="1" s="1"/>
  <c r="F145" i="1"/>
  <c r="E145" i="1"/>
  <c r="R144" i="1"/>
  <c r="R143" i="1"/>
  <c r="R145" i="1" s="1"/>
  <c r="R142" i="1"/>
  <c r="Q140" i="1"/>
  <c r="P140" i="1"/>
  <c r="J140" i="1"/>
  <c r="I140" i="1"/>
  <c r="H140" i="1"/>
  <c r="P139" i="1"/>
  <c r="O139" i="1"/>
  <c r="O140" i="1" s="1"/>
  <c r="K139" i="1"/>
  <c r="K140" i="1" s="1"/>
  <c r="J139" i="1"/>
  <c r="H139" i="1"/>
  <c r="G139" i="1"/>
  <c r="G140" i="1" s="1"/>
  <c r="F139" i="1"/>
  <c r="F140" i="1" s="1"/>
  <c r="Q138" i="1"/>
  <c r="Q139" i="1" s="1"/>
  <c r="P138" i="1"/>
  <c r="O138" i="1"/>
  <c r="N138" i="1"/>
  <c r="N139" i="1" s="1"/>
  <c r="N140" i="1" s="1"/>
  <c r="M138" i="1"/>
  <c r="M139" i="1" s="1"/>
  <c r="M140" i="1" s="1"/>
  <c r="L138" i="1"/>
  <c r="L139" i="1" s="1"/>
  <c r="L140" i="1" s="1"/>
  <c r="K138" i="1"/>
  <c r="J138" i="1"/>
  <c r="I138" i="1"/>
  <c r="I139" i="1" s="1"/>
  <c r="H138" i="1"/>
  <c r="G138" i="1"/>
  <c r="F138" i="1"/>
  <c r="E138" i="1"/>
  <c r="E139" i="1" s="1"/>
  <c r="E140" i="1" s="1"/>
  <c r="R140" i="1" s="1"/>
  <c r="R137" i="1"/>
  <c r="R136" i="1"/>
  <c r="R135" i="1"/>
  <c r="O133" i="1"/>
  <c r="N133" i="1"/>
  <c r="M133" i="1"/>
  <c r="G133" i="1"/>
  <c r="F133" i="1"/>
  <c r="P132" i="1"/>
  <c r="P133" i="1" s="1"/>
  <c r="O132" i="1"/>
  <c r="M132" i="1"/>
  <c r="L132" i="1"/>
  <c r="L133" i="1" s="1"/>
  <c r="H132" i="1"/>
  <c r="H133" i="1" s="1"/>
  <c r="G132" i="1"/>
  <c r="E132" i="1"/>
  <c r="E133" i="1" s="1"/>
  <c r="R133" i="1" s="1"/>
  <c r="Q131" i="1"/>
  <c r="Q132" i="1" s="1"/>
  <c r="Q133" i="1" s="1"/>
  <c r="P131" i="1"/>
  <c r="O131" i="1"/>
  <c r="N131" i="1"/>
  <c r="N132" i="1" s="1"/>
  <c r="M131" i="1"/>
  <c r="L131" i="1"/>
  <c r="K131" i="1"/>
  <c r="K132" i="1" s="1"/>
  <c r="K133" i="1" s="1"/>
  <c r="J131" i="1"/>
  <c r="J132" i="1" s="1"/>
  <c r="J133" i="1" s="1"/>
  <c r="I131" i="1"/>
  <c r="I132" i="1" s="1"/>
  <c r="I133" i="1" s="1"/>
  <c r="H131" i="1"/>
  <c r="G131" i="1"/>
  <c r="F131" i="1"/>
  <c r="F132" i="1" s="1"/>
  <c r="E131" i="1"/>
  <c r="R130" i="1"/>
  <c r="R129" i="1"/>
  <c r="R131" i="1" s="1"/>
  <c r="R132" i="1" s="1"/>
  <c r="R128" i="1"/>
  <c r="L126" i="1"/>
  <c r="K126" i="1"/>
  <c r="J126" i="1"/>
  <c r="R125" i="1"/>
  <c r="Q125" i="1"/>
  <c r="Q126" i="1" s="1"/>
  <c r="M125" i="1"/>
  <c r="M126" i="1" s="1"/>
  <c r="L125" i="1"/>
  <c r="J125" i="1"/>
  <c r="I125" i="1"/>
  <c r="I126" i="1" s="1"/>
  <c r="E125" i="1"/>
  <c r="E126" i="1" s="1"/>
  <c r="Q124" i="1"/>
  <c r="P124" i="1"/>
  <c r="P125" i="1" s="1"/>
  <c r="P126" i="1" s="1"/>
  <c r="O124" i="1"/>
  <c r="O125" i="1" s="1"/>
  <c r="O126" i="1" s="1"/>
  <c r="N124" i="1"/>
  <c r="N125" i="1" s="1"/>
  <c r="N126" i="1" s="1"/>
  <c r="M124" i="1"/>
  <c r="L124" i="1"/>
  <c r="K124" i="1"/>
  <c r="K125" i="1" s="1"/>
  <c r="J124" i="1"/>
  <c r="I124" i="1"/>
  <c r="H124" i="1"/>
  <c r="H125" i="1" s="1"/>
  <c r="H126" i="1" s="1"/>
  <c r="G124" i="1"/>
  <c r="G125" i="1" s="1"/>
  <c r="G126" i="1" s="1"/>
  <c r="F124" i="1"/>
  <c r="F125" i="1" s="1"/>
  <c r="F126" i="1" s="1"/>
  <c r="E124" i="1"/>
  <c r="R123" i="1"/>
  <c r="R122" i="1"/>
  <c r="R124" i="1" s="1"/>
  <c r="R121" i="1"/>
  <c r="Q119" i="1"/>
  <c r="P119" i="1"/>
  <c r="I119" i="1"/>
  <c r="G119" i="1"/>
  <c r="Q118" i="1"/>
  <c r="O118" i="1"/>
  <c r="O119" i="1" s="1"/>
  <c r="N118" i="1"/>
  <c r="N119" i="1" s="1"/>
  <c r="J118" i="1"/>
  <c r="J119" i="1" s="1"/>
  <c r="I118" i="1"/>
  <c r="G118" i="1"/>
  <c r="F118" i="1"/>
  <c r="F119" i="1" s="1"/>
  <c r="Q117" i="1"/>
  <c r="P117" i="1"/>
  <c r="P118" i="1" s="1"/>
  <c r="O117" i="1"/>
  <c r="N117" i="1"/>
  <c r="M117" i="1"/>
  <c r="M118" i="1" s="1"/>
  <c r="M119" i="1" s="1"/>
  <c r="L117" i="1"/>
  <c r="L118" i="1" s="1"/>
  <c r="L119" i="1" s="1"/>
  <c r="K117" i="1"/>
  <c r="K118" i="1" s="1"/>
  <c r="K119" i="1" s="1"/>
  <c r="J117" i="1"/>
  <c r="I117" i="1"/>
  <c r="H117" i="1"/>
  <c r="H118" i="1" s="1"/>
  <c r="H119" i="1" s="1"/>
  <c r="G117" i="1"/>
  <c r="F117" i="1"/>
  <c r="E117" i="1"/>
  <c r="E118" i="1" s="1"/>
  <c r="E119" i="1" s="1"/>
  <c r="R119" i="1" s="1"/>
  <c r="R116" i="1"/>
  <c r="R115" i="1"/>
  <c r="R117" i="1" s="1"/>
  <c r="R118" i="1" s="1"/>
  <c r="R114" i="1"/>
  <c r="N112" i="1"/>
  <c r="L112" i="1"/>
  <c r="F112" i="1"/>
  <c r="E112" i="1"/>
  <c r="O111" i="1"/>
  <c r="O112" i="1" s="1"/>
  <c r="N111" i="1"/>
  <c r="L111" i="1"/>
  <c r="K111" i="1"/>
  <c r="K112" i="1" s="1"/>
  <c r="J111" i="1"/>
  <c r="J112" i="1" s="1"/>
  <c r="G111" i="1"/>
  <c r="G112" i="1" s="1"/>
  <c r="F111" i="1"/>
  <c r="R110" i="1"/>
  <c r="R111" i="1" s="1"/>
  <c r="Q110" i="1"/>
  <c r="Q111" i="1" s="1"/>
  <c r="Q112" i="1" s="1"/>
  <c r="P110" i="1"/>
  <c r="P111" i="1" s="1"/>
  <c r="P112" i="1" s="1"/>
  <c r="O110" i="1"/>
  <c r="N110" i="1"/>
  <c r="M110" i="1"/>
  <c r="M111" i="1" s="1"/>
  <c r="M112" i="1" s="1"/>
  <c r="L110" i="1"/>
  <c r="K110" i="1"/>
  <c r="J110" i="1"/>
  <c r="I110" i="1"/>
  <c r="I111" i="1" s="1"/>
  <c r="I112" i="1" s="1"/>
  <c r="H110" i="1"/>
  <c r="H111" i="1" s="1"/>
  <c r="H112" i="1" s="1"/>
  <c r="G110" i="1"/>
  <c r="F110" i="1"/>
  <c r="E110" i="1"/>
  <c r="E111" i="1" s="1"/>
  <c r="R109" i="1"/>
  <c r="R108" i="1"/>
  <c r="R107" i="1"/>
  <c r="K103" i="1"/>
  <c r="I103" i="1"/>
  <c r="Q102" i="1"/>
  <c r="Q103" i="1" s="1"/>
  <c r="P102" i="1"/>
  <c r="P103" i="1" s="1"/>
  <c r="L102" i="1"/>
  <c r="L103" i="1" s="1"/>
  <c r="K102" i="1"/>
  <c r="I102" i="1"/>
  <c r="H102" i="1"/>
  <c r="H103" i="1" s="1"/>
  <c r="G102" i="1"/>
  <c r="G103" i="1" s="1"/>
  <c r="R101" i="1"/>
  <c r="R102" i="1" s="1"/>
  <c r="Q101" i="1"/>
  <c r="P101" i="1"/>
  <c r="O101" i="1"/>
  <c r="O102" i="1" s="1"/>
  <c r="O103" i="1" s="1"/>
  <c r="N101" i="1"/>
  <c r="N102" i="1" s="1"/>
  <c r="N103" i="1" s="1"/>
  <c r="M101" i="1"/>
  <c r="M102" i="1" s="1"/>
  <c r="M103" i="1" s="1"/>
  <c r="L101" i="1"/>
  <c r="K101" i="1"/>
  <c r="J101" i="1"/>
  <c r="J102" i="1" s="1"/>
  <c r="J103" i="1" s="1"/>
  <c r="I101" i="1"/>
  <c r="H101" i="1"/>
  <c r="G101" i="1"/>
  <c r="F101" i="1"/>
  <c r="F102" i="1" s="1"/>
  <c r="F103" i="1" s="1"/>
  <c r="E101" i="1"/>
  <c r="E102" i="1" s="1"/>
  <c r="E103" i="1" s="1"/>
  <c r="R100" i="1"/>
  <c r="R99" i="1"/>
  <c r="R98" i="1"/>
  <c r="P96" i="1"/>
  <c r="H96" i="1"/>
  <c r="G96" i="1"/>
  <c r="Q95" i="1"/>
  <c r="Q96" i="1" s="1"/>
  <c r="P95" i="1"/>
  <c r="N95" i="1"/>
  <c r="N96" i="1" s="1"/>
  <c r="M95" i="1"/>
  <c r="M96" i="1" s="1"/>
  <c r="I95" i="1"/>
  <c r="I96" i="1" s="1"/>
  <c r="H95" i="1"/>
  <c r="F95" i="1"/>
  <c r="F96" i="1" s="1"/>
  <c r="E95" i="1"/>
  <c r="E96" i="1" s="1"/>
  <c r="Q94" i="1"/>
  <c r="P94" i="1"/>
  <c r="O94" i="1"/>
  <c r="O95" i="1" s="1"/>
  <c r="O96" i="1" s="1"/>
  <c r="N94" i="1"/>
  <c r="M94" i="1"/>
  <c r="L94" i="1"/>
  <c r="L95" i="1" s="1"/>
  <c r="L96" i="1" s="1"/>
  <c r="K94" i="1"/>
  <c r="K95" i="1" s="1"/>
  <c r="K96" i="1" s="1"/>
  <c r="J94" i="1"/>
  <c r="J95" i="1" s="1"/>
  <c r="J96" i="1" s="1"/>
  <c r="I94" i="1"/>
  <c r="H94" i="1"/>
  <c r="G94" i="1"/>
  <c r="G95" i="1" s="1"/>
  <c r="F94" i="1"/>
  <c r="E94" i="1"/>
  <c r="R93" i="1"/>
  <c r="R92" i="1"/>
  <c r="R94" i="1" s="1"/>
  <c r="R95" i="1" s="1"/>
  <c r="R91" i="1"/>
  <c r="M89" i="1"/>
  <c r="N88" i="1"/>
  <c r="N89" i="1" s="1"/>
  <c r="M88" i="1"/>
  <c r="K88" i="1"/>
  <c r="K89" i="1" s="1"/>
  <c r="J88" i="1"/>
  <c r="J89" i="1" s="1"/>
  <c r="F88" i="1"/>
  <c r="F89" i="1" s="1"/>
  <c r="E88" i="1"/>
  <c r="E89" i="1" s="1"/>
  <c r="Q87" i="1"/>
  <c r="Q88" i="1" s="1"/>
  <c r="Q89" i="1" s="1"/>
  <c r="P87" i="1"/>
  <c r="P88" i="1" s="1"/>
  <c r="P89" i="1" s="1"/>
  <c r="O87" i="1"/>
  <c r="O88" i="1" s="1"/>
  <c r="O89" i="1" s="1"/>
  <c r="N87" i="1"/>
  <c r="M87" i="1"/>
  <c r="L87" i="1"/>
  <c r="L88" i="1" s="1"/>
  <c r="L89" i="1" s="1"/>
  <c r="K87" i="1"/>
  <c r="J87" i="1"/>
  <c r="I87" i="1"/>
  <c r="I88" i="1" s="1"/>
  <c r="I89" i="1" s="1"/>
  <c r="H87" i="1"/>
  <c r="H88" i="1" s="1"/>
  <c r="H89" i="1" s="1"/>
  <c r="G87" i="1"/>
  <c r="G88" i="1" s="1"/>
  <c r="G89" i="1" s="1"/>
  <c r="F87" i="1"/>
  <c r="E87" i="1"/>
  <c r="R86" i="1"/>
  <c r="R85" i="1"/>
  <c r="R84" i="1"/>
  <c r="Q82" i="1"/>
  <c r="M82" i="1"/>
  <c r="J82" i="1"/>
  <c r="E82" i="1"/>
  <c r="O81" i="1"/>
  <c r="O82" i="1" s="1"/>
  <c r="K81" i="1"/>
  <c r="K82" i="1" s="1"/>
  <c r="J81" i="1"/>
  <c r="G81" i="1"/>
  <c r="G82" i="1" s="1"/>
  <c r="F81" i="1"/>
  <c r="F82" i="1" s="1"/>
  <c r="Q80" i="1"/>
  <c r="Q81" i="1" s="1"/>
  <c r="P80" i="1"/>
  <c r="P81" i="1" s="1"/>
  <c r="P82" i="1" s="1"/>
  <c r="O80" i="1"/>
  <c r="N80" i="1"/>
  <c r="N81" i="1" s="1"/>
  <c r="N82" i="1" s="1"/>
  <c r="M80" i="1"/>
  <c r="M81" i="1" s="1"/>
  <c r="L80" i="1"/>
  <c r="L81" i="1" s="1"/>
  <c r="L82" i="1" s="1"/>
  <c r="K80" i="1"/>
  <c r="J80" i="1"/>
  <c r="I80" i="1"/>
  <c r="I81" i="1" s="1"/>
  <c r="I82" i="1" s="1"/>
  <c r="H80" i="1"/>
  <c r="H81" i="1" s="1"/>
  <c r="H82" i="1" s="1"/>
  <c r="G80" i="1"/>
  <c r="F80" i="1"/>
  <c r="E80" i="1"/>
  <c r="E81" i="1" s="1"/>
  <c r="R79" i="1"/>
  <c r="R78" i="1"/>
  <c r="R77" i="1"/>
  <c r="Q75" i="1"/>
  <c r="J75" i="1"/>
  <c r="I75" i="1"/>
  <c r="G75" i="1"/>
  <c r="O74" i="1"/>
  <c r="O75" i="1" s="1"/>
  <c r="K74" i="1"/>
  <c r="K75" i="1" s="1"/>
  <c r="H74" i="1"/>
  <c r="H75" i="1" s="1"/>
  <c r="G74" i="1"/>
  <c r="F74" i="1"/>
  <c r="F75" i="1" s="1"/>
  <c r="Q73" i="1"/>
  <c r="Q74" i="1" s="1"/>
  <c r="P73" i="1"/>
  <c r="P74" i="1" s="1"/>
  <c r="P75" i="1" s="1"/>
  <c r="O73" i="1"/>
  <c r="N73" i="1"/>
  <c r="N74" i="1" s="1"/>
  <c r="N75" i="1" s="1"/>
  <c r="M73" i="1"/>
  <c r="M74" i="1" s="1"/>
  <c r="M75" i="1" s="1"/>
  <c r="L73" i="1"/>
  <c r="L74" i="1" s="1"/>
  <c r="L75" i="1" s="1"/>
  <c r="K73" i="1"/>
  <c r="J73" i="1"/>
  <c r="J74" i="1" s="1"/>
  <c r="I73" i="1"/>
  <c r="I74" i="1" s="1"/>
  <c r="H73" i="1"/>
  <c r="G73" i="1"/>
  <c r="F73" i="1"/>
  <c r="E73" i="1"/>
  <c r="E74" i="1" s="1"/>
  <c r="E75" i="1" s="1"/>
  <c r="R72" i="1"/>
  <c r="R73" i="1" s="1"/>
  <c r="R74" i="1" s="1"/>
  <c r="R71" i="1"/>
  <c r="R70" i="1"/>
  <c r="P68" i="1"/>
  <c r="O68" i="1"/>
  <c r="N68" i="1"/>
  <c r="M68" i="1"/>
  <c r="H68" i="1"/>
  <c r="G68" i="1"/>
  <c r="F68" i="1"/>
  <c r="E68" i="1"/>
  <c r="P67" i="1"/>
  <c r="O67" i="1"/>
  <c r="N67" i="1"/>
  <c r="M67" i="1"/>
  <c r="L67" i="1"/>
  <c r="L68" i="1" s="1"/>
  <c r="K67" i="1"/>
  <c r="K68" i="1" s="1"/>
  <c r="H67" i="1"/>
  <c r="G67" i="1"/>
  <c r="F67" i="1"/>
  <c r="E67" i="1"/>
  <c r="Q66" i="1"/>
  <c r="Q67" i="1" s="1"/>
  <c r="Q68" i="1" s="1"/>
  <c r="P66" i="1"/>
  <c r="O66" i="1"/>
  <c r="N66" i="1"/>
  <c r="M66" i="1"/>
  <c r="L66" i="1"/>
  <c r="K66" i="1"/>
  <c r="J66" i="1"/>
  <c r="J67" i="1" s="1"/>
  <c r="J68" i="1" s="1"/>
  <c r="I66" i="1"/>
  <c r="I67" i="1" s="1"/>
  <c r="I68" i="1" s="1"/>
  <c r="H66" i="1"/>
  <c r="G66" i="1"/>
  <c r="F66" i="1"/>
  <c r="E66" i="1"/>
  <c r="R65" i="1"/>
  <c r="R64" i="1"/>
  <c r="R66" i="1" s="1"/>
  <c r="R67" i="1" s="1"/>
  <c r="R63" i="1"/>
  <c r="M59" i="1"/>
  <c r="L59" i="1"/>
  <c r="K59" i="1"/>
  <c r="J59" i="1"/>
  <c r="E59" i="1"/>
  <c r="R58" i="1"/>
  <c r="Q58" i="1"/>
  <c r="Q59" i="1" s="1"/>
  <c r="P58" i="1"/>
  <c r="P59" i="1" s="1"/>
  <c r="M58" i="1"/>
  <c r="L58" i="1"/>
  <c r="K58" i="1"/>
  <c r="J58" i="1"/>
  <c r="I58" i="1"/>
  <c r="I59" i="1" s="1"/>
  <c r="H58" i="1"/>
  <c r="H59" i="1" s="1"/>
  <c r="E58" i="1"/>
  <c r="R57" i="1"/>
  <c r="Q57" i="1"/>
  <c r="P57" i="1"/>
  <c r="O57" i="1"/>
  <c r="O58" i="1" s="1"/>
  <c r="O59" i="1" s="1"/>
  <c r="N57" i="1"/>
  <c r="N58" i="1" s="1"/>
  <c r="N59" i="1" s="1"/>
  <c r="M57" i="1"/>
  <c r="L57" i="1"/>
  <c r="K57" i="1"/>
  <c r="J57" i="1"/>
  <c r="I57" i="1"/>
  <c r="H57" i="1"/>
  <c r="G57" i="1"/>
  <c r="G58" i="1" s="1"/>
  <c r="G59" i="1" s="1"/>
  <c r="F57" i="1"/>
  <c r="F58" i="1" s="1"/>
  <c r="F59" i="1" s="1"/>
  <c r="R59" i="1" s="1"/>
  <c r="E57" i="1"/>
  <c r="R56" i="1"/>
  <c r="R55" i="1"/>
  <c r="R54" i="1"/>
  <c r="Q52" i="1"/>
  <c r="P52" i="1"/>
  <c r="O52" i="1"/>
  <c r="J52" i="1"/>
  <c r="I52" i="1"/>
  <c r="H52" i="1"/>
  <c r="G52" i="1"/>
  <c r="Q51" i="1"/>
  <c r="P51" i="1"/>
  <c r="O51" i="1"/>
  <c r="N51" i="1"/>
  <c r="N52" i="1" s="1"/>
  <c r="M51" i="1"/>
  <c r="M52" i="1" s="1"/>
  <c r="J51" i="1"/>
  <c r="I51" i="1"/>
  <c r="H51" i="1"/>
  <c r="G51" i="1"/>
  <c r="F51" i="1"/>
  <c r="F52" i="1" s="1"/>
  <c r="E51" i="1"/>
  <c r="E52" i="1" s="1"/>
  <c r="R52" i="1" s="1"/>
  <c r="Q50" i="1"/>
  <c r="P50" i="1"/>
  <c r="O50" i="1"/>
  <c r="N50" i="1"/>
  <c r="M50" i="1"/>
  <c r="L50" i="1"/>
  <c r="L51" i="1" s="1"/>
  <c r="L52" i="1" s="1"/>
  <c r="K50" i="1"/>
  <c r="K51" i="1" s="1"/>
  <c r="K52" i="1" s="1"/>
  <c r="J50" i="1"/>
  <c r="I50" i="1"/>
  <c r="H50" i="1"/>
  <c r="G50" i="1"/>
  <c r="F50" i="1"/>
  <c r="E50" i="1"/>
  <c r="R49" i="1"/>
  <c r="R48" i="1"/>
  <c r="R50" i="1" s="1"/>
  <c r="R51" i="1" s="1"/>
  <c r="R47" i="1"/>
  <c r="O45" i="1"/>
  <c r="N45" i="1"/>
  <c r="M45" i="1"/>
  <c r="L45" i="1"/>
  <c r="G45" i="1"/>
  <c r="F45" i="1"/>
  <c r="E45" i="1"/>
  <c r="R44" i="1"/>
  <c r="O44" i="1"/>
  <c r="N44" i="1"/>
  <c r="M44" i="1"/>
  <c r="L44" i="1"/>
  <c r="K44" i="1"/>
  <c r="K45" i="1" s="1"/>
  <c r="J44" i="1"/>
  <c r="J45" i="1" s="1"/>
  <c r="G44" i="1"/>
  <c r="F44" i="1"/>
  <c r="E44" i="1"/>
  <c r="R43" i="1"/>
  <c r="Q43" i="1"/>
  <c r="Q44" i="1" s="1"/>
  <c r="Q45" i="1" s="1"/>
  <c r="P43" i="1"/>
  <c r="P44" i="1" s="1"/>
  <c r="P45" i="1" s="1"/>
  <c r="O43" i="1"/>
  <c r="N43" i="1"/>
  <c r="M43" i="1"/>
  <c r="L43" i="1"/>
  <c r="K43" i="1"/>
  <c r="J43" i="1"/>
  <c r="I43" i="1"/>
  <c r="I44" i="1" s="1"/>
  <c r="I45" i="1" s="1"/>
  <c r="H43" i="1"/>
  <c r="H44" i="1" s="1"/>
  <c r="H45" i="1" s="1"/>
  <c r="G43" i="1"/>
  <c r="F43" i="1"/>
  <c r="E43" i="1"/>
  <c r="R42" i="1"/>
  <c r="R41" i="1"/>
  <c r="R40" i="1"/>
  <c r="Q38" i="1"/>
  <c r="L38" i="1"/>
  <c r="K38" i="1"/>
  <c r="J38" i="1"/>
  <c r="I38" i="1"/>
  <c r="Q37" i="1"/>
  <c r="P37" i="1"/>
  <c r="P38" i="1" s="1"/>
  <c r="O37" i="1"/>
  <c r="O38" i="1" s="1"/>
  <c r="L37" i="1"/>
  <c r="K37" i="1"/>
  <c r="J37" i="1"/>
  <c r="I37" i="1"/>
  <c r="H37" i="1"/>
  <c r="H38" i="1" s="1"/>
  <c r="G37" i="1"/>
  <c r="G38" i="1" s="1"/>
  <c r="Q36" i="1"/>
  <c r="P36" i="1"/>
  <c r="O36" i="1"/>
  <c r="N36" i="1"/>
  <c r="N37" i="1" s="1"/>
  <c r="N38" i="1" s="1"/>
  <c r="M36" i="1"/>
  <c r="M37" i="1" s="1"/>
  <c r="M38" i="1" s="1"/>
  <c r="L36" i="1"/>
  <c r="K36" i="1"/>
  <c r="J36" i="1"/>
  <c r="I36" i="1"/>
  <c r="H36" i="1"/>
  <c r="G36" i="1"/>
  <c r="F36" i="1"/>
  <c r="F37" i="1" s="1"/>
  <c r="F38" i="1" s="1"/>
  <c r="E36" i="1"/>
  <c r="E37" i="1" s="1"/>
  <c r="E38" i="1" s="1"/>
  <c r="R35" i="1"/>
  <c r="R34" i="1"/>
  <c r="R36" i="1" s="1"/>
  <c r="R37" i="1" s="1"/>
  <c r="R33" i="1"/>
  <c r="Q31" i="1"/>
  <c r="P31" i="1"/>
  <c r="O31" i="1"/>
  <c r="N31" i="1"/>
  <c r="I31" i="1"/>
  <c r="H31" i="1"/>
  <c r="G31" i="1"/>
  <c r="F31" i="1"/>
  <c r="Q30" i="1"/>
  <c r="P30" i="1"/>
  <c r="O30" i="1"/>
  <c r="N30" i="1"/>
  <c r="M30" i="1"/>
  <c r="M31" i="1" s="1"/>
  <c r="L30" i="1"/>
  <c r="L31" i="1" s="1"/>
  <c r="I30" i="1"/>
  <c r="H30" i="1"/>
  <c r="G30" i="1"/>
  <c r="F30" i="1"/>
  <c r="E30" i="1"/>
  <c r="E31" i="1" s="1"/>
  <c r="R29" i="1"/>
  <c r="R30" i="1" s="1"/>
  <c r="Q29" i="1"/>
  <c r="P29" i="1"/>
  <c r="O29" i="1"/>
  <c r="N29" i="1"/>
  <c r="M29" i="1"/>
  <c r="L29" i="1"/>
  <c r="K29" i="1"/>
  <c r="K30" i="1" s="1"/>
  <c r="K31" i="1" s="1"/>
  <c r="J29" i="1"/>
  <c r="J30" i="1" s="1"/>
  <c r="J31" i="1" s="1"/>
  <c r="I29" i="1"/>
  <c r="H29" i="1"/>
  <c r="G29" i="1"/>
  <c r="F29" i="1"/>
  <c r="E29" i="1"/>
  <c r="R28" i="1"/>
  <c r="R27" i="1"/>
  <c r="R26" i="1"/>
  <c r="N24" i="1"/>
  <c r="M24" i="1"/>
  <c r="L24" i="1"/>
  <c r="K24" i="1"/>
  <c r="F24" i="1"/>
  <c r="E24" i="1"/>
  <c r="Q23" i="1"/>
  <c r="Q24" i="1" s="1"/>
  <c r="N23" i="1"/>
  <c r="M23" i="1"/>
  <c r="L23" i="1"/>
  <c r="K23" i="1"/>
  <c r="J23" i="1"/>
  <c r="J24" i="1" s="1"/>
  <c r="I23" i="1"/>
  <c r="I24" i="1" s="1"/>
  <c r="F23" i="1"/>
  <c r="E23" i="1"/>
  <c r="Q22" i="1"/>
  <c r="P22" i="1"/>
  <c r="P23" i="1" s="1"/>
  <c r="P24" i="1" s="1"/>
  <c r="O22" i="1"/>
  <c r="O23" i="1" s="1"/>
  <c r="O24" i="1" s="1"/>
  <c r="N22" i="1"/>
  <c r="M22" i="1"/>
  <c r="L22" i="1"/>
  <c r="K22" i="1"/>
  <c r="J22" i="1"/>
  <c r="I22" i="1"/>
  <c r="H22" i="1"/>
  <c r="H23" i="1" s="1"/>
  <c r="H24" i="1" s="1"/>
  <c r="G22" i="1"/>
  <c r="G23" i="1" s="1"/>
  <c r="G24" i="1" s="1"/>
  <c r="F22" i="1"/>
  <c r="E22" i="1"/>
  <c r="R21" i="1"/>
  <c r="R20" i="1"/>
  <c r="R22" i="1" s="1"/>
  <c r="R23" i="1" s="1"/>
  <c r="R19" i="1"/>
  <c r="Q17" i="1"/>
  <c r="P17" i="1"/>
  <c r="K17" i="1"/>
  <c r="J17" i="1"/>
  <c r="I17" i="1"/>
  <c r="H17" i="1"/>
  <c r="Q16" i="1"/>
  <c r="P16" i="1"/>
  <c r="O16" i="1"/>
  <c r="O17" i="1" s="1"/>
  <c r="N16" i="1"/>
  <c r="N17" i="1" s="1"/>
  <c r="K16" i="1"/>
  <c r="J16" i="1"/>
  <c r="I16" i="1"/>
  <c r="H16" i="1"/>
  <c r="G16" i="1"/>
  <c r="G17" i="1" s="1"/>
  <c r="F16" i="1"/>
  <c r="F17" i="1" s="1"/>
  <c r="Q15" i="1"/>
  <c r="P15" i="1"/>
  <c r="O15" i="1"/>
  <c r="N15" i="1"/>
  <c r="M15" i="1"/>
  <c r="M16" i="1" s="1"/>
  <c r="M17" i="1" s="1"/>
  <c r="L15" i="1"/>
  <c r="L16" i="1" s="1"/>
  <c r="L17" i="1" s="1"/>
  <c r="K15" i="1"/>
  <c r="J15" i="1"/>
  <c r="I15" i="1"/>
  <c r="H15" i="1"/>
  <c r="G15" i="1"/>
  <c r="F15" i="1"/>
  <c r="E15" i="1"/>
  <c r="E16" i="1" s="1"/>
  <c r="E17" i="1" s="1"/>
  <c r="R17" i="1" s="1"/>
  <c r="R14" i="1"/>
  <c r="R15" i="1" s="1"/>
  <c r="R16" i="1" s="1"/>
  <c r="R13" i="1"/>
  <c r="R12" i="1"/>
  <c r="P10" i="1"/>
  <c r="O10" i="1"/>
  <c r="N10" i="1"/>
  <c r="M10" i="1"/>
  <c r="H10" i="1"/>
  <c r="G10" i="1"/>
  <c r="F10" i="1"/>
  <c r="E10" i="1"/>
  <c r="P9" i="1"/>
  <c r="O9" i="1"/>
  <c r="N9" i="1"/>
  <c r="M9" i="1"/>
  <c r="L9" i="1"/>
  <c r="L10" i="1" s="1"/>
  <c r="K9" i="1"/>
  <c r="K10" i="1" s="1"/>
  <c r="H9" i="1"/>
  <c r="G9" i="1"/>
  <c r="F9" i="1"/>
  <c r="E9" i="1"/>
  <c r="Q8" i="1"/>
  <c r="Q9" i="1" s="1"/>
  <c r="Q10" i="1" s="1"/>
  <c r="P8" i="1"/>
  <c r="O8" i="1"/>
  <c r="N8" i="1"/>
  <c r="M8" i="1"/>
  <c r="L8" i="1"/>
  <c r="K8" i="1"/>
  <c r="J8" i="1"/>
  <c r="J9" i="1" s="1"/>
  <c r="J10" i="1" s="1"/>
  <c r="I8" i="1"/>
  <c r="I9" i="1" s="1"/>
  <c r="I10" i="1" s="1"/>
  <c r="H8" i="1"/>
  <c r="G8" i="1"/>
  <c r="F8" i="1"/>
  <c r="E8" i="1"/>
  <c r="R7" i="1"/>
  <c r="R6" i="1"/>
  <c r="R8" i="1" s="1"/>
  <c r="R9" i="1" s="1"/>
  <c r="R5" i="1"/>
  <c r="R24" i="1" l="1"/>
  <c r="R89" i="1"/>
  <c r="R75" i="1"/>
  <c r="R184" i="1"/>
  <c r="R45" i="1"/>
  <c r="R82" i="1"/>
  <c r="R38" i="1"/>
  <c r="R103" i="1"/>
  <c r="R212" i="1"/>
  <c r="R235" i="1"/>
  <c r="R68" i="1"/>
  <c r="R265" i="1"/>
  <c r="R10" i="1"/>
  <c r="R31" i="1"/>
  <c r="R126" i="1"/>
  <c r="R138" i="1"/>
  <c r="R139" i="1" s="1"/>
  <c r="R307" i="1"/>
  <c r="R112" i="1"/>
  <c r="R170" i="1"/>
  <c r="R272" i="1"/>
  <c r="R279" i="1"/>
  <c r="R80" i="1"/>
  <c r="R81" i="1" s="1"/>
  <c r="R286" i="1"/>
  <c r="R198" i="1"/>
  <c r="R228" i="1"/>
  <c r="R96" i="1"/>
  <c r="R191" i="1"/>
  <c r="R87" i="1"/>
  <c r="R88" i="1" s="1"/>
  <c r="R196" i="1"/>
  <c r="R197" i="1" s="1"/>
  <c r="R226" i="1"/>
  <c r="R227" i="1" s="1"/>
  <c r="R161" i="1"/>
  <c r="R244" i="1"/>
  <c r="R147" i="1"/>
  <c r="R300" i="1"/>
  <c r="R312" i="1"/>
  <c r="R313" i="1" s="1"/>
  <c r="R189" i="1"/>
  <c r="R190" i="1" s="1"/>
  <c r="R251" i="1"/>
  <c r="R258" i="1"/>
  <c r="R305" i="1"/>
  <c r="R306" i="1" s="1"/>
  <c r="R284" i="1"/>
  <c r="R285" i="1" s="1"/>
  <c r="R314" i="1"/>
</calcChain>
</file>

<file path=xl/sharedStrings.xml><?xml version="1.0" encoding="utf-8"?>
<sst xmlns="http://schemas.openxmlformats.org/spreadsheetml/2006/main" count="6263" uniqueCount="162">
  <si>
    <t>Center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</si>
  <si>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</si>
  <si>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</si>
  <si>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</si>
  <si>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</si>
  <si>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</si>
  <si>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</si>
  <si>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</si>
  <si>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</si>
  <si>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</si>
  <si>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</si>
  <si>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</si>
  <si>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</si>
  <si>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</si>
  <si>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total</t>
  </si>
  <si>
    <t>Белый Кролик</t>
  </si>
  <si>
    <t>DMR</t>
  </si>
  <si>
    <t>OSA After 2026</t>
  </si>
  <si>
    <t>OSA After 2027</t>
  </si>
  <si>
    <t>dif</t>
  </si>
  <si>
    <t>ЭФ-т LSV, %</t>
  </si>
  <si>
    <t>ЭФ-т, млн руб</t>
  </si>
  <si>
    <t>Гулливер</t>
  </si>
  <si>
    <t>Кировский</t>
  </si>
  <si>
    <t>Любимчик 2.0</t>
  </si>
  <si>
    <t>Метрополис</t>
  </si>
  <si>
    <t>Монетка Урал</t>
  </si>
  <si>
    <t>Победа (Гулливер)</t>
  </si>
  <si>
    <t>SMART - дискаунтер</t>
  </si>
  <si>
    <t>North</t>
  </si>
  <si>
    <t>RegX5_SS</t>
  </si>
  <si>
    <t>Макси</t>
  </si>
  <si>
    <t>Ярче</t>
  </si>
  <si>
    <t>Moscow</t>
  </si>
  <si>
    <t>SPAR Волга</t>
  </si>
  <si>
    <t>Магнолия</t>
  </si>
  <si>
    <t>Siberia</t>
  </si>
  <si>
    <t>RegX5_LAR</t>
  </si>
  <si>
    <t>Командор</t>
  </si>
  <si>
    <t>Мария-Ра</t>
  </si>
  <si>
    <t>Хороший (Командор)</t>
  </si>
  <si>
    <t>South</t>
  </si>
  <si>
    <t>Far East</t>
  </si>
  <si>
    <t>Близкий</t>
  </si>
  <si>
    <t>Раз Два</t>
  </si>
  <si>
    <t>Реми</t>
  </si>
  <si>
    <t>Самбери</t>
  </si>
  <si>
    <t>Экономыч</t>
  </si>
  <si>
    <t>full_period_name</t>
  </si>
  <si>
    <t>OSA After</t>
  </si>
  <si>
    <t>retailer_name</t>
  </si>
  <si>
    <t>demand_region</t>
  </si>
  <si>
    <t>2026 P01</t>
  </si>
  <si>
    <t xml:space="preserve"> Лысов А.С.</t>
  </si>
  <si>
    <t>"""Осень"""</t>
  </si>
  <si>
    <t>4 лапы</t>
  </si>
  <si>
    <t>89_Хороший ТД</t>
  </si>
  <si>
    <t>PetShop.ru</t>
  </si>
  <si>
    <t>SPAR Калининград</t>
  </si>
  <si>
    <t>Авокадо</t>
  </si>
  <si>
    <t>Авоська (ООО Авоська-Два)</t>
  </si>
  <si>
    <t>Аникс</t>
  </si>
  <si>
    <t>Арслан ООО (Августина)</t>
  </si>
  <si>
    <t>Арт-Маркет</t>
  </si>
  <si>
    <t>Арыш Мае</t>
  </si>
  <si>
    <t>Ассорти</t>
  </si>
  <si>
    <t>АТАК</t>
  </si>
  <si>
    <t>Ашан</t>
  </si>
  <si>
    <t>Байрам</t>
  </si>
  <si>
    <t>Бегемот система универсамов</t>
  </si>
  <si>
    <t>Бетховен</t>
  </si>
  <si>
    <t>Брезгина К.А.</t>
  </si>
  <si>
    <t>Быстроном</t>
  </si>
  <si>
    <t>Вега (Киров)</t>
  </si>
  <si>
    <t>Везунчик</t>
  </si>
  <si>
    <t>Верный</t>
  </si>
  <si>
    <t>Впрок-Сервис</t>
  </si>
  <si>
    <t>Высшая лига</t>
  </si>
  <si>
    <t>Гиперглобус</t>
  </si>
  <si>
    <t>Глобус Киров</t>
  </si>
  <si>
    <t>Десяточка North</t>
  </si>
  <si>
    <t>Детский Мир (Москва)</t>
  </si>
  <si>
    <t>Дикси</t>
  </si>
  <si>
    <t>Домашкино</t>
  </si>
  <si>
    <t>Дружок</t>
  </si>
  <si>
    <t>Европа</t>
  </si>
  <si>
    <t>Заботливые цены</t>
  </si>
  <si>
    <t>Заповедник</t>
  </si>
  <si>
    <t>Зооветсервис ООО</t>
  </si>
  <si>
    <t>ЗООДИСКОНТ</t>
  </si>
  <si>
    <t>ЗооОптТорг</t>
  </si>
  <si>
    <t>Зоосмак</t>
  </si>
  <si>
    <t>ЗооТерра</t>
  </si>
  <si>
    <t>ИП Гулян Д.Г.</t>
  </si>
  <si>
    <t>ИП Феоктистов М.В.</t>
  </si>
  <si>
    <t>ИП Щебетовский</t>
  </si>
  <si>
    <t>ИП Ястребков А.Н.</t>
  </si>
  <si>
    <t>Караван Волга</t>
  </si>
  <si>
    <t>Кот и Пес</t>
  </si>
  <si>
    <t>Котопес</t>
  </si>
  <si>
    <t>Кэш&amp;Керри</t>
  </si>
  <si>
    <t>Лама</t>
  </si>
  <si>
    <t>Лента HM</t>
  </si>
  <si>
    <t>Лента SM</t>
  </si>
  <si>
    <t>Лидер-Крым</t>
  </si>
  <si>
    <t>Линия</t>
  </si>
  <si>
    <t>Лион</t>
  </si>
  <si>
    <t>Локальная сеть "Любимец"</t>
  </si>
  <si>
    <t>Лотос</t>
  </si>
  <si>
    <t>Магазинчик-Крым</t>
  </si>
  <si>
    <t>Магнит ГМ</t>
  </si>
  <si>
    <t>Магнит Косметик</t>
  </si>
  <si>
    <t>Магнит ММ</t>
  </si>
  <si>
    <t>Магнит МЦ</t>
  </si>
  <si>
    <t>Малашинская</t>
  </si>
  <si>
    <t>Метро</t>
  </si>
  <si>
    <t>Миндаль</t>
  </si>
  <si>
    <t>Мир Корма</t>
  </si>
  <si>
    <t>МТК ООО</t>
  </si>
  <si>
    <t>Народный</t>
  </si>
  <si>
    <t>Нем</t>
  </si>
  <si>
    <t>Неотрейд ООО</t>
  </si>
  <si>
    <t>Николаевский</t>
  </si>
  <si>
    <t>ОБЛПО ПО</t>
  </si>
  <si>
    <t>ОКЕЙ</t>
  </si>
  <si>
    <t>ООО ТВК-Р</t>
  </si>
  <si>
    <t>ООО Формат</t>
  </si>
  <si>
    <t>Панин</t>
  </si>
  <si>
    <t>Перекресток</t>
  </si>
  <si>
    <t>Пловдив</t>
  </si>
  <si>
    <t>ПУД</t>
  </si>
  <si>
    <t>Пятерочка</t>
  </si>
  <si>
    <t>Семь шагов</t>
  </si>
  <si>
    <t>Семь+Я ООО</t>
  </si>
  <si>
    <t>Сибагро</t>
  </si>
  <si>
    <t>Сима Ленд</t>
  </si>
  <si>
    <t>Спутник-Николаевский</t>
  </si>
  <si>
    <t>Таубер</t>
  </si>
  <si>
    <t>ТД "Милый дом"</t>
  </si>
  <si>
    <t>Титан</t>
  </si>
  <si>
    <t>Холлифуд</t>
  </si>
  <si>
    <t>Хороший ВЛ</t>
  </si>
  <si>
    <t>Челухин</t>
  </si>
  <si>
    <t>Шамса-Маркет</t>
  </si>
  <si>
    <t>ЭКОНОМИЯ</t>
  </si>
  <si>
    <t>Яблоко</t>
  </si>
  <si>
    <t>Яблоко (Крым)</t>
  </si>
  <si>
    <t>2026 P02</t>
  </si>
  <si>
    <t>2026 P03</t>
  </si>
  <si>
    <t>2026 P04</t>
  </si>
  <si>
    <t>Маяк</t>
  </si>
  <si>
    <t>2026 P05</t>
  </si>
  <si>
    <t>Баско</t>
  </si>
  <si>
    <t>2026 P06</t>
  </si>
  <si>
    <t>Абсолют</t>
  </si>
  <si>
    <t>2026 P07</t>
  </si>
  <si>
    <t>Народный (Санкт-Петербург)</t>
  </si>
  <si>
    <t>ООО Оптима-Волга</t>
  </si>
  <si>
    <t>2026 P08</t>
  </si>
  <si>
    <t>2026 P09</t>
  </si>
  <si>
    <t>Total</t>
  </si>
  <si>
    <t>Applied filters:
OSA-D_OSA is OSA
distributor_region is RF
mars_year is 2026
na_rka_segment is not BTC, Other SPT, Other SS, Опт, or Other E-com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</si>
</sst>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-0.0%;0.0%"/>
    <numFmt numFmtId="165" formatCode="#\ ##0.00"/>
  </numFmts>
  <fonts count="5" x14ac:knownFonts="1">
    <font>
      <sz val="11"/>
      <color theme="1"/>
      <name val="Calibri"/>
      <family val="2"/>
      <scheme val="minor"/>
    </font>
    <font>
      <sz val="11"/>
      <name val="Aptos Narrow"/>
    </font>
    <font>
      <b/>
      <sz val="11"/>
      <name val="Aptos Narrow"/>
    </font>
    <font>
      <b/>
      <sz val="11"/>
      <color rgb="FF1F1F1F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9D18E"/>
      </patternFill>
    </fill>
    <fill>
      <patternFill patternType="solid">
        <fgColor rgb="FFFFFFFF"/>
      </patternFill>
    </fill>
    <fill>
      <patternFill patternType="solid">
        <fgColor rgb="FFB4C7E7"/>
      </patternFill>
    </fill>
    <fill>
      <patternFill patternType="solid">
        <fgColor rgb="FFD9EAD3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0" fillId="2" borderId="2" xfId="0" applyFill="1" applyBorder="1"/>
    <xf numFmtId="165" fontId="3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R314"/>
  <sheetViews>
    <sheetView tabSelected="1" zoomScale="68" workbookViewId="0">
      <pane xSplit="4" ySplit="3" topLeftCell="E4" activePane="bottomRight" state="frozen"/>
      <selection pane="topRight"/>
      <selection pane="bottomLeft"/>
      <selection pane="bottomRight" activeCell="S27" sqref="S27"/>
    </sheetView>
  </sheetViews>
  <sheetFormatPr defaultRowHeight="14.4" x14ac:dyDescent="0.3"/>
  <cols>
    <col min="3" max="4" width="28" customWidth="1"/>
    <col min="5" max="17" width="12" customWidth="1"/>
    <col min="18" max="18" width="14" customWidth="1"/>
  </cols>
  <sheetData>
    <row r="3" spans="3:18" x14ac:dyDescent="0.3">
      <c r="C3" s="1" t="s">
        <v>0</v>
      </c>
      <c r="D3" s="2"/>
      <c r="E3" s="3">
        <v>487095728.29549992</v>
      </c>
      <c r="F3" s="3">
        <v>592892183.47839105</v>
      </c>
      <c r="G3" s="3">
        <v>495794551.48081279</v>
      </c>
      <c r="H3" s="3">
        <v>354880320.77314848</v>
      </c>
      <c r="I3" s="3">
        <v>435756613.00999713</v>
      </c>
      <c r="J3" s="3">
        <v>482798056.83001471</v>
      </c>
      <c r="K3" s="3">
        <v>499977671.85192633</v>
      </c>
      <c r="L3" s="3">
        <v>543261021.84015012</v>
      </c>
      <c r="M3" s="3">
        <v>517635185.91163212</v>
      </c>
      <c r="N3" s="3">
        <v>544240335.78645992</v>
      </c>
      <c r="O3" s="3">
        <v>566100096.66626334</v>
      </c>
      <c r="P3" s="3">
        <v>573748484.1216805</v>
      </c>
      <c r="Q3" s="3">
        <v>589193160.51182652</v>
      </c>
      <c r="R3" s="3">
        <v>6683373410.5578032</v>
      </c>
    </row>
    <row r="4" spans="3:18" x14ac:dyDescent="0.3">
      <c r="C4" s="4"/>
      <c r="D4" s="4"/>
      <c r="E4" s="5" t="s">
        <v>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5" t="s">
        <v>14</v>
      </c>
    </row>
    <row r="5" spans="3:18" x14ac:dyDescent="0.3">
      <c r="C5" s="17" t="s">
        <v>15</v>
      </c>
      <c r="D5" s="4" t="s">
        <v>16</v>
      </c>
      <c r="E5" s="6">
        <v>1325353.99999999</v>
      </c>
      <c r="F5" s="6">
        <v>1578542.22999999</v>
      </c>
      <c r="G5" s="6">
        <v>1970023.22999999</v>
      </c>
      <c r="H5" s="6">
        <v>1437012.8699999901</v>
      </c>
      <c r="I5" s="6">
        <v>1960736.96</v>
      </c>
      <c r="J5" s="6">
        <v>2062970.96999999</v>
      </c>
      <c r="K5" s="6">
        <v>1785244.7520000001</v>
      </c>
      <c r="L5" s="6">
        <v>2217927.7699999898</v>
      </c>
      <c r="M5" s="6">
        <v>1779404.4509999999</v>
      </c>
      <c r="N5" s="6">
        <v>2045098.2949999999</v>
      </c>
      <c r="O5" s="6">
        <v>1694944.7350000001</v>
      </c>
      <c r="P5" s="6">
        <v>2095925.821</v>
      </c>
      <c r="Q5" s="6">
        <v>2140832.409</v>
      </c>
      <c r="R5" s="7">
        <f>IF(COUNT(E5:Q5)=0,"",SUM(E5:Q5))</f>
        <v>24094018.492999934</v>
      </c>
    </row>
    <row r="6" spans="3:18" x14ac:dyDescent="0.3">
      <c r="C6" s="18"/>
      <c r="D6" s="4" t="s">
        <v>17</v>
      </c>
      <c r="E6" s="8">
        <v>0.40350000000000003</v>
      </c>
      <c r="F6" s="8">
        <v>0.42549999999999999</v>
      </c>
      <c r="G6" s="8">
        <v>0.46360000000000001</v>
      </c>
      <c r="H6" s="8">
        <v>0.48520000000000002</v>
      </c>
      <c r="I6" s="8">
        <v>0.37169999999999997</v>
      </c>
      <c r="J6" s="8">
        <v>0.31530000000000002</v>
      </c>
      <c r="K6" s="8">
        <v>0.3236</v>
      </c>
      <c r="L6" s="8">
        <v>0.30220000000000002</v>
      </c>
      <c r="M6" s="9">
        <v>0.30249999999999999</v>
      </c>
      <c r="N6" s="9">
        <v>0.30249999999999999</v>
      </c>
      <c r="O6" s="9">
        <v>0.30449999999999999</v>
      </c>
      <c r="P6" s="9">
        <v>0.30609999999999998</v>
      </c>
      <c r="Q6" s="9">
        <v>0.30609999999999998</v>
      </c>
      <c r="R6" s="8">
        <f>IF(COUNT(E6:Q6)=0,"",AVERAGE(E6:Q6))</f>
        <v>0.35479230769230774</v>
      </c>
    </row>
    <row r="7" spans="3:18" x14ac:dyDescent="0.3">
      <c r="C7" s="18"/>
      <c r="D7" s="4" t="s">
        <v>18</v>
      </c>
      <c r="E7" s="9">
        <v>0.40350000000000003</v>
      </c>
      <c r="F7" s="9">
        <v>0.42549999999999999</v>
      </c>
      <c r="G7" s="9">
        <v>0.46400000000000002</v>
      </c>
      <c r="H7" s="9">
        <v>0.48530000000000001</v>
      </c>
      <c r="I7" s="9">
        <v>0.37169999999999997</v>
      </c>
      <c r="J7" s="9">
        <v>0.3342</v>
      </c>
      <c r="K7" s="9">
        <v>0.34100000000000003</v>
      </c>
      <c r="L7" s="9">
        <v>0.32219999999999999</v>
      </c>
      <c r="M7" s="9">
        <v>0.32250000000000001</v>
      </c>
      <c r="N7" s="9">
        <v>0.32250000000000001</v>
      </c>
      <c r="O7" s="9">
        <v>0.32450000000000001</v>
      </c>
      <c r="P7" s="9">
        <v>0.32590000000000002</v>
      </c>
      <c r="Q7" s="9">
        <v>0.32600000000000001</v>
      </c>
      <c r="R7" s="9">
        <f>IF(COUNT(E7:Q7)=0,"",AVERAGE(E7:Q7))</f>
        <v>0.36683076923076913</v>
      </c>
    </row>
    <row r="8" spans="3:18" x14ac:dyDescent="0.3">
      <c r="C8" s="18"/>
      <c r="D8" s="4" t="s">
        <v>19</v>
      </c>
      <c r="E8" s="9">
        <f t="shared" ref="E8:R8" si="0">IF(OR(E6="",E7=""),"",E7-E6)</f>
        <v>0</v>
      </c>
      <c r="F8" s="9">
        <f t="shared" si="0"/>
        <v>0</v>
      </c>
      <c r="G8" s="9">
        <f t="shared" si="0"/>
        <v>4.0000000000001146E-4</v>
      </c>
      <c r="H8" s="9">
        <f t="shared" si="0"/>
        <v>9.9999999999988987E-5</v>
      </c>
      <c r="I8" s="9">
        <f t="shared" si="0"/>
        <v>0</v>
      </c>
      <c r="J8" s="9">
        <f t="shared" si="0"/>
        <v>1.8899999999999972E-2</v>
      </c>
      <c r="K8" s="9">
        <f t="shared" si="0"/>
        <v>1.7400000000000027E-2</v>
      </c>
      <c r="L8" s="9">
        <f t="shared" si="0"/>
        <v>1.9999999999999962E-2</v>
      </c>
      <c r="M8" s="9">
        <f t="shared" si="0"/>
        <v>2.0000000000000018E-2</v>
      </c>
      <c r="N8" s="9">
        <f t="shared" si="0"/>
        <v>2.0000000000000018E-2</v>
      </c>
      <c r="O8" s="9">
        <f t="shared" si="0"/>
        <v>2.0000000000000018E-2</v>
      </c>
      <c r="P8" s="9">
        <f t="shared" si="0"/>
        <v>1.980000000000004E-2</v>
      </c>
      <c r="Q8" s="9">
        <f t="shared" si="0"/>
        <v>1.9900000000000029E-2</v>
      </c>
      <c r="R8" s="9">
        <f t="shared" si="0"/>
        <v>1.2038461538461387E-2</v>
      </c>
    </row>
    <row r="9" spans="3:18" x14ac:dyDescent="0.3">
      <c r="C9" s="18"/>
      <c r="D9" s="4" t="s">
        <v>20</v>
      </c>
      <c r="E9" s="9">
        <f t="shared" ref="E9:R9" si="1">IF(E8="","",E8/3%*1%)</f>
        <v>0</v>
      </c>
      <c r="F9" s="9">
        <f t="shared" si="1"/>
        <v>0</v>
      </c>
      <c r="G9" s="9">
        <f t="shared" si="1"/>
        <v>1.3333333333333716E-4</v>
      </c>
      <c r="H9" s="9">
        <f t="shared" si="1"/>
        <v>3.3333333333329662E-5</v>
      </c>
      <c r="I9" s="9">
        <f t="shared" si="1"/>
        <v>0</v>
      </c>
      <c r="J9" s="9">
        <f t="shared" si="1"/>
        <v>6.2999999999999914E-3</v>
      </c>
      <c r="K9" s="9">
        <f t="shared" si="1"/>
        <v>5.80000000000001E-3</v>
      </c>
      <c r="L9" s="9">
        <f t="shared" si="1"/>
        <v>6.6666666666666541E-3</v>
      </c>
      <c r="M9" s="9">
        <f t="shared" si="1"/>
        <v>6.6666666666666732E-3</v>
      </c>
      <c r="N9" s="9">
        <f t="shared" si="1"/>
        <v>6.6666666666666732E-3</v>
      </c>
      <c r="O9" s="9">
        <f t="shared" si="1"/>
        <v>6.6666666666666732E-3</v>
      </c>
      <c r="P9" s="9">
        <f t="shared" si="1"/>
        <v>6.6000000000000138E-3</v>
      </c>
      <c r="Q9" s="9">
        <f t="shared" si="1"/>
        <v>6.6333333333333435E-3</v>
      </c>
      <c r="R9" s="9">
        <f t="shared" si="1"/>
        <v>4.0128205128204626E-3</v>
      </c>
    </row>
    <row r="10" spans="3:18" x14ac:dyDescent="0.3">
      <c r="C10" s="19"/>
      <c r="D10" s="10" t="s">
        <v>21</v>
      </c>
      <c r="E10" s="11">
        <f t="shared" ref="E10:Q10" si="2">IF(OR(E5="",E9=""),"",E5*E9)</f>
        <v>0</v>
      </c>
      <c r="F10" s="11">
        <f t="shared" si="2"/>
        <v>0</v>
      </c>
      <c r="G10" s="11">
        <f t="shared" si="2"/>
        <v>262.66976400000618</v>
      </c>
      <c r="H10" s="11">
        <f t="shared" si="2"/>
        <v>47.900428999994396</v>
      </c>
      <c r="I10" s="11">
        <f t="shared" si="2"/>
        <v>0</v>
      </c>
      <c r="J10" s="11">
        <f t="shared" si="2"/>
        <v>12996.717110999918</v>
      </c>
      <c r="K10" s="11">
        <f t="shared" si="2"/>
        <v>10354.419561600018</v>
      </c>
      <c r="L10" s="11">
        <f t="shared" si="2"/>
        <v>14786.185133333238</v>
      </c>
      <c r="M10" s="11">
        <f t="shared" si="2"/>
        <v>11862.696340000011</v>
      </c>
      <c r="N10" s="11">
        <f t="shared" si="2"/>
        <v>13633.988633333347</v>
      </c>
      <c r="O10" s="11">
        <f t="shared" si="2"/>
        <v>11299.631566666678</v>
      </c>
      <c r="P10" s="11">
        <f t="shared" si="2"/>
        <v>13833.110418600028</v>
      </c>
      <c r="Q10" s="11">
        <f t="shared" si="2"/>
        <v>14200.854979700021</v>
      </c>
      <c r="R10" s="11">
        <f>IF(COUNT(E10:Q10)=0,"",SUM(E10:Q10))</f>
        <v>103278.17393723327</v>
      </c>
    </row>
    <row r="11" spans="3:18" x14ac:dyDescent="0.3">
      <c r="C11" s="4"/>
      <c r="D11" s="4"/>
      <c r="E11" s="5" t="s">
        <v>1</v>
      </c>
      <c r="F11" s="5" t="s">
        <v>2</v>
      </c>
      <c r="G11" s="5" t="s">
        <v>3</v>
      </c>
      <c r="H11" s="5" t="s">
        <v>4</v>
      </c>
      <c r="I11" s="5" t="s">
        <v>5</v>
      </c>
      <c r="J11" s="5" t="s">
        <v>6</v>
      </c>
      <c r="K11" s="5" t="s">
        <v>7</v>
      </c>
      <c r="L11" s="5" t="s">
        <v>8</v>
      </c>
      <c r="M11" s="5" t="s">
        <v>9</v>
      </c>
      <c r="N11" s="5" t="s">
        <v>10</v>
      </c>
      <c r="O11" s="5" t="s">
        <v>11</v>
      </c>
      <c r="P11" s="5" t="s">
        <v>12</v>
      </c>
      <c r="Q11" s="5" t="s">
        <v>13</v>
      </c>
      <c r="R11" s="5" t="s">
        <v>14</v>
      </c>
    </row>
    <row r="12" spans="3:18" x14ac:dyDescent="0.3">
      <c r="C12" s="17" t="s">
        <v>22</v>
      </c>
      <c r="D12" s="4" t="s">
        <v>16</v>
      </c>
      <c r="E12" s="6">
        <v>8973831.5999999512</v>
      </c>
      <c r="F12" s="6">
        <v>15368581.189999839</v>
      </c>
      <c r="G12" s="6">
        <v>16097503.609999729</v>
      </c>
      <c r="H12" s="6">
        <v>13880184.47999998</v>
      </c>
      <c r="I12" s="6">
        <v>12898649.94999966</v>
      </c>
      <c r="J12" s="6">
        <v>12791521.25999994</v>
      </c>
      <c r="K12" s="6">
        <v>16568832.64000015</v>
      </c>
      <c r="L12" s="6">
        <v>14970103.02999996</v>
      </c>
      <c r="M12" s="6">
        <v>15278089.73</v>
      </c>
      <c r="N12" s="6">
        <v>14500000</v>
      </c>
      <c r="O12" s="6">
        <v>14500000</v>
      </c>
      <c r="P12" s="6">
        <v>14407964.438202679</v>
      </c>
      <c r="Q12" s="6">
        <v>14282027.949998699</v>
      </c>
      <c r="R12" s="7">
        <f>IF(COUNT(E12:Q12)=0,"",SUM(E12:Q12))</f>
        <v>184517289.87820062</v>
      </c>
    </row>
    <row r="13" spans="3:18" x14ac:dyDescent="0.3">
      <c r="C13" s="18"/>
      <c r="D13" s="4" t="s">
        <v>17</v>
      </c>
      <c r="E13" s="8">
        <v>0.95989999999999998</v>
      </c>
      <c r="F13" s="8">
        <v>0.95740000000000003</v>
      </c>
      <c r="G13" s="8">
        <v>0.92449999999999999</v>
      </c>
      <c r="H13" s="8">
        <v>0.95499999999999996</v>
      </c>
      <c r="I13" s="8">
        <v>0.96009999999999995</v>
      </c>
      <c r="J13" s="8">
        <v>0.96230000000000004</v>
      </c>
      <c r="K13" s="8">
        <v>0.96599999999999997</v>
      </c>
      <c r="L13" s="8">
        <v>0.96089999999999998</v>
      </c>
      <c r="M13" s="9">
        <v>0.96089999999999998</v>
      </c>
      <c r="N13" s="9">
        <v>0.96089999999999998</v>
      </c>
      <c r="O13" s="9">
        <v>0.96089999999999998</v>
      </c>
      <c r="P13" s="9">
        <v>0.96189999999999998</v>
      </c>
      <c r="Q13" s="9">
        <v>0.96230000000000004</v>
      </c>
      <c r="R13" s="8">
        <f>IF(COUNT(E13:Q13)=0,"",AVERAGE(E13:Q13))</f>
        <v>0.95792307692307699</v>
      </c>
    </row>
    <row r="14" spans="3:18" x14ac:dyDescent="0.3">
      <c r="C14" s="18"/>
      <c r="D14" s="4" t="s">
        <v>18</v>
      </c>
      <c r="E14" s="9">
        <v>0.96089999999999998</v>
      </c>
      <c r="F14" s="9">
        <v>0.95840000000000003</v>
      </c>
      <c r="G14" s="9">
        <v>0.92649999999999999</v>
      </c>
      <c r="H14" s="9">
        <v>0.95599999999999996</v>
      </c>
      <c r="I14" s="9">
        <v>0.96009999999999995</v>
      </c>
      <c r="J14" s="9">
        <v>0.96330000000000005</v>
      </c>
      <c r="K14" s="9">
        <v>0.96699999999999997</v>
      </c>
      <c r="L14" s="9">
        <v>0.96189999999999998</v>
      </c>
      <c r="M14" s="9">
        <v>0.96189999999999998</v>
      </c>
      <c r="N14" s="9">
        <v>0.96189999999999998</v>
      </c>
      <c r="O14" s="9">
        <v>0.96189999999999998</v>
      </c>
      <c r="P14" s="9">
        <v>0.96230000000000004</v>
      </c>
      <c r="Q14" s="9">
        <v>0.96330000000000005</v>
      </c>
      <c r="R14" s="9">
        <f>IF(COUNT(E14:Q14)=0,"",AVERAGE(E14:Q14))</f>
        <v>0.95887692307692318</v>
      </c>
    </row>
    <row r="15" spans="3:18" x14ac:dyDescent="0.3">
      <c r="C15" s="18"/>
      <c r="D15" s="4" t="s">
        <v>19</v>
      </c>
      <c r="E15" s="9">
        <f t="shared" ref="E15:R15" si="3">IF(OR(E13="",E14=""),"",E14-E13)</f>
        <v>1.0000000000000009E-3</v>
      </c>
      <c r="F15" s="9">
        <f t="shared" si="3"/>
        <v>1.0000000000000009E-3</v>
      </c>
      <c r="G15" s="9">
        <f t="shared" si="3"/>
        <v>2.0000000000000018E-3</v>
      </c>
      <c r="H15" s="9">
        <f t="shared" si="3"/>
        <v>1.0000000000000009E-3</v>
      </c>
      <c r="I15" s="9">
        <f t="shared" si="3"/>
        <v>0</v>
      </c>
      <c r="J15" s="9">
        <f t="shared" si="3"/>
        <v>1.0000000000000009E-3</v>
      </c>
      <c r="K15" s="9">
        <f t="shared" si="3"/>
        <v>1.0000000000000009E-3</v>
      </c>
      <c r="L15" s="9">
        <f t="shared" si="3"/>
        <v>1.0000000000000009E-3</v>
      </c>
      <c r="M15" s="9">
        <f t="shared" si="3"/>
        <v>1.0000000000000009E-3</v>
      </c>
      <c r="N15" s="9">
        <f t="shared" si="3"/>
        <v>1.0000000000000009E-3</v>
      </c>
      <c r="O15" s="9">
        <f t="shared" si="3"/>
        <v>1.0000000000000009E-3</v>
      </c>
      <c r="P15" s="9">
        <f t="shared" si="3"/>
        <v>4.0000000000006697E-4</v>
      </c>
      <c r="Q15" s="9">
        <f t="shared" si="3"/>
        <v>1.0000000000000009E-3</v>
      </c>
      <c r="R15" s="9">
        <f t="shared" si="3"/>
        <v>9.5384615384619398E-4</v>
      </c>
    </row>
    <row r="16" spans="3:18" x14ac:dyDescent="0.3">
      <c r="C16" s="18"/>
      <c r="D16" s="4" t="s">
        <v>20</v>
      </c>
      <c r="E16" s="9">
        <f t="shared" ref="E16:R16" si="4">IF(E15="","",E15/3%*1%)</f>
        <v>3.333333333333337E-4</v>
      </c>
      <c r="F16" s="9">
        <f t="shared" si="4"/>
        <v>3.333333333333337E-4</v>
      </c>
      <c r="G16" s="9">
        <f t="shared" si="4"/>
        <v>6.666666666666674E-4</v>
      </c>
      <c r="H16" s="9">
        <f t="shared" si="4"/>
        <v>3.333333333333337E-4</v>
      </c>
      <c r="I16" s="9">
        <f t="shared" si="4"/>
        <v>0</v>
      </c>
      <c r="J16" s="9">
        <f t="shared" si="4"/>
        <v>3.333333333333337E-4</v>
      </c>
      <c r="K16" s="9">
        <f t="shared" si="4"/>
        <v>3.333333333333337E-4</v>
      </c>
      <c r="L16" s="9">
        <f t="shared" si="4"/>
        <v>3.333333333333337E-4</v>
      </c>
      <c r="M16" s="9">
        <f t="shared" si="4"/>
        <v>3.333333333333337E-4</v>
      </c>
      <c r="N16" s="9">
        <f t="shared" si="4"/>
        <v>3.333333333333337E-4</v>
      </c>
      <c r="O16" s="9">
        <f t="shared" si="4"/>
        <v>3.333333333333337E-4</v>
      </c>
      <c r="P16" s="9">
        <f t="shared" si="4"/>
        <v>1.3333333333335567E-4</v>
      </c>
      <c r="Q16" s="9">
        <f t="shared" si="4"/>
        <v>3.333333333333337E-4</v>
      </c>
      <c r="R16" s="9">
        <f t="shared" si="4"/>
        <v>3.1794871794873136E-4</v>
      </c>
    </row>
    <row r="17" spans="3:18" x14ac:dyDescent="0.3">
      <c r="C17" s="19"/>
      <c r="D17" s="10" t="s">
        <v>21</v>
      </c>
      <c r="E17" s="11">
        <f t="shared" ref="E17:Q17" si="5">IF(OR(E12="",E16=""),"",E12*E16)</f>
        <v>2991.2771999999873</v>
      </c>
      <c r="F17" s="11">
        <f t="shared" si="5"/>
        <v>5122.8603966666187</v>
      </c>
      <c r="G17" s="11">
        <f t="shared" si="5"/>
        <v>10731.669073333165</v>
      </c>
      <c r="H17" s="11">
        <f t="shared" si="5"/>
        <v>4626.7281599999988</v>
      </c>
      <c r="I17" s="11">
        <f t="shared" si="5"/>
        <v>0</v>
      </c>
      <c r="J17" s="11">
        <f t="shared" si="5"/>
        <v>4263.840419999985</v>
      </c>
      <c r="K17" s="11">
        <f t="shared" si="5"/>
        <v>5522.9442133333896</v>
      </c>
      <c r="L17" s="11">
        <f t="shared" si="5"/>
        <v>4990.0343433333255</v>
      </c>
      <c r="M17" s="11">
        <f t="shared" si="5"/>
        <v>5092.6965766666726</v>
      </c>
      <c r="N17" s="11">
        <f t="shared" si="5"/>
        <v>4833.3333333333385</v>
      </c>
      <c r="O17" s="11">
        <f t="shared" si="5"/>
        <v>4833.3333333333385</v>
      </c>
      <c r="P17" s="11">
        <f t="shared" si="5"/>
        <v>1921.0619250940124</v>
      </c>
      <c r="Q17" s="11">
        <f t="shared" si="5"/>
        <v>4760.6759833329052</v>
      </c>
      <c r="R17" s="11">
        <f>IF(COUNT(E17:Q17)=0,"",SUM(E17:Q17))</f>
        <v>59690.454958426737</v>
      </c>
    </row>
    <row r="18" spans="3:18" x14ac:dyDescent="0.3">
      <c r="C18" s="4"/>
      <c r="D18" s="4"/>
      <c r="E18" s="5" t="s">
        <v>1</v>
      </c>
      <c r="F18" s="5" t="s">
        <v>2</v>
      </c>
      <c r="G18" s="5" t="s">
        <v>3</v>
      </c>
      <c r="H18" s="5" t="s">
        <v>4</v>
      </c>
      <c r="I18" s="5" t="s">
        <v>5</v>
      </c>
      <c r="J18" s="5" t="s">
        <v>6</v>
      </c>
      <c r="K18" s="5" t="s">
        <v>7</v>
      </c>
      <c r="L18" s="5" t="s">
        <v>8</v>
      </c>
      <c r="M18" s="5" t="s">
        <v>9</v>
      </c>
      <c r="N18" s="5" t="s">
        <v>10</v>
      </c>
      <c r="O18" s="5" t="s">
        <v>11</v>
      </c>
      <c r="P18" s="5" t="s">
        <v>12</v>
      </c>
      <c r="Q18" s="5" t="s">
        <v>13</v>
      </c>
      <c r="R18" s="5" t="s">
        <v>14</v>
      </c>
    </row>
    <row r="19" spans="3:18" x14ac:dyDescent="0.3">
      <c r="C19" s="17" t="s">
        <v>23</v>
      </c>
      <c r="D19" s="4" t="s">
        <v>16</v>
      </c>
      <c r="E19" s="6">
        <v>14956639.609999619</v>
      </c>
      <c r="F19" s="6">
        <v>29623860.940001611</v>
      </c>
      <c r="G19" s="6">
        <v>28267602.68999996</v>
      </c>
      <c r="H19" s="6">
        <v>8272433.3599998252</v>
      </c>
      <c r="I19" s="6">
        <v>22256183.78999842</v>
      </c>
      <c r="J19" s="6">
        <v>14732181.07000131</v>
      </c>
      <c r="K19" s="6">
        <v>11541359.450000379</v>
      </c>
      <c r="L19" s="6">
        <v>17925593.050001658</v>
      </c>
      <c r="M19" s="6">
        <v>19500000</v>
      </c>
      <c r="N19" s="6">
        <v>20000000</v>
      </c>
      <c r="O19" s="6">
        <v>21000000</v>
      </c>
      <c r="P19" s="6">
        <v>21000000</v>
      </c>
      <c r="Q19" s="6">
        <v>22560000</v>
      </c>
      <c r="R19" s="7">
        <f>IF(COUNT(E19:Q19)=0,"",SUM(E19:Q19))</f>
        <v>251635853.96000278</v>
      </c>
    </row>
    <row r="20" spans="3:18" x14ac:dyDescent="0.3">
      <c r="C20" s="18"/>
      <c r="D20" s="4" t="s">
        <v>17</v>
      </c>
      <c r="E20" s="8">
        <v>0.94940000000000002</v>
      </c>
      <c r="F20" s="8">
        <v>0.94750000000000001</v>
      </c>
      <c r="G20" s="8">
        <v>0.94979999999999998</v>
      </c>
      <c r="H20" s="8">
        <v>0.96289999999999998</v>
      </c>
      <c r="I20" s="8">
        <v>0.95499999999999996</v>
      </c>
      <c r="J20" s="8">
        <v>0.94940000000000002</v>
      </c>
      <c r="K20" s="8">
        <v>0.95350000000000001</v>
      </c>
      <c r="L20" s="8">
        <v>0.96279999999999999</v>
      </c>
      <c r="M20" s="8">
        <v>0.9738</v>
      </c>
      <c r="N20" s="9">
        <v>0.9738</v>
      </c>
      <c r="O20" s="9">
        <v>0.9748</v>
      </c>
      <c r="P20" s="9">
        <v>0.9758</v>
      </c>
      <c r="Q20" s="9">
        <v>0.9758</v>
      </c>
      <c r="R20" s="8">
        <f>IF(COUNT(E20:Q20)=0,"",AVERAGE(E20:Q20))</f>
        <v>0.9618692307692307</v>
      </c>
    </row>
    <row r="21" spans="3:18" x14ac:dyDescent="0.3">
      <c r="C21" s="18"/>
      <c r="D21" s="4" t="s">
        <v>18</v>
      </c>
      <c r="E21" s="9">
        <v>0.95140000000000002</v>
      </c>
      <c r="F21" s="9">
        <v>0.94950000000000001</v>
      </c>
      <c r="G21" s="9">
        <v>0.95179999999999998</v>
      </c>
      <c r="H21" s="9">
        <v>0.96389999999999998</v>
      </c>
      <c r="I21" s="9">
        <v>0.95599999999999996</v>
      </c>
      <c r="J21" s="9">
        <v>0.95089999999999997</v>
      </c>
      <c r="K21" s="9">
        <v>0.95450000000000002</v>
      </c>
      <c r="L21" s="9">
        <v>0.96379999999999999</v>
      </c>
      <c r="M21" s="9">
        <v>0.9738</v>
      </c>
      <c r="N21" s="9">
        <v>0.9748</v>
      </c>
      <c r="O21" s="9">
        <v>0.9758</v>
      </c>
      <c r="P21" s="9">
        <v>0.9768</v>
      </c>
      <c r="Q21" s="9">
        <v>0.9768</v>
      </c>
      <c r="R21" s="9">
        <f>IF(COUNT(E21:Q21)=0,"",AVERAGE(E21:Q21))</f>
        <v>0.96306153846153864</v>
      </c>
    </row>
    <row r="22" spans="3:18" x14ac:dyDescent="0.3">
      <c r="C22" s="18"/>
      <c r="D22" s="4" t="s">
        <v>19</v>
      </c>
      <c r="E22" s="9">
        <f t="shared" ref="E22:R22" si="6">IF(OR(E20="",E21=""),"",E21-E20)</f>
        <v>2.0000000000000018E-3</v>
      </c>
      <c r="F22" s="9">
        <f t="shared" si="6"/>
        <v>2.0000000000000018E-3</v>
      </c>
      <c r="G22" s="9">
        <f t="shared" si="6"/>
        <v>2.0000000000000018E-3</v>
      </c>
      <c r="H22" s="9">
        <f t="shared" si="6"/>
        <v>1.0000000000000009E-3</v>
      </c>
      <c r="I22" s="9">
        <f t="shared" si="6"/>
        <v>1.0000000000000009E-3</v>
      </c>
      <c r="J22" s="9">
        <f t="shared" si="6"/>
        <v>1.4999999999999458E-3</v>
      </c>
      <c r="K22" s="9">
        <f t="shared" si="6"/>
        <v>1.0000000000000009E-3</v>
      </c>
      <c r="L22" s="9">
        <f t="shared" si="6"/>
        <v>1.0000000000000009E-3</v>
      </c>
      <c r="M22" s="9">
        <f t="shared" si="6"/>
        <v>0</v>
      </c>
      <c r="N22" s="9">
        <f t="shared" si="6"/>
        <v>1.0000000000000009E-3</v>
      </c>
      <c r="O22" s="9">
        <f t="shared" si="6"/>
        <v>1.0000000000000009E-3</v>
      </c>
      <c r="P22" s="9">
        <f t="shared" si="6"/>
        <v>1.0000000000000009E-3</v>
      </c>
      <c r="Q22" s="9">
        <f t="shared" si="6"/>
        <v>1.0000000000000009E-3</v>
      </c>
      <c r="R22" s="9">
        <f t="shared" si="6"/>
        <v>1.1923076923079368E-3</v>
      </c>
    </row>
    <row r="23" spans="3:18" x14ac:dyDescent="0.3">
      <c r="C23" s="18"/>
      <c r="D23" s="4" t="s">
        <v>20</v>
      </c>
      <c r="E23" s="9">
        <f t="shared" ref="E23:R23" si="7">IF(E22="","",E22/3%*1%)</f>
        <v>6.666666666666674E-4</v>
      </c>
      <c r="F23" s="9">
        <f t="shared" si="7"/>
        <v>6.666666666666674E-4</v>
      </c>
      <c r="G23" s="9">
        <f t="shared" si="7"/>
        <v>6.666666666666674E-4</v>
      </c>
      <c r="H23" s="9">
        <f t="shared" si="7"/>
        <v>3.333333333333337E-4</v>
      </c>
      <c r="I23" s="9">
        <f t="shared" si="7"/>
        <v>3.333333333333337E-4</v>
      </c>
      <c r="J23" s="9">
        <f t="shared" si="7"/>
        <v>4.9999999999998201E-4</v>
      </c>
      <c r="K23" s="9">
        <f t="shared" si="7"/>
        <v>3.333333333333337E-4</v>
      </c>
      <c r="L23" s="9">
        <f t="shared" si="7"/>
        <v>3.333333333333337E-4</v>
      </c>
      <c r="M23" s="9">
        <f t="shared" si="7"/>
        <v>0</v>
      </c>
      <c r="N23" s="9">
        <f t="shared" si="7"/>
        <v>3.333333333333337E-4</v>
      </c>
      <c r="O23" s="9">
        <f t="shared" si="7"/>
        <v>3.333333333333337E-4</v>
      </c>
      <c r="P23" s="9">
        <f t="shared" si="7"/>
        <v>3.333333333333337E-4</v>
      </c>
      <c r="Q23" s="9">
        <f t="shared" si="7"/>
        <v>3.333333333333337E-4</v>
      </c>
      <c r="R23" s="9">
        <f t="shared" si="7"/>
        <v>3.9743589743597896E-4</v>
      </c>
    </row>
    <row r="24" spans="3:18" x14ac:dyDescent="0.3">
      <c r="C24" s="19"/>
      <c r="D24" s="10" t="s">
        <v>21</v>
      </c>
      <c r="E24" s="11">
        <f t="shared" ref="E24:Q24" si="8">IF(OR(E19="",E23=""),"",E19*E23)</f>
        <v>9971.0930733330915</v>
      </c>
      <c r="F24" s="11">
        <f t="shared" si="8"/>
        <v>19749.240626667761</v>
      </c>
      <c r="G24" s="11">
        <f t="shared" si="8"/>
        <v>18845.068459999995</v>
      </c>
      <c r="H24" s="11">
        <f t="shared" si="8"/>
        <v>2757.4777866666113</v>
      </c>
      <c r="I24" s="11">
        <f t="shared" si="8"/>
        <v>7418.7279299994816</v>
      </c>
      <c r="J24" s="11">
        <f t="shared" si="8"/>
        <v>7366.0905350003895</v>
      </c>
      <c r="K24" s="11">
        <f t="shared" si="8"/>
        <v>3847.1198166667973</v>
      </c>
      <c r="L24" s="11">
        <f t="shared" si="8"/>
        <v>5975.1976833338931</v>
      </c>
      <c r="M24" s="11">
        <f t="shared" si="8"/>
        <v>0</v>
      </c>
      <c r="N24" s="11">
        <f t="shared" si="8"/>
        <v>6666.6666666666742</v>
      </c>
      <c r="O24" s="11">
        <f t="shared" si="8"/>
        <v>7000.0000000000082</v>
      </c>
      <c r="P24" s="11">
        <f t="shared" si="8"/>
        <v>7000.0000000000082</v>
      </c>
      <c r="Q24" s="11">
        <f t="shared" si="8"/>
        <v>7520.0000000000082</v>
      </c>
      <c r="R24" s="11">
        <f>IF(COUNT(E24:Q24)=0,"",SUM(E24:Q24))</f>
        <v>104116.68257833476</v>
      </c>
    </row>
    <row r="25" spans="3:18" x14ac:dyDescent="0.3">
      <c r="C25" s="4"/>
      <c r="D25" s="4"/>
      <c r="E25" s="5" t="s">
        <v>1</v>
      </c>
      <c r="F25" s="5" t="s">
        <v>2</v>
      </c>
      <c r="G25" s="5" t="s">
        <v>3</v>
      </c>
      <c r="H25" s="5" t="s">
        <v>4</v>
      </c>
      <c r="I25" s="5" t="s">
        <v>5</v>
      </c>
      <c r="J25" s="5" t="s">
        <v>6</v>
      </c>
      <c r="K25" s="5" t="s">
        <v>7</v>
      </c>
      <c r="L25" s="5" t="s">
        <v>8</v>
      </c>
      <c r="M25" s="5" t="s">
        <v>9</v>
      </c>
      <c r="N25" s="5" t="s">
        <v>10</v>
      </c>
      <c r="O25" s="5" t="s">
        <v>11</v>
      </c>
      <c r="P25" s="5" t="s">
        <v>12</v>
      </c>
      <c r="Q25" s="5" t="s">
        <v>13</v>
      </c>
      <c r="R25" s="5" t="s">
        <v>14</v>
      </c>
    </row>
    <row r="26" spans="3:18" x14ac:dyDescent="0.3">
      <c r="C26" s="17" t="s">
        <v>24</v>
      </c>
      <c r="D26" s="4" t="s">
        <v>16</v>
      </c>
      <c r="E26" s="6">
        <v>2782132.1976899998</v>
      </c>
      <c r="F26" s="6">
        <v>2635118.904550001</v>
      </c>
      <c r="G26" s="6">
        <v>3509226.1457600002</v>
      </c>
      <c r="H26" s="6">
        <v>2390723.91</v>
      </c>
      <c r="I26" s="6">
        <v>4563028.1699999981</v>
      </c>
      <c r="J26" s="6">
        <v>2942846.5999999992</v>
      </c>
      <c r="K26" s="6">
        <v>2510036.5100000012</v>
      </c>
      <c r="L26" s="6">
        <v>2824807.21</v>
      </c>
      <c r="M26" s="6">
        <v>2000000</v>
      </c>
      <c r="N26" s="6">
        <v>2569422.58</v>
      </c>
      <c r="O26" s="6">
        <v>2569422.58</v>
      </c>
      <c r="P26" s="6">
        <v>2569422.58</v>
      </c>
      <c r="Q26" s="6">
        <v>2569422.58</v>
      </c>
      <c r="R26" s="7">
        <f>IF(COUNT(E26:Q26)=0,"",SUM(E26:Q26))</f>
        <v>36435609.967999995</v>
      </c>
    </row>
    <row r="27" spans="3:18" x14ac:dyDescent="0.3">
      <c r="C27" s="18"/>
      <c r="D27" s="4" t="s">
        <v>17</v>
      </c>
      <c r="E27" s="8">
        <v>0.66869999999999996</v>
      </c>
      <c r="F27" s="8">
        <v>0.45779999999999998</v>
      </c>
      <c r="G27" s="8">
        <v>0.53400000000000003</v>
      </c>
      <c r="H27" s="8">
        <v>0.58009999999999995</v>
      </c>
      <c r="I27" s="8">
        <v>0.63900000000000001</v>
      </c>
      <c r="J27" s="8">
        <v>0.6552</v>
      </c>
      <c r="K27" s="8">
        <v>0.64419999999999999</v>
      </c>
      <c r="L27" s="8">
        <v>0.65590000000000004</v>
      </c>
      <c r="M27" s="9">
        <v>0.65590000000000004</v>
      </c>
      <c r="N27" s="9">
        <v>0.65620000000000001</v>
      </c>
      <c r="O27" s="9">
        <v>0.65839999999999999</v>
      </c>
      <c r="P27" s="9">
        <v>0.65839999999999999</v>
      </c>
      <c r="Q27" s="9">
        <v>0.65949999999999998</v>
      </c>
      <c r="R27" s="8">
        <f>IF(COUNT(E27:Q27)=0,"",AVERAGE(E27:Q27))</f>
        <v>0.62486923076923084</v>
      </c>
    </row>
    <row r="28" spans="3:18" x14ac:dyDescent="0.3">
      <c r="C28" s="18"/>
      <c r="D28" s="4" t="s">
        <v>18</v>
      </c>
      <c r="E28" s="9">
        <v>0.66869999999999996</v>
      </c>
      <c r="F28" s="9">
        <v>0.45779999999999998</v>
      </c>
      <c r="G28" s="9">
        <v>0.53400000000000003</v>
      </c>
      <c r="H28" s="9">
        <v>0.58009999999999995</v>
      </c>
      <c r="I28" s="9">
        <v>0.63900000000000001</v>
      </c>
      <c r="J28" s="9">
        <v>0.6552</v>
      </c>
      <c r="K28" s="9">
        <v>0.64929999999999999</v>
      </c>
      <c r="L28" s="9">
        <v>0.65939999999999999</v>
      </c>
      <c r="M28" s="9">
        <v>0.66120000000000001</v>
      </c>
      <c r="N28" s="9">
        <v>0.66149999999999998</v>
      </c>
      <c r="O28" s="9">
        <v>0.66449999999999998</v>
      </c>
      <c r="P28" s="9">
        <v>0.66700000000000004</v>
      </c>
      <c r="Q28" s="9">
        <v>0.66849999999999998</v>
      </c>
      <c r="R28" s="9">
        <f>IF(COUNT(E28:Q28)=0,"",AVERAGE(E28:Q28))</f>
        <v>0.62816923076923081</v>
      </c>
    </row>
    <row r="29" spans="3:18" x14ac:dyDescent="0.3">
      <c r="C29" s="18"/>
      <c r="D29" s="4" t="s">
        <v>19</v>
      </c>
      <c r="E29" s="9">
        <f t="shared" ref="E29:R29" si="9">IF(OR(E27="",E28=""),"",E28-E27)</f>
        <v>0</v>
      </c>
      <c r="F29" s="9">
        <f t="shared" si="9"/>
        <v>0</v>
      </c>
      <c r="G29" s="9">
        <f t="shared" si="9"/>
        <v>0</v>
      </c>
      <c r="H29" s="9">
        <f t="shared" si="9"/>
        <v>0</v>
      </c>
      <c r="I29" s="9">
        <f t="shared" si="9"/>
        <v>0</v>
      </c>
      <c r="J29" s="9">
        <f t="shared" si="9"/>
        <v>0</v>
      </c>
      <c r="K29" s="9">
        <f t="shared" si="9"/>
        <v>5.0999999999999934E-3</v>
      </c>
      <c r="L29" s="9">
        <f t="shared" si="9"/>
        <v>3.4999999999999476E-3</v>
      </c>
      <c r="M29" s="9">
        <f t="shared" si="9"/>
        <v>5.2999999999999714E-3</v>
      </c>
      <c r="N29" s="9">
        <f t="shared" si="9"/>
        <v>5.2999999999999714E-3</v>
      </c>
      <c r="O29" s="9">
        <f t="shared" si="9"/>
        <v>6.0999999999999943E-3</v>
      </c>
      <c r="P29" s="9">
        <f t="shared" si="9"/>
        <v>8.600000000000052E-3</v>
      </c>
      <c r="Q29" s="9">
        <f t="shared" si="9"/>
        <v>9.000000000000008E-3</v>
      </c>
      <c r="R29" s="9">
        <f t="shared" si="9"/>
        <v>3.2999999999999696E-3</v>
      </c>
    </row>
    <row r="30" spans="3:18" x14ac:dyDescent="0.3">
      <c r="C30" s="18"/>
      <c r="D30" s="4" t="s">
        <v>20</v>
      </c>
      <c r="E30" s="9">
        <f t="shared" ref="E30:R30" si="10">IF(E29="","",E29/3%*1%)</f>
        <v>0</v>
      </c>
      <c r="F30" s="9">
        <f t="shared" si="10"/>
        <v>0</v>
      </c>
      <c r="G30" s="9">
        <f t="shared" si="10"/>
        <v>0</v>
      </c>
      <c r="H30" s="9">
        <f t="shared" si="10"/>
        <v>0</v>
      </c>
      <c r="I30" s="9">
        <f t="shared" si="10"/>
        <v>0</v>
      </c>
      <c r="J30" s="9">
        <f t="shared" si="10"/>
        <v>0</v>
      </c>
      <c r="K30" s="9">
        <f t="shared" si="10"/>
        <v>1.699999999999998E-3</v>
      </c>
      <c r="L30" s="9">
        <f t="shared" si="10"/>
        <v>1.1666666666666492E-3</v>
      </c>
      <c r="M30" s="9">
        <f t="shared" si="10"/>
        <v>1.7666666666666573E-3</v>
      </c>
      <c r="N30" s="9">
        <f t="shared" si="10"/>
        <v>1.7666666666666573E-3</v>
      </c>
      <c r="O30" s="9">
        <f t="shared" si="10"/>
        <v>2.0333333333333314E-3</v>
      </c>
      <c r="P30" s="9">
        <f t="shared" si="10"/>
        <v>2.866666666666684E-3</v>
      </c>
      <c r="Q30" s="9">
        <f t="shared" si="10"/>
        <v>3.0000000000000027E-3</v>
      </c>
      <c r="R30" s="9">
        <f t="shared" si="10"/>
        <v>1.0999999999999899E-3</v>
      </c>
    </row>
    <row r="31" spans="3:18" x14ac:dyDescent="0.3">
      <c r="C31" s="19"/>
      <c r="D31" s="10" t="s">
        <v>21</v>
      </c>
      <c r="E31" s="11">
        <f t="shared" ref="E31:Q31" si="11">IF(OR(E26="",E30=""),"",E26*E30)</f>
        <v>0</v>
      </c>
      <c r="F31" s="11">
        <f t="shared" si="11"/>
        <v>0</v>
      </c>
      <c r="G31" s="11">
        <f t="shared" si="11"/>
        <v>0</v>
      </c>
      <c r="H31" s="11">
        <f t="shared" si="11"/>
        <v>0</v>
      </c>
      <c r="I31" s="11">
        <f t="shared" si="11"/>
        <v>0</v>
      </c>
      <c r="J31" s="11">
        <f t="shared" si="11"/>
        <v>0</v>
      </c>
      <c r="K31" s="11">
        <f t="shared" si="11"/>
        <v>4267.0620669999971</v>
      </c>
      <c r="L31" s="11">
        <f t="shared" si="11"/>
        <v>3295.6084116666175</v>
      </c>
      <c r="M31" s="11">
        <f t="shared" si="11"/>
        <v>3533.3333333333144</v>
      </c>
      <c r="N31" s="11">
        <f t="shared" si="11"/>
        <v>4539.3132246666428</v>
      </c>
      <c r="O31" s="11">
        <f t="shared" si="11"/>
        <v>5224.4925793333286</v>
      </c>
      <c r="P31" s="11">
        <f t="shared" si="11"/>
        <v>7365.6780626667114</v>
      </c>
      <c r="Q31" s="11">
        <f t="shared" si="11"/>
        <v>7708.2677400000075</v>
      </c>
      <c r="R31" s="11">
        <f>IF(COUNT(E31:Q31)=0,"",SUM(E31:Q31))</f>
        <v>35933.755418666624</v>
      </c>
    </row>
    <row r="32" spans="3:18" x14ac:dyDescent="0.3">
      <c r="C32" s="4"/>
      <c r="D32" s="4"/>
      <c r="E32" s="5" t="s">
        <v>1</v>
      </c>
      <c r="F32" s="5" t="s">
        <v>2</v>
      </c>
      <c r="G32" s="5" t="s">
        <v>3</v>
      </c>
      <c r="H32" s="5" t="s">
        <v>4</v>
      </c>
      <c r="I32" s="5" t="s">
        <v>5</v>
      </c>
      <c r="J32" s="5" t="s">
        <v>6</v>
      </c>
      <c r="K32" s="5" t="s">
        <v>7</v>
      </c>
      <c r="L32" s="5" t="s">
        <v>8</v>
      </c>
      <c r="M32" s="5" t="s">
        <v>9</v>
      </c>
      <c r="N32" s="5" t="s">
        <v>10</v>
      </c>
      <c r="O32" s="5" t="s">
        <v>11</v>
      </c>
      <c r="P32" s="5" t="s">
        <v>12</v>
      </c>
      <c r="Q32" s="5" t="s">
        <v>13</v>
      </c>
      <c r="R32" s="5" t="s">
        <v>14</v>
      </c>
    </row>
    <row r="33" spans="3:18" x14ac:dyDescent="0.3">
      <c r="C33" s="17" t="s">
        <v>25</v>
      </c>
      <c r="D33" s="4" t="s">
        <v>16</v>
      </c>
      <c r="E33" s="6">
        <v>17247368.410000209</v>
      </c>
      <c r="F33" s="6">
        <v>23791600.140000161</v>
      </c>
      <c r="G33" s="6">
        <v>23036241.920000311</v>
      </c>
      <c r="H33" s="6">
        <v>19615132.01000002</v>
      </c>
      <c r="I33" s="6">
        <v>17318898.830000069</v>
      </c>
      <c r="J33" s="6">
        <v>20395540.110000141</v>
      </c>
      <c r="K33" s="6">
        <v>23210415.68000016</v>
      </c>
      <c r="L33" s="6">
        <v>23374423.810000051</v>
      </c>
      <c r="M33" s="6">
        <v>25800000</v>
      </c>
      <c r="N33" s="6">
        <v>24151589.5604182</v>
      </c>
      <c r="O33" s="6">
        <v>22142142.429877739</v>
      </c>
      <c r="P33" s="6">
        <v>22159351.010309141</v>
      </c>
      <c r="Q33" s="6">
        <v>27980000</v>
      </c>
      <c r="R33" s="7">
        <f>IF(COUNT(E33:Q33)=0,"",SUM(E33:Q33))</f>
        <v>290222703.91060615</v>
      </c>
    </row>
    <row r="34" spans="3:18" x14ac:dyDescent="0.3">
      <c r="C34" s="18"/>
      <c r="D34" s="4" t="s">
        <v>17</v>
      </c>
      <c r="E34" s="8">
        <v>0.87890000000000001</v>
      </c>
      <c r="F34" s="8">
        <v>0.92549999999999999</v>
      </c>
      <c r="G34" s="8">
        <v>0.92879999999999996</v>
      </c>
      <c r="H34" s="8">
        <v>0.95699999999999996</v>
      </c>
      <c r="I34" s="8">
        <v>0.95940000000000003</v>
      </c>
      <c r="J34" s="8">
        <v>0.95520000000000005</v>
      </c>
      <c r="K34" s="8">
        <v>0.96189999999999998</v>
      </c>
      <c r="L34" s="8">
        <v>0.96089999999999998</v>
      </c>
      <c r="M34" s="8">
        <v>0.9345</v>
      </c>
      <c r="N34" s="9">
        <v>0.93630000000000002</v>
      </c>
      <c r="O34" s="9">
        <v>0.93630000000000002</v>
      </c>
      <c r="P34" s="9">
        <v>0.93630000000000002</v>
      </c>
      <c r="Q34" s="9">
        <v>0.93640000000000001</v>
      </c>
      <c r="R34" s="8">
        <f>IF(COUNT(E34:Q34)=0,"",AVERAGE(E34:Q34))</f>
        <v>0.93903076923076911</v>
      </c>
    </row>
    <row r="35" spans="3:18" x14ac:dyDescent="0.3">
      <c r="C35" s="18"/>
      <c r="D35" s="4" t="s">
        <v>18</v>
      </c>
      <c r="E35" s="9">
        <v>0.87960000000000005</v>
      </c>
      <c r="F35" s="9">
        <v>0.92749999999999999</v>
      </c>
      <c r="G35" s="9">
        <v>0.93079999999999996</v>
      </c>
      <c r="H35" s="9">
        <v>0.95799999999999996</v>
      </c>
      <c r="I35" s="9">
        <v>0.96040000000000003</v>
      </c>
      <c r="J35" s="9">
        <v>0.95620000000000005</v>
      </c>
      <c r="K35" s="9">
        <v>0.96289999999999998</v>
      </c>
      <c r="L35" s="9">
        <v>0.96189999999999998</v>
      </c>
      <c r="M35" s="9">
        <v>0.9365</v>
      </c>
      <c r="N35" s="9">
        <v>0.93830000000000002</v>
      </c>
      <c r="O35" s="9">
        <v>0.93830000000000002</v>
      </c>
      <c r="P35" s="9">
        <v>0.93830000000000002</v>
      </c>
      <c r="Q35" s="9">
        <v>0.93840000000000001</v>
      </c>
      <c r="R35" s="9">
        <f>IF(COUNT(E35:Q35)=0,"",AVERAGE(E35:Q35))</f>
        <v>0.94054615384615381</v>
      </c>
    </row>
    <row r="36" spans="3:18" x14ac:dyDescent="0.3">
      <c r="C36" s="18"/>
      <c r="D36" s="4" t="s">
        <v>19</v>
      </c>
      <c r="E36" s="9">
        <f t="shared" ref="E36:R36" si="12">IF(OR(E34="",E35=""),"",E35-E34)</f>
        <v>7.0000000000003393E-4</v>
      </c>
      <c r="F36" s="9">
        <f t="shared" si="12"/>
        <v>2.0000000000000018E-3</v>
      </c>
      <c r="G36" s="9">
        <f t="shared" si="12"/>
        <v>2.0000000000000018E-3</v>
      </c>
      <c r="H36" s="9">
        <f t="shared" si="12"/>
        <v>1.0000000000000009E-3</v>
      </c>
      <c r="I36" s="9">
        <f t="shared" si="12"/>
        <v>1.0000000000000009E-3</v>
      </c>
      <c r="J36" s="9">
        <f t="shared" si="12"/>
        <v>1.0000000000000009E-3</v>
      </c>
      <c r="K36" s="9">
        <f t="shared" si="12"/>
        <v>1.0000000000000009E-3</v>
      </c>
      <c r="L36" s="9">
        <f t="shared" si="12"/>
        <v>1.0000000000000009E-3</v>
      </c>
      <c r="M36" s="9">
        <f t="shared" si="12"/>
        <v>2.0000000000000018E-3</v>
      </c>
      <c r="N36" s="9">
        <f t="shared" si="12"/>
        <v>2.0000000000000018E-3</v>
      </c>
      <c r="O36" s="9">
        <f t="shared" si="12"/>
        <v>2.0000000000000018E-3</v>
      </c>
      <c r="P36" s="9">
        <f t="shared" si="12"/>
        <v>2.0000000000000018E-3</v>
      </c>
      <c r="Q36" s="9">
        <f t="shared" si="12"/>
        <v>2.0000000000000018E-3</v>
      </c>
      <c r="R36" s="9">
        <f t="shared" si="12"/>
        <v>1.5153846153846962E-3</v>
      </c>
    </row>
    <row r="37" spans="3:18" x14ac:dyDescent="0.3">
      <c r="C37" s="18"/>
      <c r="D37" s="4" t="s">
        <v>20</v>
      </c>
      <c r="E37" s="9">
        <f t="shared" ref="E37:R37" si="13">IF(E36="","",E36/3%*1%)</f>
        <v>2.3333333333334466E-4</v>
      </c>
      <c r="F37" s="9">
        <f t="shared" si="13"/>
        <v>6.666666666666674E-4</v>
      </c>
      <c r="G37" s="9">
        <f t="shared" si="13"/>
        <v>6.666666666666674E-4</v>
      </c>
      <c r="H37" s="9">
        <f t="shared" si="13"/>
        <v>3.333333333333337E-4</v>
      </c>
      <c r="I37" s="9">
        <f t="shared" si="13"/>
        <v>3.333333333333337E-4</v>
      </c>
      <c r="J37" s="9">
        <f t="shared" si="13"/>
        <v>3.333333333333337E-4</v>
      </c>
      <c r="K37" s="9">
        <f t="shared" si="13"/>
        <v>3.333333333333337E-4</v>
      </c>
      <c r="L37" s="9">
        <f t="shared" si="13"/>
        <v>3.333333333333337E-4</v>
      </c>
      <c r="M37" s="9">
        <f t="shared" si="13"/>
        <v>6.666666666666674E-4</v>
      </c>
      <c r="N37" s="9">
        <f t="shared" si="13"/>
        <v>6.666666666666674E-4</v>
      </c>
      <c r="O37" s="9">
        <f t="shared" si="13"/>
        <v>6.666666666666674E-4</v>
      </c>
      <c r="P37" s="9">
        <f t="shared" si="13"/>
        <v>6.666666666666674E-4</v>
      </c>
      <c r="Q37" s="9">
        <f t="shared" si="13"/>
        <v>6.666666666666674E-4</v>
      </c>
      <c r="R37" s="9">
        <f t="shared" si="13"/>
        <v>5.0512820512823209E-4</v>
      </c>
    </row>
    <row r="38" spans="3:18" x14ac:dyDescent="0.3">
      <c r="C38" s="19"/>
      <c r="D38" s="10" t="s">
        <v>21</v>
      </c>
      <c r="E38" s="11">
        <f t="shared" ref="E38:Q38" si="14">IF(OR(E33="",E37=""),"",E33*E37)</f>
        <v>4024.3859623335775</v>
      </c>
      <c r="F38" s="11">
        <f t="shared" si="14"/>
        <v>15861.066760000125</v>
      </c>
      <c r="G38" s="11">
        <f t="shared" si="14"/>
        <v>15357.494613333558</v>
      </c>
      <c r="H38" s="11">
        <f t="shared" si="14"/>
        <v>6538.377336666681</v>
      </c>
      <c r="I38" s="11">
        <f t="shared" si="14"/>
        <v>5772.9662766666961</v>
      </c>
      <c r="J38" s="11">
        <f t="shared" si="14"/>
        <v>6798.5133700000542</v>
      </c>
      <c r="K38" s="11">
        <f t="shared" si="14"/>
        <v>7736.8052266667282</v>
      </c>
      <c r="L38" s="11">
        <f t="shared" si="14"/>
        <v>7791.4746033333586</v>
      </c>
      <c r="M38" s="11">
        <f t="shared" si="14"/>
        <v>17200.000000000018</v>
      </c>
      <c r="N38" s="11">
        <f t="shared" si="14"/>
        <v>16101.059706945483</v>
      </c>
      <c r="O38" s="11">
        <f t="shared" si="14"/>
        <v>14761.428286585176</v>
      </c>
      <c r="P38" s="11">
        <f t="shared" si="14"/>
        <v>14772.900673539443</v>
      </c>
      <c r="Q38" s="11">
        <f t="shared" si="14"/>
        <v>18653.333333333354</v>
      </c>
      <c r="R38" s="11">
        <f>IF(COUNT(E38:Q38)=0,"",SUM(E38:Q38))</f>
        <v>151369.80614940423</v>
      </c>
    </row>
    <row r="39" spans="3:18" x14ac:dyDescent="0.3">
      <c r="C39" s="4"/>
      <c r="D39" s="4"/>
      <c r="E39" s="5" t="s">
        <v>1</v>
      </c>
      <c r="F39" s="5" t="s">
        <v>2</v>
      </c>
      <c r="G39" s="5" t="s">
        <v>3</v>
      </c>
      <c r="H39" s="5" t="s">
        <v>4</v>
      </c>
      <c r="I39" s="5" t="s">
        <v>5</v>
      </c>
      <c r="J39" s="5" t="s">
        <v>6</v>
      </c>
      <c r="K39" s="5" t="s">
        <v>7</v>
      </c>
      <c r="L39" s="5" t="s">
        <v>8</v>
      </c>
      <c r="M39" s="5" t="s">
        <v>9</v>
      </c>
      <c r="N39" s="5" t="s">
        <v>10</v>
      </c>
      <c r="O39" s="5" t="s">
        <v>11</v>
      </c>
      <c r="P39" s="5" t="s">
        <v>12</v>
      </c>
      <c r="Q39" s="5" t="s">
        <v>13</v>
      </c>
      <c r="R39" s="5" t="s">
        <v>14</v>
      </c>
    </row>
    <row r="40" spans="3:18" x14ac:dyDescent="0.3">
      <c r="C40" s="17" t="s">
        <v>26</v>
      </c>
      <c r="D40" s="4" t="s">
        <v>16</v>
      </c>
      <c r="E40" s="6">
        <v>248180056.64780751</v>
      </c>
      <c r="F40" s="6">
        <v>218240409.05383179</v>
      </c>
      <c r="G40" s="6">
        <v>164275704.5550451</v>
      </c>
      <c r="H40" s="6">
        <v>115597483.27998739</v>
      </c>
      <c r="I40" s="6">
        <v>147291690.88999411</v>
      </c>
      <c r="J40" s="6">
        <v>190412045.97001609</v>
      </c>
      <c r="K40" s="6">
        <v>198983281.27992871</v>
      </c>
      <c r="L40" s="6">
        <v>238169107.34014079</v>
      </c>
      <c r="M40" s="6">
        <v>220000000</v>
      </c>
      <c r="N40" s="6">
        <v>247489172.62140301</v>
      </c>
      <c r="O40" s="6">
        <v>270326275.91987199</v>
      </c>
      <c r="P40" s="6">
        <v>278225849.52657098</v>
      </c>
      <c r="Q40" s="6">
        <v>284870000</v>
      </c>
      <c r="R40" s="7">
        <f>IF(COUNT(E40:Q40)=0,"",SUM(E40:Q40))</f>
        <v>2822061077.0845971</v>
      </c>
    </row>
    <row r="41" spans="3:18" x14ac:dyDescent="0.3">
      <c r="C41" s="18"/>
      <c r="D41" s="4" t="s">
        <v>17</v>
      </c>
      <c r="E41" s="8">
        <v>0.91020000000000001</v>
      </c>
      <c r="F41" s="8">
        <v>0.91620000000000001</v>
      </c>
      <c r="G41" s="8">
        <v>0.91920000000000002</v>
      </c>
      <c r="H41" s="8">
        <v>0.92430000000000001</v>
      </c>
      <c r="I41" s="8">
        <v>0.92810000000000004</v>
      </c>
      <c r="J41" s="8">
        <v>0.93230000000000002</v>
      </c>
      <c r="K41" s="8">
        <v>0.94389999999999996</v>
      </c>
      <c r="L41" s="8">
        <v>0.94469999999999998</v>
      </c>
      <c r="M41" s="8">
        <v>0.95789999999999997</v>
      </c>
      <c r="N41" s="9">
        <v>0.95789999999999997</v>
      </c>
      <c r="O41" s="9">
        <v>0.9587</v>
      </c>
      <c r="P41" s="9">
        <v>0.9587</v>
      </c>
      <c r="Q41" s="9">
        <v>0.9587</v>
      </c>
      <c r="R41" s="8">
        <f>IF(COUNT(E41:Q41)=0,"",AVERAGE(E41:Q41))</f>
        <v>0.93929230769230776</v>
      </c>
    </row>
    <row r="42" spans="3:18" x14ac:dyDescent="0.3">
      <c r="C42" s="18"/>
      <c r="D42" s="4" t="s">
        <v>18</v>
      </c>
      <c r="E42" s="9">
        <v>0.91190000000000004</v>
      </c>
      <c r="F42" s="9">
        <v>0.91839999999999999</v>
      </c>
      <c r="G42" s="9">
        <v>0.92220000000000002</v>
      </c>
      <c r="H42" s="9">
        <v>0.92630000000000001</v>
      </c>
      <c r="I42" s="9">
        <v>0.93010000000000004</v>
      </c>
      <c r="J42" s="9">
        <v>0.93430000000000002</v>
      </c>
      <c r="K42" s="9">
        <v>0.94589999999999996</v>
      </c>
      <c r="L42" s="9">
        <v>0.94669999999999999</v>
      </c>
      <c r="M42" s="9">
        <v>0.95889999999999997</v>
      </c>
      <c r="N42" s="9">
        <v>0.95889999999999997</v>
      </c>
      <c r="O42" s="9">
        <v>0.9597</v>
      </c>
      <c r="P42" s="9">
        <v>0.9597</v>
      </c>
      <c r="Q42" s="9">
        <v>0.95960000000000001</v>
      </c>
      <c r="R42" s="9">
        <f>IF(COUNT(E42:Q42)=0,"",AVERAGE(E42:Q42))</f>
        <v>0.94096923076923078</v>
      </c>
    </row>
    <row r="43" spans="3:18" x14ac:dyDescent="0.3">
      <c r="C43" s="18"/>
      <c r="D43" s="4" t="s">
        <v>19</v>
      </c>
      <c r="E43" s="9">
        <f t="shared" ref="E43:R43" si="15">IF(OR(E41="",E42=""),"",E42-E41)</f>
        <v>1.7000000000000348E-3</v>
      </c>
      <c r="F43" s="9">
        <f t="shared" si="15"/>
        <v>2.1999999999999797E-3</v>
      </c>
      <c r="G43" s="9">
        <f t="shared" si="15"/>
        <v>3.0000000000000027E-3</v>
      </c>
      <c r="H43" s="9">
        <f t="shared" si="15"/>
        <v>2.0000000000000018E-3</v>
      </c>
      <c r="I43" s="9">
        <f t="shared" si="15"/>
        <v>2.0000000000000018E-3</v>
      </c>
      <c r="J43" s="9">
        <f t="shared" si="15"/>
        <v>2.0000000000000018E-3</v>
      </c>
      <c r="K43" s="9">
        <f t="shared" si="15"/>
        <v>2.0000000000000018E-3</v>
      </c>
      <c r="L43" s="9">
        <f t="shared" si="15"/>
        <v>2.0000000000000018E-3</v>
      </c>
      <c r="M43" s="9">
        <f t="shared" si="15"/>
        <v>1.0000000000000009E-3</v>
      </c>
      <c r="N43" s="9">
        <f t="shared" si="15"/>
        <v>1.0000000000000009E-3</v>
      </c>
      <c r="O43" s="9">
        <f t="shared" si="15"/>
        <v>1.0000000000000009E-3</v>
      </c>
      <c r="P43" s="9">
        <f t="shared" si="15"/>
        <v>1.0000000000000009E-3</v>
      </c>
      <c r="Q43" s="9">
        <f t="shared" si="15"/>
        <v>9.000000000000119E-4</v>
      </c>
      <c r="R43" s="9">
        <f t="shared" si="15"/>
        <v>1.6769230769230203E-3</v>
      </c>
    </row>
    <row r="44" spans="3:18" x14ac:dyDescent="0.3">
      <c r="C44" s="18"/>
      <c r="D44" s="4" t="s">
        <v>20</v>
      </c>
      <c r="E44" s="9">
        <f t="shared" ref="E44:R44" si="16">IF(E43="","",E43/3%*1%)</f>
        <v>5.6666666666667831E-4</v>
      </c>
      <c r="F44" s="9">
        <f t="shared" si="16"/>
        <v>7.3333333333332673E-4</v>
      </c>
      <c r="G44" s="9">
        <f t="shared" si="16"/>
        <v>1.0000000000000009E-3</v>
      </c>
      <c r="H44" s="9">
        <f t="shared" si="16"/>
        <v>6.666666666666674E-4</v>
      </c>
      <c r="I44" s="9">
        <f t="shared" si="16"/>
        <v>6.666666666666674E-4</v>
      </c>
      <c r="J44" s="9">
        <f t="shared" si="16"/>
        <v>6.666666666666674E-4</v>
      </c>
      <c r="K44" s="9">
        <f t="shared" si="16"/>
        <v>6.666666666666674E-4</v>
      </c>
      <c r="L44" s="9">
        <f t="shared" si="16"/>
        <v>6.666666666666674E-4</v>
      </c>
      <c r="M44" s="9">
        <f t="shared" si="16"/>
        <v>3.333333333333337E-4</v>
      </c>
      <c r="N44" s="9">
        <f t="shared" si="16"/>
        <v>3.333333333333337E-4</v>
      </c>
      <c r="O44" s="9">
        <f t="shared" si="16"/>
        <v>3.333333333333337E-4</v>
      </c>
      <c r="P44" s="9">
        <f t="shared" si="16"/>
        <v>3.333333333333337E-4</v>
      </c>
      <c r="Q44" s="9">
        <f t="shared" si="16"/>
        <v>3.0000000000000399E-4</v>
      </c>
      <c r="R44" s="9">
        <f t="shared" si="16"/>
        <v>5.5897435897434011E-4</v>
      </c>
    </row>
    <row r="45" spans="3:18" x14ac:dyDescent="0.3">
      <c r="C45" s="19"/>
      <c r="D45" s="10" t="s">
        <v>21</v>
      </c>
      <c r="E45" s="11">
        <f t="shared" ref="E45:Q45" si="17">IF(OR(E40="",E44=""),"",E40*E44)</f>
        <v>140635.36543376048</v>
      </c>
      <c r="F45" s="11">
        <f t="shared" si="17"/>
        <v>160042.9666394752</v>
      </c>
      <c r="G45" s="11">
        <f t="shared" si="17"/>
        <v>164275.70455504523</v>
      </c>
      <c r="H45" s="11">
        <f t="shared" si="17"/>
        <v>77064.98885332502</v>
      </c>
      <c r="I45" s="11">
        <f t="shared" si="17"/>
        <v>98194.460593329524</v>
      </c>
      <c r="J45" s="11">
        <f t="shared" si="17"/>
        <v>126941.36398001086</v>
      </c>
      <c r="K45" s="11">
        <f t="shared" si="17"/>
        <v>132655.52085328597</v>
      </c>
      <c r="L45" s="11">
        <f t="shared" si="17"/>
        <v>158779.40489342736</v>
      </c>
      <c r="M45" s="11">
        <f t="shared" si="17"/>
        <v>73333.333333333416</v>
      </c>
      <c r="N45" s="11">
        <f t="shared" si="17"/>
        <v>82496.390873801094</v>
      </c>
      <c r="O45" s="11">
        <f t="shared" si="17"/>
        <v>90108.758639957421</v>
      </c>
      <c r="P45" s="11">
        <f t="shared" si="17"/>
        <v>92741.949842190428</v>
      </c>
      <c r="Q45" s="11">
        <f t="shared" si="17"/>
        <v>85461.000000001135</v>
      </c>
      <c r="R45" s="11">
        <f>IF(COUNT(E45:Q45)=0,"",SUM(E45:Q45))</f>
        <v>1482731.2084909433</v>
      </c>
    </row>
    <row r="46" spans="3:18" x14ac:dyDescent="0.3">
      <c r="C46" s="4"/>
      <c r="D46" s="4"/>
      <c r="E46" s="5" t="s">
        <v>1</v>
      </c>
      <c r="F46" s="5" t="s">
        <v>2</v>
      </c>
      <c r="G46" s="5" t="s">
        <v>3</v>
      </c>
      <c r="H46" s="5" t="s">
        <v>4</v>
      </c>
      <c r="I46" s="5" t="s">
        <v>5</v>
      </c>
      <c r="J46" s="5" t="s">
        <v>6</v>
      </c>
      <c r="K46" s="5" t="s">
        <v>7</v>
      </c>
      <c r="L46" s="5" t="s">
        <v>8</v>
      </c>
      <c r="M46" s="5" t="s">
        <v>9</v>
      </c>
      <c r="N46" s="5" t="s">
        <v>10</v>
      </c>
      <c r="O46" s="5" t="s">
        <v>11</v>
      </c>
      <c r="P46" s="5" t="s">
        <v>12</v>
      </c>
      <c r="Q46" s="5" t="s">
        <v>13</v>
      </c>
      <c r="R46" s="5" t="s">
        <v>14</v>
      </c>
    </row>
    <row r="47" spans="3:18" x14ac:dyDescent="0.3">
      <c r="C47" s="17" t="s">
        <v>27</v>
      </c>
      <c r="D47" s="4" t="s">
        <v>16</v>
      </c>
      <c r="E47" s="6">
        <v>134530839.8400026</v>
      </c>
      <c r="F47" s="6">
        <v>241934645.04000771</v>
      </c>
      <c r="G47" s="6">
        <v>200384171.25000781</v>
      </c>
      <c r="H47" s="6">
        <v>137277833.30999541</v>
      </c>
      <c r="I47" s="6">
        <v>174489210.4700048</v>
      </c>
      <c r="J47" s="6">
        <v>181935033.2399973</v>
      </c>
      <c r="K47" s="6">
        <v>186710479.00999689</v>
      </c>
      <c r="L47" s="6">
        <v>184332104.44000781</v>
      </c>
      <c r="M47" s="6">
        <v>173777691.72799999</v>
      </c>
      <c r="N47" s="6">
        <v>185713425.99399999</v>
      </c>
      <c r="O47" s="6">
        <v>186705634.68399999</v>
      </c>
      <c r="P47" s="6">
        <v>187885609.63999999</v>
      </c>
      <c r="Q47" s="6">
        <v>187885609.63999999</v>
      </c>
      <c r="R47" s="7">
        <f>IF(COUNT(E47:Q47)=0,"",SUM(E47:Q47))</f>
        <v>2363562288.2860203</v>
      </c>
    </row>
    <row r="48" spans="3:18" x14ac:dyDescent="0.3">
      <c r="C48" s="18"/>
      <c r="D48" s="4" t="s">
        <v>17</v>
      </c>
      <c r="E48" s="8">
        <v>0.9577</v>
      </c>
      <c r="F48" s="8">
        <v>0.95169999999999999</v>
      </c>
      <c r="G48" s="8">
        <v>0.97829999999999995</v>
      </c>
      <c r="H48" s="8">
        <v>0.83740000000000003</v>
      </c>
      <c r="I48" s="8">
        <v>0.92230000000000001</v>
      </c>
      <c r="J48" s="8">
        <v>0.88829999999999998</v>
      </c>
      <c r="K48" s="8">
        <v>0.97950000000000004</v>
      </c>
      <c r="L48" s="8">
        <v>0.94450000000000001</v>
      </c>
      <c r="M48" s="9">
        <v>0.94450000000000001</v>
      </c>
      <c r="N48" s="9">
        <v>0.94450000000000001</v>
      </c>
      <c r="O48" s="9">
        <v>0.94550000000000001</v>
      </c>
      <c r="P48" s="9">
        <v>0.94620000000000004</v>
      </c>
      <c r="Q48" s="9">
        <v>0.94750000000000001</v>
      </c>
      <c r="R48" s="8">
        <f>IF(COUNT(E48:Q48)=0,"",AVERAGE(E48:Q48))</f>
        <v>0.93753076923076917</v>
      </c>
    </row>
    <row r="49" spans="3:18" x14ac:dyDescent="0.3">
      <c r="C49" s="18"/>
      <c r="D49" s="4" t="s">
        <v>18</v>
      </c>
      <c r="E49" s="9">
        <v>0.9587</v>
      </c>
      <c r="F49" s="9">
        <v>0.95269999999999999</v>
      </c>
      <c r="G49" s="9">
        <v>0.97829999999999995</v>
      </c>
      <c r="H49" s="9">
        <v>0.84740000000000004</v>
      </c>
      <c r="I49" s="9">
        <v>0.92230000000000001</v>
      </c>
      <c r="J49" s="9">
        <v>0.88829999999999998</v>
      </c>
      <c r="K49" s="9">
        <v>0.98</v>
      </c>
      <c r="L49" s="9">
        <v>0.94650000000000001</v>
      </c>
      <c r="M49" s="9">
        <v>0.94650000000000001</v>
      </c>
      <c r="N49" s="9">
        <v>0.94650000000000001</v>
      </c>
      <c r="O49" s="9">
        <v>0.94750000000000001</v>
      </c>
      <c r="P49" s="9">
        <v>0.94820000000000004</v>
      </c>
      <c r="Q49" s="9">
        <v>0.94950000000000001</v>
      </c>
      <c r="R49" s="9">
        <f>IF(COUNT(E49:Q49)=0,"",AVERAGE(E49:Q49))</f>
        <v>0.93941538461538465</v>
      </c>
    </row>
    <row r="50" spans="3:18" x14ac:dyDescent="0.3">
      <c r="C50" s="18"/>
      <c r="D50" s="4" t="s">
        <v>19</v>
      </c>
      <c r="E50" s="9">
        <f t="shared" ref="E50:R50" si="18">IF(OR(E48="",E49=""),"",E49-E48)</f>
        <v>1.0000000000000009E-3</v>
      </c>
      <c r="F50" s="9">
        <f t="shared" si="18"/>
        <v>1.0000000000000009E-3</v>
      </c>
      <c r="G50" s="9">
        <f t="shared" si="18"/>
        <v>0</v>
      </c>
      <c r="H50" s="9">
        <f t="shared" si="18"/>
        <v>1.0000000000000009E-2</v>
      </c>
      <c r="I50" s="9">
        <f t="shared" si="18"/>
        <v>0</v>
      </c>
      <c r="J50" s="9">
        <f t="shared" si="18"/>
        <v>0</v>
      </c>
      <c r="K50" s="9">
        <f t="shared" si="18"/>
        <v>4.9999999999994493E-4</v>
      </c>
      <c r="L50" s="9">
        <f t="shared" si="18"/>
        <v>2.0000000000000018E-3</v>
      </c>
      <c r="M50" s="9">
        <f t="shared" si="18"/>
        <v>2.0000000000000018E-3</v>
      </c>
      <c r="N50" s="9">
        <f t="shared" si="18"/>
        <v>2.0000000000000018E-3</v>
      </c>
      <c r="O50" s="9">
        <f t="shared" si="18"/>
        <v>2.0000000000000018E-3</v>
      </c>
      <c r="P50" s="9">
        <f t="shared" si="18"/>
        <v>2.0000000000000018E-3</v>
      </c>
      <c r="Q50" s="9">
        <f t="shared" si="18"/>
        <v>2.0000000000000018E-3</v>
      </c>
      <c r="R50" s="9">
        <f t="shared" si="18"/>
        <v>1.8846153846154845E-3</v>
      </c>
    </row>
    <row r="51" spans="3:18" x14ac:dyDescent="0.3">
      <c r="C51" s="18"/>
      <c r="D51" s="4" t="s">
        <v>20</v>
      </c>
      <c r="E51" s="9">
        <f t="shared" ref="E51:R51" si="19">IF(E50="","",E50/3%*1%)</f>
        <v>3.333333333333337E-4</v>
      </c>
      <c r="F51" s="9">
        <f t="shared" si="19"/>
        <v>3.333333333333337E-4</v>
      </c>
      <c r="G51" s="9">
        <f t="shared" si="19"/>
        <v>0</v>
      </c>
      <c r="H51" s="9">
        <f t="shared" si="19"/>
        <v>3.3333333333333366E-3</v>
      </c>
      <c r="I51" s="9">
        <f t="shared" si="19"/>
        <v>0</v>
      </c>
      <c r="J51" s="9">
        <f t="shared" si="19"/>
        <v>0</v>
      </c>
      <c r="K51" s="9">
        <f t="shared" si="19"/>
        <v>1.6666666666664831E-4</v>
      </c>
      <c r="L51" s="9">
        <f t="shared" si="19"/>
        <v>6.666666666666674E-4</v>
      </c>
      <c r="M51" s="9">
        <f t="shared" si="19"/>
        <v>6.666666666666674E-4</v>
      </c>
      <c r="N51" s="9">
        <f t="shared" si="19"/>
        <v>6.666666666666674E-4</v>
      </c>
      <c r="O51" s="9">
        <f t="shared" si="19"/>
        <v>6.666666666666674E-4</v>
      </c>
      <c r="P51" s="9">
        <f t="shared" si="19"/>
        <v>6.666666666666674E-4</v>
      </c>
      <c r="Q51" s="9">
        <f t="shared" si="19"/>
        <v>6.666666666666674E-4</v>
      </c>
      <c r="R51" s="9">
        <f t="shared" si="19"/>
        <v>6.282051282051615E-4</v>
      </c>
    </row>
    <row r="52" spans="3:18" x14ac:dyDescent="0.3">
      <c r="C52" s="19"/>
      <c r="D52" s="10" t="s">
        <v>21</v>
      </c>
      <c r="E52" s="11">
        <f t="shared" ref="E52:Q52" si="20">IF(OR(E47="",E51=""),"",E47*E51)</f>
        <v>44843.613280000915</v>
      </c>
      <c r="F52" s="11">
        <f t="shared" si="20"/>
        <v>80644.881680002654</v>
      </c>
      <c r="G52" s="11">
        <f t="shared" si="20"/>
        <v>0</v>
      </c>
      <c r="H52" s="11">
        <f t="shared" si="20"/>
        <v>457592.77769998513</v>
      </c>
      <c r="I52" s="11">
        <f t="shared" si="20"/>
        <v>0</v>
      </c>
      <c r="J52" s="11">
        <f t="shared" si="20"/>
        <v>0</v>
      </c>
      <c r="K52" s="11">
        <f t="shared" si="20"/>
        <v>31118.413168329389</v>
      </c>
      <c r="L52" s="11">
        <f t="shared" si="20"/>
        <v>122888.069626672</v>
      </c>
      <c r="M52" s="11">
        <f t="shared" si="20"/>
        <v>115851.79448533345</v>
      </c>
      <c r="N52" s="11">
        <f t="shared" si="20"/>
        <v>123808.9506626668</v>
      </c>
      <c r="O52" s="11">
        <f t="shared" si="20"/>
        <v>124470.42312266679</v>
      </c>
      <c r="P52" s="11">
        <f t="shared" si="20"/>
        <v>125257.07309333346</v>
      </c>
      <c r="Q52" s="11">
        <f t="shared" si="20"/>
        <v>125257.07309333346</v>
      </c>
      <c r="R52" s="11">
        <f>IF(COUNT(E52:Q52)=0,"",SUM(E52:Q52))</f>
        <v>1351733.0699123242</v>
      </c>
    </row>
    <row r="53" spans="3:18" x14ac:dyDescent="0.3">
      <c r="C53" s="4"/>
      <c r="D53" s="4"/>
      <c r="E53" s="5" t="s">
        <v>1</v>
      </c>
      <c r="F53" s="5" t="s">
        <v>2</v>
      </c>
      <c r="G53" s="5" t="s">
        <v>3</v>
      </c>
      <c r="H53" s="5" t="s">
        <v>4</v>
      </c>
      <c r="I53" s="5" t="s">
        <v>5</v>
      </c>
      <c r="J53" s="5" t="s">
        <v>6</v>
      </c>
      <c r="K53" s="5" t="s">
        <v>7</v>
      </c>
      <c r="L53" s="5" t="s">
        <v>8</v>
      </c>
      <c r="M53" s="5" t="s">
        <v>9</v>
      </c>
      <c r="N53" s="5" t="s">
        <v>10</v>
      </c>
      <c r="O53" s="5" t="s">
        <v>11</v>
      </c>
      <c r="P53" s="5" t="s">
        <v>12</v>
      </c>
      <c r="Q53" s="5" t="s">
        <v>13</v>
      </c>
      <c r="R53" s="5" t="s">
        <v>14</v>
      </c>
    </row>
    <row r="54" spans="3:18" x14ac:dyDescent="0.3">
      <c r="C54" s="17" t="s">
        <v>28</v>
      </c>
      <c r="D54" s="4" t="s">
        <v>16</v>
      </c>
      <c r="E54" s="6">
        <v>59099505.989999987</v>
      </c>
      <c r="F54" s="6">
        <v>59719425.979999967</v>
      </c>
      <c r="G54" s="6">
        <v>58254078.079999991</v>
      </c>
      <c r="H54" s="6">
        <v>56409517.553165972</v>
      </c>
      <c r="I54" s="6">
        <v>54978213.949999988</v>
      </c>
      <c r="J54" s="6">
        <v>57525917.609999992</v>
      </c>
      <c r="K54" s="6">
        <v>58668022.530000001</v>
      </c>
      <c r="L54" s="6">
        <v>59446955.18999999</v>
      </c>
      <c r="M54" s="6">
        <v>59500000.002632052</v>
      </c>
      <c r="N54" s="6">
        <v>47771626.73563876</v>
      </c>
      <c r="O54" s="6">
        <v>47161676.317513607</v>
      </c>
      <c r="P54" s="6">
        <v>45404361.105597749</v>
      </c>
      <c r="Q54" s="6">
        <v>46905267.93282789</v>
      </c>
      <c r="R54" s="7">
        <f>IF(COUNT(E54:Q54)=0,"",SUM(E54:Q54))</f>
        <v>710844568.97737598</v>
      </c>
    </row>
    <row r="55" spans="3:18" x14ac:dyDescent="0.3">
      <c r="C55" s="18"/>
      <c r="D55" s="4" t="s">
        <v>17</v>
      </c>
      <c r="E55" s="9">
        <v>0.88270000000000004</v>
      </c>
      <c r="F55" s="9">
        <v>0.88400000000000001</v>
      </c>
      <c r="G55" s="9">
        <v>0.88729999999999998</v>
      </c>
      <c r="H55" s="9">
        <v>0.89019999999999999</v>
      </c>
      <c r="I55" s="9">
        <v>0.89019999999999999</v>
      </c>
      <c r="J55" s="8">
        <v>0.78649999999999998</v>
      </c>
      <c r="K55" s="9">
        <v>0.89019999999999999</v>
      </c>
      <c r="L55" s="8">
        <v>0.88119999999999998</v>
      </c>
      <c r="M55" s="9">
        <v>0.89190000000000003</v>
      </c>
      <c r="N55" s="9">
        <v>0.89390000000000003</v>
      </c>
      <c r="O55" s="9">
        <v>0.89400000000000002</v>
      </c>
      <c r="P55" s="9">
        <v>0.89400000000000002</v>
      </c>
      <c r="Q55" s="9">
        <v>0.89400000000000002</v>
      </c>
      <c r="R55" s="8">
        <f>IF(COUNT(E55:Q55)=0,"",AVERAGE(E55:Q55))</f>
        <v>0.88154615384615387</v>
      </c>
    </row>
    <row r="56" spans="3:18" x14ac:dyDescent="0.3">
      <c r="C56" s="18"/>
      <c r="D56" s="4" t="s">
        <v>18</v>
      </c>
      <c r="E56" s="9">
        <v>0.88590000000000002</v>
      </c>
      <c r="F56" s="9">
        <v>0.88859999999999995</v>
      </c>
      <c r="G56" s="9">
        <v>0.89229999999999998</v>
      </c>
      <c r="H56" s="9">
        <v>0.8952</v>
      </c>
      <c r="I56" s="9">
        <v>0.8952</v>
      </c>
      <c r="J56" s="9">
        <v>0.80149999999999999</v>
      </c>
      <c r="K56" s="9">
        <v>0.89019999999999999</v>
      </c>
      <c r="L56" s="9">
        <v>0.88360000000000005</v>
      </c>
      <c r="M56" s="9">
        <v>0.89590000000000003</v>
      </c>
      <c r="N56" s="9">
        <v>0.89890000000000003</v>
      </c>
      <c r="O56" s="9">
        <v>0.89900000000000002</v>
      </c>
      <c r="P56" s="9">
        <v>0.89900000000000002</v>
      </c>
      <c r="Q56" s="9">
        <v>0.89900000000000002</v>
      </c>
      <c r="R56" s="9">
        <f>IF(COUNT(E56:Q56)=0,"",AVERAGE(E56:Q56))</f>
        <v>0.88648461538461565</v>
      </c>
    </row>
    <row r="57" spans="3:18" x14ac:dyDescent="0.3">
      <c r="C57" s="18"/>
      <c r="D57" s="4" t="s">
        <v>19</v>
      </c>
      <c r="E57" s="9">
        <f t="shared" ref="E57:R57" si="21">IF(OR(E55="",E56=""),"",E56-E55)</f>
        <v>3.1999999999999806E-3</v>
      </c>
      <c r="F57" s="9">
        <f t="shared" si="21"/>
        <v>4.5999999999999375E-3</v>
      </c>
      <c r="G57" s="9">
        <f t="shared" si="21"/>
        <v>5.0000000000000044E-3</v>
      </c>
      <c r="H57" s="9">
        <f t="shared" si="21"/>
        <v>5.0000000000000044E-3</v>
      </c>
      <c r="I57" s="9">
        <f t="shared" si="21"/>
        <v>5.0000000000000044E-3</v>
      </c>
      <c r="J57" s="9">
        <f t="shared" si="21"/>
        <v>1.5000000000000013E-2</v>
      </c>
      <c r="K57" s="9">
        <f t="shared" si="21"/>
        <v>0</v>
      </c>
      <c r="L57" s="9">
        <f t="shared" si="21"/>
        <v>2.4000000000000687E-3</v>
      </c>
      <c r="M57" s="9">
        <f t="shared" si="21"/>
        <v>4.0000000000000036E-3</v>
      </c>
      <c r="N57" s="9">
        <f t="shared" si="21"/>
        <v>5.0000000000000044E-3</v>
      </c>
      <c r="O57" s="9">
        <f t="shared" si="21"/>
        <v>5.0000000000000044E-3</v>
      </c>
      <c r="P57" s="9">
        <f t="shared" si="21"/>
        <v>5.0000000000000044E-3</v>
      </c>
      <c r="Q57" s="9">
        <f t="shared" si="21"/>
        <v>5.0000000000000044E-3</v>
      </c>
      <c r="R57" s="9">
        <f t="shared" si="21"/>
        <v>4.9384615384617803E-3</v>
      </c>
    </row>
    <row r="58" spans="3:18" x14ac:dyDescent="0.3">
      <c r="C58" s="18"/>
      <c r="D58" s="4" t="s">
        <v>20</v>
      </c>
      <c r="E58" s="9">
        <f t="shared" ref="E58:R58" si="22">IF(E57="","",E57/3%*1%)</f>
        <v>1.0666666666666602E-3</v>
      </c>
      <c r="F58" s="9">
        <f t="shared" si="22"/>
        <v>1.5333333333333128E-3</v>
      </c>
      <c r="G58" s="9">
        <f t="shared" si="22"/>
        <v>1.6666666666666683E-3</v>
      </c>
      <c r="H58" s="9">
        <f t="shared" si="22"/>
        <v>1.6666666666666683E-3</v>
      </c>
      <c r="I58" s="9">
        <f t="shared" si="22"/>
        <v>1.6666666666666683E-3</v>
      </c>
      <c r="J58" s="9">
        <f t="shared" si="22"/>
        <v>5.0000000000000044E-3</v>
      </c>
      <c r="K58" s="9">
        <f t="shared" si="22"/>
        <v>0</v>
      </c>
      <c r="L58" s="9">
        <f t="shared" si="22"/>
        <v>8.0000000000002292E-4</v>
      </c>
      <c r="M58" s="9">
        <f t="shared" si="22"/>
        <v>1.3333333333333348E-3</v>
      </c>
      <c r="N58" s="9">
        <f t="shared" si="22"/>
        <v>1.6666666666666683E-3</v>
      </c>
      <c r="O58" s="9">
        <f t="shared" si="22"/>
        <v>1.6666666666666683E-3</v>
      </c>
      <c r="P58" s="9">
        <f t="shared" si="22"/>
        <v>1.6666666666666683E-3</v>
      </c>
      <c r="Q58" s="9">
        <f t="shared" si="22"/>
        <v>1.6666666666666683E-3</v>
      </c>
      <c r="R58" s="9">
        <f t="shared" si="22"/>
        <v>1.6461538461539269E-3</v>
      </c>
    </row>
    <row r="59" spans="3:18" x14ac:dyDescent="0.3">
      <c r="C59" s="19"/>
      <c r="D59" s="10" t="s">
        <v>21</v>
      </c>
      <c r="E59" s="11">
        <f t="shared" ref="E59:Q59" si="23">IF(OR(E54="",E58=""),"",E54*E58)</f>
        <v>63039.473055999602</v>
      </c>
      <c r="F59" s="11">
        <f t="shared" si="23"/>
        <v>91569.786502665389</v>
      </c>
      <c r="G59" s="11">
        <f t="shared" si="23"/>
        <v>97090.130133333412</v>
      </c>
      <c r="H59" s="11">
        <f t="shared" si="23"/>
        <v>94015.862588610049</v>
      </c>
      <c r="I59" s="11">
        <f t="shared" si="23"/>
        <v>91630.3565833334</v>
      </c>
      <c r="J59" s="11">
        <f t="shared" si="23"/>
        <v>287629.58805000019</v>
      </c>
      <c r="K59" s="11">
        <f t="shared" si="23"/>
        <v>0</v>
      </c>
      <c r="L59" s="11">
        <f t="shared" si="23"/>
        <v>47557.564152001352</v>
      </c>
      <c r="M59" s="11">
        <f t="shared" si="23"/>
        <v>79333.333336842828</v>
      </c>
      <c r="N59" s="11">
        <f t="shared" si="23"/>
        <v>79619.37789273134</v>
      </c>
      <c r="O59" s="11">
        <f t="shared" si="23"/>
        <v>78602.793862522754</v>
      </c>
      <c r="P59" s="11">
        <f t="shared" si="23"/>
        <v>75673.935175996317</v>
      </c>
      <c r="Q59" s="11">
        <f t="shared" si="23"/>
        <v>78175.446554713228</v>
      </c>
      <c r="R59" s="11">
        <f>IF(COUNT(E59:Q59)=0,"",SUM(E59:Q59))</f>
        <v>1163937.6478887498</v>
      </c>
    </row>
    <row r="61" spans="3:18" x14ac:dyDescent="0.3">
      <c r="C61" s="1" t="s">
        <v>29</v>
      </c>
      <c r="D61" s="2"/>
      <c r="E61" s="3">
        <v>462537631.86484379</v>
      </c>
      <c r="F61" s="3">
        <v>479687026.5130347</v>
      </c>
      <c r="G61" s="3">
        <v>380263426.52510238</v>
      </c>
      <c r="H61" s="3">
        <v>312613933.40400368</v>
      </c>
      <c r="I61" s="3">
        <v>350053458.02140731</v>
      </c>
      <c r="J61" s="3">
        <v>385411124.62434173</v>
      </c>
      <c r="K61" s="3">
        <v>362726175.11089402</v>
      </c>
      <c r="L61" s="3">
        <v>434944505.54799002</v>
      </c>
      <c r="M61" s="3">
        <v>445657500.43408179</v>
      </c>
      <c r="N61" s="3">
        <v>465135582.28058469</v>
      </c>
      <c r="O61" s="3">
        <v>496974183.97377688</v>
      </c>
      <c r="P61" s="3">
        <v>482339902.24322009</v>
      </c>
      <c r="Q61" s="3">
        <v>561248797.47842503</v>
      </c>
      <c r="R61" s="3">
        <v>5619593248.0217056</v>
      </c>
    </row>
    <row r="62" spans="3:18" x14ac:dyDescent="0.3">
      <c r="C62" s="4"/>
      <c r="D62" s="4"/>
      <c r="E62" s="5" t="s">
        <v>1</v>
      </c>
      <c r="F62" s="5" t="s">
        <v>2</v>
      </c>
      <c r="G62" s="5" t="s">
        <v>3</v>
      </c>
      <c r="H62" s="5" t="s">
        <v>4</v>
      </c>
      <c r="I62" s="5" t="s">
        <v>5</v>
      </c>
      <c r="J62" s="5" t="s">
        <v>6</v>
      </c>
      <c r="K62" s="5" t="s">
        <v>7</v>
      </c>
      <c r="L62" s="5" t="s">
        <v>8</v>
      </c>
      <c r="M62" s="5" t="s">
        <v>9</v>
      </c>
      <c r="N62" s="5" t="s">
        <v>10</v>
      </c>
      <c r="O62" s="5" t="s">
        <v>11</v>
      </c>
      <c r="P62" s="5" t="s">
        <v>12</v>
      </c>
      <c r="Q62" s="5" t="s">
        <v>13</v>
      </c>
      <c r="R62" s="5" t="s">
        <v>14</v>
      </c>
    </row>
    <row r="63" spans="3:18" x14ac:dyDescent="0.3">
      <c r="C63" s="17" t="s">
        <v>30</v>
      </c>
      <c r="D63" s="4" t="s">
        <v>16</v>
      </c>
      <c r="E63" s="6">
        <v>11455190.24999998</v>
      </c>
      <c r="F63" s="6">
        <v>16794977.53999998</v>
      </c>
      <c r="G63" s="6">
        <v>22628371.790000081</v>
      </c>
      <c r="H63" s="6">
        <v>14216102.359999999</v>
      </c>
      <c r="I63" s="6">
        <v>9001228.0400000066</v>
      </c>
      <c r="J63" s="6">
        <v>32777864.310000081</v>
      </c>
      <c r="K63" s="6">
        <v>2434307.94</v>
      </c>
      <c r="L63" s="6">
        <v>2831100.51</v>
      </c>
      <c r="M63" s="6">
        <v>12455190.25</v>
      </c>
      <c r="N63" s="6">
        <v>16394977.539999999</v>
      </c>
      <c r="O63" s="6">
        <v>14216102.359999999</v>
      </c>
      <c r="P63" s="6">
        <v>10001228.039999999</v>
      </c>
      <c r="Q63" s="6">
        <v>16794977.53999998</v>
      </c>
      <c r="R63" s="7">
        <f>IF(COUNT(E63:Q63)=0,"",SUM(E63:Q63))</f>
        <v>182001618.47000009</v>
      </c>
    </row>
    <row r="64" spans="3:18" x14ac:dyDescent="0.3">
      <c r="C64" s="18"/>
      <c r="D64" s="4" t="s">
        <v>17</v>
      </c>
      <c r="E64" s="8">
        <v>0.95209999999999995</v>
      </c>
      <c r="F64" s="8">
        <v>0.96250000000000002</v>
      </c>
      <c r="G64" s="8">
        <v>0.98680000000000001</v>
      </c>
      <c r="H64" s="8">
        <v>0.9819</v>
      </c>
      <c r="I64" s="8">
        <v>0.97870000000000001</v>
      </c>
      <c r="J64" s="8">
        <v>0.97340000000000004</v>
      </c>
      <c r="K64" s="8">
        <v>0.99570000000000003</v>
      </c>
      <c r="L64" s="8">
        <v>0.93189999999999995</v>
      </c>
      <c r="M64" s="9">
        <v>0.93189999999999995</v>
      </c>
      <c r="N64" s="9">
        <v>0.93189999999999995</v>
      </c>
      <c r="O64" s="9">
        <v>0.93189999999999995</v>
      </c>
      <c r="P64" s="9">
        <v>0.93389999999999995</v>
      </c>
      <c r="Q64" s="9">
        <v>0.93589999999999995</v>
      </c>
      <c r="R64" s="8">
        <f>IF(COUNT(E64:Q64)=0,"",AVERAGE(E64:Q64))</f>
        <v>0.95603846153846161</v>
      </c>
    </row>
    <row r="65" spans="3:18" x14ac:dyDescent="0.3">
      <c r="C65" s="18"/>
      <c r="D65" s="4" t="s">
        <v>18</v>
      </c>
      <c r="E65" s="9">
        <v>0.95209999999999995</v>
      </c>
      <c r="F65" s="9">
        <v>0.96250000000000002</v>
      </c>
      <c r="G65" s="9">
        <v>0.98</v>
      </c>
      <c r="H65" s="9">
        <v>0.98</v>
      </c>
      <c r="I65" s="9">
        <v>0.97960000000000003</v>
      </c>
      <c r="J65" s="9">
        <v>0.97440000000000004</v>
      </c>
      <c r="K65" s="9">
        <v>0.98</v>
      </c>
      <c r="L65" s="9">
        <v>0.93189999999999995</v>
      </c>
      <c r="M65" s="9">
        <v>0.93189999999999995</v>
      </c>
      <c r="N65" s="9">
        <v>0.93279999999999996</v>
      </c>
      <c r="O65" s="9">
        <v>0.93359999999999999</v>
      </c>
      <c r="P65" s="9">
        <v>0.93589999999999995</v>
      </c>
      <c r="Q65" s="9">
        <v>0.93789999999999996</v>
      </c>
      <c r="R65" s="9">
        <f>IF(COUNT(E65:Q65)=0,"",AVERAGE(E65:Q65))</f>
        <v>0.95481538461538473</v>
      </c>
    </row>
    <row r="66" spans="3:18" x14ac:dyDescent="0.3">
      <c r="C66" s="18"/>
      <c r="D66" s="4" t="s">
        <v>19</v>
      </c>
      <c r="E66" s="9">
        <f t="shared" ref="E66:R66" si="24">IF(OR(E64="",E65=""),"",E65-E64)</f>
        <v>0</v>
      </c>
      <c r="F66" s="9">
        <f t="shared" si="24"/>
        <v>0</v>
      </c>
      <c r="G66" s="9">
        <f t="shared" si="24"/>
        <v>-6.8000000000000282E-3</v>
      </c>
      <c r="H66" s="9">
        <f t="shared" si="24"/>
        <v>-1.9000000000000128E-3</v>
      </c>
      <c r="I66" s="9">
        <f t="shared" si="24"/>
        <v>9.000000000000119E-4</v>
      </c>
      <c r="J66" s="9">
        <f t="shared" si="24"/>
        <v>1.0000000000000009E-3</v>
      </c>
      <c r="K66" s="9">
        <f t="shared" si="24"/>
        <v>-1.5700000000000047E-2</v>
      </c>
      <c r="L66" s="9">
        <f t="shared" si="24"/>
        <v>0</v>
      </c>
      <c r="M66" s="9">
        <f t="shared" si="24"/>
        <v>0</v>
      </c>
      <c r="N66" s="9">
        <f t="shared" si="24"/>
        <v>9.000000000000119E-4</v>
      </c>
      <c r="O66" s="9">
        <f t="shared" si="24"/>
        <v>1.7000000000000348E-3</v>
      </c>
      <c r="P66" s="9">
        <f t="shared" si="24"/>
        <v>2.0000000000000018E-3</v>
      </c>
      <c r="Q66" s="9">
        <f t="shared" si="24"/>
        <v>2.0000000000000018E-3</v>
      </c>
      <c r="R66" s="9">
        <f t="shared" si="24"/>
        <v>-1.2230769230768823E-3</v>
      </c>
    </row>
    <row r="67" spans="3:18" x14ac:dyDescent="0.3">
      <c r="C67" s="18"/>
      <c r="D67" s="4" t="s">
        <v>20</v>
      </c>
      <c r="E67" s="9">
        <f t="shared" ref="E67:R67" si="25">IF(E66="","",E66/3%*1%)</f>
        <v>0</v>
      </c>
      <c r="F67" s="9">
        <f t="shared" si="25"/>
        <v>0</v>
      </c>
      <c r="G67" s="9">
        <f t="shared" si="25"/>
        <v>-2.2666666666666764E-3</v>
      </c>
      <c r="H67" s="9">
        <f t="shared" si="25"/>
        <v>-6.3333333333333774E-4</v>
      </c>
      <c r="I67" s="9">
        <f t="shared" si="25"/>
        <v>3.0000000000000399E-4</v>
      </c>
      <c r="J67" s="9">
        <f t="shared" si="25"/>
        <v>3.333333333333337E-4</v>
      </c>
      <c r="K67" s="9">
        <f t="shared" si="25"/>
        <v>-5.2333333333333502E-3</v>
      </c>
      <c r="L67" s="9">
        <f t="shared" si="25"/>
        <v>0</v>
      </c>
      <c r="M67" s="9">
        <f t="shared" si="25"/>
        <v>0</v>
      </c>
      <c r="N67" s="9">
        <f t="shared" si="25"/>
        <v>3.0000000000000399E-4</v>
      </c>
      <c r="O67" s="9">
        <f t="shared" si="25"/>
        <v>5.6666666666667831E-4</v>
      </c>
      <c r="P67" s="9">
        <f t="shared" si="25"/>
        <v>6.666666666666674E-4</v>
      </c>
      <c r="Q67" s="9">
        <f t="shared" si="25"/>
        <v>6.666666666666674E-4</v>
      </c>
      <c r="R67" s="9">
        <f t="shared" si="25"/>
        <v>-4.0769230769229414E-4</v>
      </c>
    </row>
    <row r="68" spans="3:18" x14ac:dyDescent="0.3">
      <c r="C68" s="19"/>
      <c r="D68" s="10" t="s">
        <v>21</v>
      </c>
      <c r="E68" s="11">
        <f t="shared" ref="E68:Q68" si="26">IF(OR(E63="",E67=""),"",E63*E67)</f>
        <v>0</v>
      </c>
      <c r="F68" s="11">
        <f t="shared" si="26"/>
        <v>0</v>
      </c>
      <c r="G68" s="11">
        <f t="shared" si="26"/>
        <v>-51290.976057333733</v>
      </c>
      <c r="H68" s="11">
        <f t="shared" si="26"/>
        <v>-9003.5314946667295</v>
      </c>
      <c r="I68" s="11">
        <f t="shared" si="26"/>
        <v>2700.368412000038</v>
      </c>
      <c r="J68" s="11">
        <f t="shared" si="26"/>
        <v>10925.954770000038</v>
      </c>
      <c r="K68" s="11">
        <f t="shared" si="26"/>
        <v>-12739.544886000042</v>
      </c>
      <c r="L68" s="11">
        <f t="shared" si="26"/>
        <v>0</v>
      </c>
      <c r="M68" s="11">
        <f t="shared" si="26"/>
        <v>0</v>
      </c>
      <c r="N68" s="11">
        <f t="shared" si="26"/>
        <v>4918.4932620000654</v>
      </c>
      <c r="O68" s="11">
        <f t="shared" si="26"/>
        <v>8055.7913373334986</v>
      </c>
      <c r="P68" s="11">
        <f t="shared" si="26"/>
        <v>6667.4853600000069</v>
      </c>
      <c r="Q68" s="11">
        <f t="shared" si="26"/>
        <v>11196.651693333333</v>
      </c>
      <c r="R68" s="11">
        <f>IF(COUNT(E68:Q68)=0,"",SUM(E68:Q68))</f>
        <v>-28569.307603333516</v>
      </c>
    </row>
    <row r="69" spans="3:18" x14ac:dyDescent="0.3">
      <c r="C69" s="4"/>
      <c r="D69" s="4"/>
      <c r="E69" s="5" t="s">
        <v>1</v>
      </c>
      <c r="F69" s="5" t="s">
        <v>2</v>
      </c>
      <c r="G69" s="5" t="s">
        <v>3</v>
      </c>
      <c r="H69" s="5" t="s">
        <v>4</v>
      </c>
      <c r="I69" s="5" t="s">
        <v>5</v>
      </c>
      <c r="J69" s="5" t="s">
        <v>6</v>
      </c>
      <c r="K69" s="5" t="s">
        <v>7</v>
      </c>
      <c r="L69" s="5" t="s">
        <v>8</v>
      </c>
      <c r="M69" s="5" t="s">
        <v>9</v>
      </c>
      <c r="N69" s="5" t="s">
        <v>10</v>
      </c>
      <c r="O69" s="5" t="s">
        <v>11</v>
      </c>
      <c r="P69" s="5" t="s">
        <v>12</v>
      </c>
      <c r="Q69" s="5" t="s">
        <v>13</v>
      </c>
      <c r="R69" s="5" t="s">
        <v>14</v>
      </c>
    </row>
    <row r="70" spans="3:18" x14ac:dyDescent="0.3">
      <c r="C70" s="17" t="s">
        <v>31</v>
      </c>
      <c r="D70" s="4" t="s">
        <v>16</v>
      </c>
      <c r="E70" s="6">
        <v>23426958.659346271</v>
      </c>
      <c r="F70" s="6">
        <v>24174476.554652922</v>
      </c>
      <c r="G70" s="6">
        <v>24846471.794297211</v>
      </c>
      <c r="H70" s="6">
        <v>24752957.7408503</v>
      </c>
      <c r="I70" s="6">
        <v>24702974.81141315</v>
      </c>
      <c r="J70" s="6">
        <v>25877827.134325601</v>
      </c>
      <c r="K70" s="6">
        <v>24795449.69096522</v>
      </c>
      <c r="L70" s="6">
        <v>26112063.17784927</v>
      </c>
      <c r="M70" s="6">
        <v>27402310.181449808</v>
      </c>
      <c r="N70" s="6">
        <v>25591800.401604019</v>
      </c>
      <c r="O70" s="6">
        <v>24799090.714212079</v>
      </c>
      <c r="P70" s="6">
        <v>25582013.862253498</v>
      </c>
      <c r="Q70" s="6">
        <v>27020635.146779612</v>
      </c>
      <c r="R70" s="7">
        <f>IF(COUNT(E70:Q70)=0,"",SUM(E70:Q70))</f>
        <v>329085029.86999893</v>
      </c>
    </row>
    <row r="71" spans="3:18" x14ac:dyDescent="0.3">
      <c r="C71" s="18"/>
      <c r="D71" s="4" t="s">
        <v>17</v>
      </c>
      <c r="E71" s="8">
        <v>0.92849999999999999</v>
      </c>
      <c r="F71" s="8">
        <v>0.93489999999999995</v>
      </c>
      <c r="G71" s="8">
        <v>0.96009999999999995</v>
      </c>
      <c r="H71" s="8">
        <v>0.9617</v>
      </c>
      <c r="I71" s="8">
        <v>0.95840000000000003</v>
      </c>
      <c r="J71" s="8">
        <v>0.96399999999999997</v>
      </c>
      <c r="K71" s="8">
        <v>0.96150000000000002</v>
      </c>
      <c r="L71" s="8">
        <v>0.95720000000000005</v>
      </c>
      <c r="M71" s="8">
        <v>0.95530000000000004</v>
      </c>
      <c r="N71" s="9">
        <v>0.95630000000000004</v>
      </c>
      <c r="O71" s="9">
        <v>0.95630000000000004</v>
      </c>
      <c r="P71" s="9">
        <v>0.95730000000000004</v>
      </c>
      <c r="Q71" s="9">
        <v>0.95730000000000004</v>
      </c>
      <c r="R71" s="8">
        <f>IF(COUNT(E71:Q71)=0,"",AVERAGE(E71:Q71))</f>
        <v>0.95452307692307703</v>
      </c>
    </row>
    <row r="72" spans="3:18" x14ac:dyDescent="0.3">
      <c r="C72" s="18"/>
      <c r="D72" s="4" t="s">
        <v>18</v>
      </c>
      <c r="E72" s="9">
        <v>0.93049999999999999</v>
      </c>
      <c r="F72" s="9">
        <v>0.93689999999999996</v>
      </c>
      <c r="G72" s="9">
        <v>0.96109999999999995</v>
      </c>
      <c r="H72" s="9">
        <v>0.9627</v>
      </c>
      <c r="I72" s="9">
        <v>0.95940000000000003</v>
      </c>
      <c r="J72" s="9">
        <v>0.96499999999999997</v>
      </c>
      <c r="K72" s="9">
        <v>0.96250000000000002</v>
      </c>
      <c r="L72" s="9">
        <v>0.95820000000000005</v>
      </c>
      <c r="M72" s="9">
        <v>0.95630000000000004</v>
      </c>
      <c r="N72" s="9">
        <v>0.95730000000000004</v>
      </c>
      <c r="O72" s="9">
        <v>0.95730000000000004</v>
      </c>
      <c r="P72" s="9">
        <v>0.95830000000000004</v>
      </c>
      <c r="Q72" s="9">
        <v>0.95830000000000004</v>
      </c>
      <c r="R72" s="9">
        <f>IF(COUNT(E72:Q72)=0,"",AVERAGE(E72:Q72))</f>
        <v>0.95567692307692309</v>
      </c>
    </row>
    <row r="73" spans="3:18" x14ac:dyDescent="0.3">
      <c r="C73" s="18"/>
      <c r="D73" s="4" t="s">
        <v>19</v>
      </c>
      <c r="E73" s="9">
        <f t="shared" ref="E73:R73" si="27">IF(OR(E71="",E72=""),"",E72-E71)</f>
        <v>2.0000000000000018E-3</v>
      </c>
      <c r="F73" s="9">
        <f t="shared" si="27"/>
        <v>2.0000000000000018E-3</v>
      </c>
      <c r="G73" s="9">
        <f t="shared" si="27"/>
        <v>1.0000000000000009E-3</v>
      </c>
      <c r="H73" s="9">
        <f t="shared" si="27"/>
        <v>1.0000000000000009E-3</v>
      </c>
      <c r="I73" s="9">
        <f t="shared" si="27"/>
        <v>1.0000000000000009E-3</v>
      </c>
      <c r="J73" s="9">
        <f t="shared" si="27"/>
        <v>1.0000000000000009E-3</v>
      </c>
      <c r="K73" s="9">
        <f t="shared" si="27"/>
        <v>1.0000000000000009E-3</v>
      </c>
      <c r="L73" s="9">
        <f t="shared" si="27"/>
        <v>1.0000000000000009E-3</v>
      </c>
      <c r="M73" s="9">
        <f t="shared" si="27"/>
        <v>1.0000000000000009E-3</v>
      </c>
      <c r="N73" s="9">
        <f t="shared" si="27"/>
        <v>1.0000000000000009E-3</v>
      </c>
      <c r="O73" s="9">
        <f t="shared" si="27"/>
        <v>1.0000000000000009E-3</v>
      </c>
      <c r="P73" s="9">
        <f t="shared" si="27"/>
        <v>1.0000000000000009E-3</v>
      </c>
      <c r="Q73" s="9">
        <f t="shared" si="27"/>
        <v>1.0000000000000009E-3</v>
      </c>
      <c r="R73" s="9">
        <f t="shared" si="27"/>
        <v>1.1538461538460609E-3</v>
      </c>
    </row>
    <row r="74" spans="3:18" x14ac:dyDescent="0.3">
      <c r="C74" s="18"/>
      <c r="D74" s="4" t="s">
        <v>20</v>
      </c>
      <c r="E74" s="9">
        <f t="shared" ref="E74:R74" si="28">IF(E73="","",E73/3%*1%)</f>
        <v>6.666666666666674E-4</v>
      </c>
      <c r="F74" s="9">
        <f t="shared" si="28"/>
        <v>6.666666666666674E-4</v>
      </c>
      <c r="G74" s="9">
        <f t="shared" si="28"/>
        <v>3.333333333333337E-4</v>
      </c>
      <c r="H74" s="9">
        <f t="shared" si="28"/>
        <v>3.333333333333337E-4</v>
      </c>
      <c r="I74" s="9">
        <f t="shared" si="28"/>
        <v>3.333333333333337E-4</v>
      </c>
      <c r="J74" s="9">
        <f t="shared" si="28"/>
        <v>3.333333333333337E-4</v>
      </c>
      <c r="K74" s="9">
        <f t="shared" si="28"/>
        <v>3.333333333333337E-4</v>
      </c>
      <c r="L74" s="9">
        <f t="shared" si="28"/>
        <v>3.333333333333337E-4</v>
      </c>
      <c r="M74" s="9">
        <f t="shared" si="28"/>
        <v>3.333333333333337E-4</v>
      </c>
      <c r="N74" s="9">
        <f t="shared" si="28"/>
        <v>3.333333333333337E-4</v>
      </c>
      <c r="O74" s="9">
        <f t="shared" si="28"/>
        <v>3.333333333333337E-4</v>
      </c>
      <c r="P74" s="9">
        <f t="shared" si="28"/>
        <v>3.333333333333337E-4</v>
      </c>
      <c r="Q74" s="9">
        <f t="shared" si="28"/>
        <v>3.333333333333337E-4</v>
      </c>
      <c r="R74" s="9">
        <f t="shared" si="28"/>
        <v>3.8461538461535372E-4</v>
      </c>
    </row>
    <row r="75" spans="3:18" x14ac:dyDescent="0.3">
      <c r="C75" s="19"/>
      <c r="D75" s="10" t="s">
        <v>21</v>
      </c>
      <c r="E75" s="11">
        <f t="shared" ref="E75:Q75" si="29">IF(OR(E70="",E74=""),"",E70*E74)</f>
        <v>15617.972439564199</v>
      </c>
      <c r="F75" s="11">
        <f t="shared" si="29"/>
        <v>16116.317703101966</v>
      </c>
      <c r="G75" s="11">
        <f t="shared" si="29"/>
        <v>8282.1572647657467</v>
      </c>
      <c r="H75" s="11">
        <f t="shared" si="29"/>
        <v>8250.9859136167761</v>
      </c>
      <c r="I75" s="11">
        <f t="shared" si="29"/>
        <v>8234.324937137726</v>
      </c>
      <c r="J75" s="11">
        <f t="shared" si="29"/>
        <v>8625.9423781085425</v>
      </c>
      <c r="K75" s="11">
        <f t="shared" si="29"/>
        <v>8265.149896988416</v>
      </c>
      <c r="L75" s="11">
        <f t="shared" si="29"/>
        <v>8704.021059283099</v>
      </c>
      <c r="M75" s="11">
        <f t="shared" si="29"/>
        <v>9134.1033938166129</v>
      </c>
      <c r="N75" s="11">
        <f t="shared" si="29"/>
        <v>8530.6001338680162</v>
      </c>
      <c r="O75" s="11">
        <f t="shared" si="29"/>
        <v>8266.3635714040356</v>
      </c>
      <c r="P75" s="11">
        <f t="shared" si="29"/>
        <v>8527.337954084509</v>
      </c>
      <c r="Q75" s="11">
        <f t="shared" si="29"/>
        <v>9006.8783822598798</v>
      </c>
      <c r="R75" s="11">
        <f>IF(COUNT(E75:Q75)=0,"",SUM(E75:Q75))</f>
        <v>125562.1550279995</v>
      </c>
    </row>
    <row r="76" spans="3:18" x14ac:dyDescent="0.3">
      <c r="C76" s="4"/>
      <c r="D76" s="4"/>
      <c r="E76" s="5" t="s">
        <v>1</v>
      </c>
      <c r="F76" s="5" t="s">
        <v>2</v>
      </c>
      <c r="G76" s="5" t="s">
        <v>3</v>
      </c>
      <c r="H76" s="5" t="s">
        <v>4</v>
      </c>
      <c r="I76" s="5" t="s">
        <v>5</v>
      </c>
      <c r="J76" s="5" t="s">
        <v>6</v>
      </c>
      <c r="K76" s="5" t="s">
        <v>7</v>
      </c>
      <c r="L76" s="5" t="s">
        <v>8</v>
      </c>
      <c r="M76" s="5" t="s">
        <v>9</v>
      </c>
      <c r="N76" s="5" t="s">
        <v>10</v>
      </c>
      <c r="O76" s="5" t="s">
        <v>11</v>
      </c>
      <c r="P76" s="5" t="s">
        <v>12</v>
      </c>
      <c r="Q76" s="5" t="s">
        <v>13</v>
      </c>
      <c r="R76" s="5" t="s">
        <v>14</v>
      </c>
    </row>
    <row r="77" spans="3:18" x14ac:dyDescent="0.3">
      <c r="C77" s="17" t="s">
        <v>26</v>
      </c>
      <c r="D77" s="4" t="s">
        <v>16</v>
      </c>
      <c r="E77" s="6">
        <v>248180056.64780751</v>
      </c>
      <c r="F77" s="6">
        <v>218240409.05383179</v>
      </c>
      <c r="G77" s="6">
        <v>164275704.5550451</v>
      </c>
      <c r="H77" s="6">
        <v>115597483.27998739</v>
      </c>
      <c r="I77" s="6">
        <v>147291690.88999411</v>
      </c>
      <c r="J77" s="6">
        <v>190412045.97001609</v>
      </c>
      <c r="K77" s="6">
        <v>198983281.27992871</v>
      </c>
      <c r="L77" s="6">
        <v>238169107.34014079</v>
      </c>
      <c r="M77" s="6">
        <v>220000000</v>
      </c>
      <c r="N77" s="6">
        <v>247489172.62140301</v>
      </c>
      <c r="O77" s="6">
        <v>270326275.91987199</v>
      </c>
      <c r="P77" s="6">
        <v>278225849.52657098</v>
      </c>
      <c r="Q77" s="6">
        <v>284870000</v>
      </c>
      <c r="R77" s="7">
        <f>IF(COUNT(E77:Q77)=0,"",SUM(E77:Q77))</f>
        <v>2822061077.0845971</v>
      </c>
    </row>
    <row r="78" spans="3:18" x14ac:dyDescent="0.3">
      <c r="C78" s="18"/>
      <c r="D78" s="4" t="s">
        <v>17</v>
      </c>
      <c r="E78" s="8">
        <v>0.82740000000000002</v>
      </c>
      <c r="F78" s="8">
        <v>0.84130000000000005</v>
      </c>
      <c r="G78" s="8">
        <v>0.81230000000000002</v>
      </c>
      <c r="H78" s="8">
        <v>0.85140000000000005</v>
      </c>
      <c r="I78" s="8">
        <v>0.85629999999999995</v>
      </c>
      <c r="J78" s="8">
        <v>0.85350000000000004</v>
      </c>
      <c r="K78" s="8">
        <v>0.86009999999999998</v>
      </c>
      <c r="L78" s="8">
        <v>0.91269999999999996</v>
      </c>
      <c r="M78" s="9">
        <v>0.91359999999999997</v>
      </c>
      <c r="N78" s="9">
        <v>0.91490000000000005</v>
      </c>
      <c r="O78" s="9">
        <v>0.91769999999999996</v>
      </c>
      <c r="P78" s="9">
        <v>0.91769999999999996</v>
      </c>
      <c r="Q78" s="9">
        <v>0.91800000000000004</v>
      </c>
      <c r="R78" s="8">
        <f>IF(COUNT(E78:Q78)=0,"",AVERAGE(E78:Q78))</f>
        <v>0.87668461538461528</v>
      </c>
    </row>
    <row r="79" spans="3:18" x14ac:dyDescent="0.3">
      <c r="C79" s="18"/>
      <c r="D79" s="4" t="s">
        <v>18</v>
      </c>
      <c r="E79" s="9">
        <v>0.83050000000000002</v>
      </c>
      <c r="F79" s="9">
        <v>0.84840000000000004</v>
      </c>
      <c r="G79" s="9">
        <v>0.82230000000000003</v>
      </c>
      <c r="H79" s="9">
        <v>0.85140000000000005</v>
      </c>
      <c r="I79" s="9">
        <v>0.85670000000000002</v>
      </c>
      <c r="J79" s="9">
        <v>0.85519999999999996</v>
      </c>
      <c r="K79" s="9">
        <v>0.86199999999999999</v>
      </c>
      <c r="L79" s="9">
        <v>0.91269999999999996</v>
      </c>
      <c r="M79" s="9">
        <v>0.91359999999999997</v>
      </c>
      <c r="N79" s="9">
        <v>0.91510000000000002</v>
      </c>
      <c r="O79" s="9">
        <v>0.91959999999999997</v>
      </c>
      <c r="P79" s="9">
        <v>0.91959999999999997</v>
      </c>
      <c r="Q79" s="9">
        <v>0.92100000000000004</v>
      </c>
      <c r="R79" s="9">
        <f>IF(COUNT(E79:Q79)=0,"",AVERAGE(E79:Q79))</f>
        <v>0.87908461538461513</v>
      </c>
    </row>
    <row r="80" spans="3:18" x14ac:dyDescent="0.3">
      <c r="C80" s="18"/>
      <c r="D80" s="4" t="s">
        <v>19</v>
      </c>
      <c r="E80" s="9">
        <f t="shared" ref="E80:R80" si="30">IF(OR(E78="",E79=""),"",E79-E78)</f>
        <v>3.0999999999999917E-3</v>
      </c>
      <c r="F80" s="9">
        <f t="shared" si="30"/>
        <v>7.0999999999999952E-3</v>
      </c>
      <c r="G80" s="9">
        <f t="shared" si="30"/>
        <v>1.0000000000000009E-2</v>
      </c>
      <c r="H80" s="9">
        <f t="shared" si="30"/>
        <v>0</v>
      </c>
      <c r="I80" s="9">
        <f t="shared" si="30"/>
        <v>4.0000000000006697E-4</v>
      </c>
      <c r="J80" s="9">
        <f t="shared" si="30"/>
        <v>1.6999999999999238E-3</v>
      </c>
      <c r="K80" s="9">
        <f t="shared" si="30"/>
        <v>1.9000000000000128E-3</v>
      </c>
      <c r="L80" s="9">
        <f t="shared" si="30"/>
        <v>0</v>
      </c>
      <c r="M80" s="9">
        <f t="shared" si="30"/>
        <v>0</v>
      </c>
      <c r="N80" s="9">
        <f t="shared" si="30"/>
        <v>1.9999999999997797E-4</v>
      </c>
      <c r="O80" s="9">
        <f t="shared" si="30"/>
        <v>1.9000000000000128E-3</v>
      </c>
      <c r="P80" s="9">
        <f t="shared" si="30"/>
        <v>1.9000000000000128E-3</v>
      </c>
      <c r="Q80" s="9">
        <f t="shared" si="30"/>
        <v>3.0000000000000027E-3</v>
      </c>
      <c r="R80" s="9">
        <f t="shared" si="30"/>
        <v>2.3999999999998467E-3</v>
      </c>
    </row>
    <row r="81" spans="3:18" x14ac:dyDescent="0.3">
      <c r="C81" s="18"/>
      <c r="D81" s="4" t="s">
        <v>20</v>
      </c>
      <c r="E81" s="9">
        <f t="shared" ref="E81:R81" si="31">IF(E80="","",E80/3%*1%)</f>
        <v>1.0333333333333306E-3</v>
      </c>
      <c r="F81" s="9">
        <f t="shared" si="31"/>
        <v>2.3666666666666654E-3</v>
      </c>
      <c r="G81" s="9">
        <f t="shared" si="31"/>
        <v>3.3333333333333366E-3</v>
      </c>
      <c r="H81" s="9">
        <f t="shared" si="31"/>
        <v>0</v>
      </c>
      <c r="I81" s="9">
        <f t="shared" si="31"/>
        <v>1.3333333333335567E-4</v>
      </c>
      <c r="J81" s="9">
        <f t="shared" si="31"/>
        <v>5.6666666666664134E-4</v>
      </c>
      <c r="K81" s="9">
        <f t="shared" si="31"/>
        <v>6.3333333333333774E-4</v>
      </c>
      <c r="L81" s="9">
        <f t="shared" si="31"/>
        <v>0</v>
      </c>
      <c r="M81" s="9">
        <f t="shared" si="31"/>
        <v>0</v>
      </c>
      <c r="N81" s="9">
        <f t="shared" si="31"/>
        <v>6.6666666666659324E-5</v>
      </c>
      <c r="O81" s="9">
        <f t="shared" si="31"/>
        <v>6.3333333333333774E-4</v>
      </c>
      <c r="P81" s="9">
        <f t="shared" si="31"/>
        <v>6.3333333333333774E-4</v>
      </c>
      <c r="Q81" s="9">
        <f t="shared" si="31"/>
        <v>1.0000000000000009E-3</v>
      </c>
      <c r="R81" s="9">
        <f t="shared" si="31"/>
        <v>7.9999999999994897E-4</v>
      </c>
    </row>
    <row r="82" spans="3:18" x14ac:dyDescent="0.3">
      <c r="C82" s="19"/>
      <c r="D82" s="10" t="s">
        <v>21</v>
      </c>
      <c r="E82" s="11">
        <f t="shared" ref="E82:Q82" si="32">IF(OR(E77="",E81=""),"",E77*E81)</f>
        <v>256452.72520273374</v>
      </c>
      <c r="F82" s="11">
        <f t="shared" si="32"/>
        <v>516502.3014274016</v>
      </c>
      <c r="G82" s="11">
        <f t="shared" si="32"/>
        <v>547585.68185015081</v>
      </c>
      <c r="H82" s="11">
        <f t="shared" si="32"/>
        <v>0</v>
      </c>
      <c r="I82" s="11">
        <f t="shared" si="32"/>
        <v>19638.892118669173</v>
      </c>
      <c r="J82" s="11">
        <f t="shared" si="32"/>
        <v>107900.1593830043</v>
      </c>
      <c r="K82" s="11">
        <f t="shared" si="32"/>
        <v>126022.74481062239</v>
      </c>
      <c r="L82" s="11">
        <f t="shared" si="32"/>
        <v>0</v>
      </c>
      <c r="M82" s="11">
        <f t="shared" si="32"/>
        <v>0</v>
      </c>
      <c r="N82" s="11">
        <f t="shared" si="32"/>
        <v>16499.278174758383</v>
      </c>
      <c r="O82" s="11">
        <f t="shared" si="32"/>
        <v>171206.64141592011</v>
      </c>
      <c r="P82" s="11">
        <f t="shared" si="32"/>
        <v>176209.70470016284</v>
      </c>
      <c r="Q82" s="11">
        <f t="shared" si="32"/>
        <v>284870.00000000023</v>
      </c>
      <c r="R82" s="11">
        <f>IF(COUNT(E82:Q82)=0,"",SUM(E82:Q82))</f>
        <v>2222888.1290834239</v>
      </c>
    </row>
    <row r="83" spans="3:18" x14ac:dyDescent="0.3">
      <c r="C83" s="4"/>
      <c r="D83" s="4"/>
      <c r="E83" s="5" t="s">
        <v>1</v>
      </c>
      <c r="F83" s="5" t="s">
        <v>2</v>
      </c>
      <c r="G83" s="5" t="s">
        <v>3</v>
      </c>
      <c r="H83" s="5" t="s">
        <v>4</v>
      </c>
      <c r="I83" s="5" t="s">
        <v>5</v>
      </c>
      <c r="J83" s="5" t="s">
        <v>6</v>
      </c>
      <c r="K83" s="5" t="s">
        <v>7</v>
      </c>
      <c r="L83" s="5" t="s">
        <v>8</v>
      </c>
      <c r="M83" s="5" t="s">
        <v>9</v>
      </c>
      <c r="N83" s="5" t="s">
        <v>10</v>
      </c>
      <c r="O83" s="5" t="s">
        <v>11</v>
      </c>
      <c r="P83" s="5" t="s">
        <v>12</v>
      </c>
      <c r="Q83" s="5" t="s">
        <v>13</v>
      </c>
      <c r="R83" s="5" t="s">
        <v>14</v>
      </c>
    </row>
    <row r="84" spans="3:18" x14ac:dyDescent="0.3">
      <c r="C84" s="17" t="s">
        <v>32</v>
      </c>
      <c r="D84" s="4" t="s">
        <v>16</v>
      </c>
      <c r="E84" s="6">
        <v>117593788.12</v>
      </c>
      <c r="F84" s="6">
        <v>158122618.47999999</v>
      </c>
      <c r="G84" s="6">
        <v>106749574.16</v>
      </c>
      <c r="H84" s="6">
        <v>99247148.560000002</v>
      </c>
      <c r="I84" s="6">
        <v>109516322.16</v>
      </c>
      <c r="J84" s="6">
        <v>75874622.999999896</v>
      </c>
      <c r="K84" s="6">
        <v>75335077.159999996</v>
      </c>
      <c r="L84" s="6">
        <v>105560472.12</v>
      </c>
      <c r="M84" s="6">
        <v>124300000</v>
      </c>
      <c r="N84" s="6">
        <v>125318582.401939</v>
      </c>
      <c r="O84" s="6">
        <v>137901616.08217931</v>
      </c>
      <c r="P84" s="6">
        <v>120557027.1287979</v>
      </c>
      <c r="Q84" s="6">
        <v>183088494.2788175</v>
      </c>
      <c r="R84" s="7">
        <f>IF(COUNT(E84:Q84)=0,"",SUM(E84:Q84))</f>
        <v>1539165343.6517336</v>
      </c>
    </row>
    <row r="85" spans="3:18" x14ac:dyDescent="0.3">
      <c r="C85" s="18"/>
      <c r="D85" s="4" t="s">
        <v>17</v>
      </c>
      <c r="E85" s="8">
        <v>0.89280000000000004</v>
      </c>
      <c r="F85" s="8">
        <v>0.89659999999999995</v>
      </c>
      <c r="G85" s="8">
        <v>0.97589999999999999</v>
      </c>
      <c r="H85" s="8">
        <v>0.9657</v>
      </c>
      <c r="I85" s="8">
        <v>0.69120000000000004</v>
      </c>
      <c r="J85" s="8">
        <v>0.73109999999999997</v>
      </c>
      <c r="K85" s="8">
        <v>0.95920000000000005</v>
      </c>
      <c r="L85" s="8">
        <v>0.9768</v>
      </c>
      <c r="M85" s="9">
        <v>0.97689999999999999</v>
      </c>
      <c r="N85" s="9">
        <v>0.97789999999999999</v>
      </c>
      <c r="O85" s="9">
        <v>0.97889999999999999</v>
      </c>
      <c r="P85" s="9">
        <v>0.97889999999999999</v>
      </c>
      <c r="Q85" s="9">
        <v>0.97889999999999999</v>
      </c>
      <c r="R85" s="8">
        <f>IF(COUNT(E85:Q85)=0,"",AVERAGE(E85:Q85))</f>
        <v>0.92159999999999986</v>
      </c>
    </row>
    <row r="86" spans="3:18" x14ac:dyDescent="0.3">
      <c r="C86" s="18"/>
      <c r="D86" s="4" t="s">
        <v>18</v>
      </c>
      <c r="E86" s="9">
        <v>0.89480000000000004</v>
      </c>
      <c r="F86" s="9">
        <v>0.89959999999999996</v>
      </c>
      <c r="G86" s="9">
        <v>0.97689999999999999</v>
      </c>
      <c r="H86" s="9">
        <v>0.9667</v>
      </c>
      <c r="I86" s="9">
        <v>0.69120000000000004</v>
      </c>
      <c r="J86" s="9">
        <v>0.73109999999999997</v>
      </c>
      <c r="K86" s="9">
        <v>0.95920000000000005</v>
      </c>
      <c r="L86" s="9">
        <v>0.97770000000000001</v>
      </c>
      <c r="M86" s="9">
        <v>0.97789999999999999</v>
      </c>
      <c r="N86" s="9">
        <v>0.97889999999999999</v>
      </c>
      <c r="O86" s="9">
        <v>0.97989999999999999</v>
      </c>
      <c r="P86" s="9">
        <v>0.97989999999999999</v>
      </c>
      <c r="Q86" s="9">
        <v>0.97989999999999999</v>
      </c>
      <c r="R86" s="9">
        <f>IF(COUNT(E86:Q86)=0,"",AVERAGE(E86:Q86))</f>
        <v>0.92259230769230771</v>
      </c>
    </row>
    <row r="87" spans="3:18" x14ac:dyDescent="0.3">
      <c r="C87" s="18"/>
      <c r="D87" s="4" t="s">
        <v>19</v>
      </c>
      <c r="E87" s="9">
        <f t="shared" ref="E87:R87" si="33">IF(OR(E85="",E86=""),"",E86-E85)</f>
        <v>2.0000000000000018E-3</v>
      </c>
      <c r="F87" s="9">
        <f t="shared" si="33"/>
        <v>3.0000000000000027E-3</v>
      </c>
      <c r="G87" s="9">
        <f t="shared" si="33"/>
        <v>1.0000000000000009E-3</v>
      </c>
      <c r="H87" s="9">
        <f t="shared" si="33"/>
        <v>1.0000000000000009E-3</v>
      </c>
      <c r="I87" s="9">
        <f t="shared" si="33"/>
        <v>0</v>
      </c>
      <c r="J87" s="9">
        <f t="shared" si="33"/>
        <v>0</v>
      </c>
      <c r="K87" s="9">
        <f t="shared" si="33"/>
        <v>0</v>
      </c>
      <c r="L87" s="9">
        <f t="shared" si="33"/>
        <v>9.000000000000119E-4</v>
      </c>
      <c r="M87" s="9">
        <f t="shared" si="33"/>
        <v>1.0000000000000009E-3</v>
      </c>
      <c r="N87" s="9">
        <f t="shared" si="33"/>
        <v>1.0000000000000009E-3</v>
      </c>
      <c r="O87" s="9">
        <f t="shared" si="33"/>
        <v>1.0000000000000009E-3</v>
      </c>
      <c r="P87" s="9">
        <f t="shared" si="33"/>
        <v>1.0000000000000009E-3</v>
      </c>
      <c r="Q87" s="9">
        <f t="shared" si="33"/>
        <v>1.0000000000000009E-3</v>
      </c>
      <c r="R87" s="9">
        <f t="shared" si="33"/>
        <v>9.9230769230784777E-4</v>
      </c>
    </row>
    <row r="88" spans="3:18" x14ac:dyDescent="0.3">
      <c r="C88" s="18"/>
      <c r="D88" s="4" t="s">
        <v>20</v>
      </c>
      <c r="E88" s="9">
        <f t="shared" ref="E88:R88" si="34">IF(E87="","",E87/3%*1%)</f>
        <v>6.666666666666674E-4</v>
      </c>
      <c r="F88" s="9">
        <f t="shared" si="34"/>
        <v>1.0000000000000009E-3</v>
      </c>
      <c r="G88" s="9">
        <f t="shared" si="34"/>
        <v>3.333333333333337E-4</v>
      </c>
      <c r="H88" s="9">
        <f t="shared" si="34"/>
        <v>3.333333333333337E-4</v>
      </c>
      <c r="I88" s="9">
        <f t="shared" si="34"/>
        <v>0</v>
      </c>
      <c r="J88" s="9">
        <f t="shared" si="34"/>
        <v>0</v>
      </c>
      <c r="K88" s="9">
        <f t="shared" si="34"/>
        <v>0</v>
      </c>
      <c r="L88" s="9">
        <f t="shared" si="34"/>
        <v>3.0000000000000399E-4</v>
      </c>
      <c r="M88" s="9">
        <f t="shared" si="34"/>
        <v>3.333333333333337E-4</v>
      </c>
      <c r="N88" s="9">
        <f t="shared" si="34"/>
        <v>3.333333333333337E-4</v>
      </c>
      <c r="O88" s="9">
        <f t="shared" si="34"/>
        <v>3.333333333333337E-4</v>
      </c>
      <c r="P88" s="9">
        <f t="shared" si="34"/>
        <v>3.333333333333337E-4</v>
      </c>
      <c r="Q88" s="9">
        <f t="shared" si="34"/>
        <v>3.333333333333337E-4</v>
      </c>
      <c r="R88" s="9">
        <f t="shared" si="34"/>
        <v>3.3076923076928266E-4</v>
      </c>
    </row>
    <row r="89" spans="3:18" x14ac:dyDescent="0.3">
      <c r="C89" s="19"/>
      <c r="D89" s="10" t="s">
        <v>21</v>
      </c>
      <c r="E89" s="11">
        <f t="shared" ref="E89:Q89" si="35">IF(OR(E84="",E88=""),"",E84*E88)</f>
        <v>78395.858746666752</v>
      </c>
      <c r="F89" s="11">
        <f t="shared" si="35"/>
        <v>158122.61848000012</v>
      </c>
      <c r="G89" s="11">
        <f t="shared" si="35"/>
        <v>35583.191386666702</v>
      </c>
      <c r="H89" s="11">
        <f t="shared" si="35"/>
        <v>33082.382853333373</v>
      </c>
      <c r="I89" s="11">
        <f t="shared" si="35"/>
        <v>0</v>
      </c>
      <c r="J89" s="11">
        <f t="shared" si="35"/>
        <v>0</v>
      </c>
      <c r="K89" s="11">
        <f t="shared" si="35"/>
        <v>0</v>
      </c>
      <c r="L89" s="11">
        <f t="shared" si="35"/>
        <v>31668.141636000422</v>
      </c>
      <c r="M89" s="11">
        <f t="shared" si="35"/>
        <v>41433.333333333379</v>
      </c>
      <c r="N89" s="11">
        <f t="shared" si="35"/>
        <v>41772.860800646384</v>
      </c>
      <c r="O89" s="11">
        <f t="shared" si="35"/>
        <v>45967.20536072649</v>
      </c>
      <c r="P89" s="11">
        <f t="shared" si="35"/>
        <v>40185.675709599345</v>
      </c>
      <c r="Q89" s="11">
        <f t="shared" si="35"/>
        <v>61029.498092939233</v>
      </c>
      <c r="R89" s="11">
        <f>IF(COUNT(E89:Q89)=0,"",SUM(E89:Q89))</f>
        <v>567240.76639991219</v>
      </c>
    </row>
    <row r="90" spans="3:18" x14ac:dyDescent="0.3">
      <c r="C90" s="4"/>
      <c r="D90" s="4"/>
      <c r="E90" s="5" t="s">
        <v>1</v>
      </c>
      <c r="F90" s="5" t="s">
        <v>2</v>
      </c>
      <c r="G90" s="5" t="s">
        <v>3</v>
      </c>
      <c r="H90" s="5" t="s">
        <v>4</v>
      </c>
      <c r="I90" s="5" t="s">
        <v>5</v>
      </c>
      <c r="J90" s="5" t="s">
        <v>6</v>
      </c>
      <c r="K90" s="5" t="s">
        <v>7</v>
      </c>
      <c r="L90" s="5" t="s">
        <v>8</v>
      </c>
      <c r="M90" s="5" t="s">
        <v>9</v>
      </c>
      <c r="N90" s="5" t="s">
        <v>10</v>
      </c>
      <c r="O90" s="5" t="s">
        <v>11</v>
      </c>
      <c r="P90" s="5" t="s">
        <v>12</v>
      </c>
      <c r="Q90" s="5" t="s">
        <v>13</v>
      </c>
      <c r="R90" s="5" t="s">
        <v>14</v>
      </c>
    </row>
    <row r="91" spans="3:18" x14ac:dyDescent="0.3">
      <c r="C91" s="17" t="s">
        <v>24</v>
      </c>
      <c r="D91" s="4" t="s">
        <v>16</v>
      </c>
      <c r="E91" s="6">
        <v>2782132.1976899998</v>
      </c>
      <c r="F91" s="6">
        <v>2635118.904550001</v>
      </c>
      <c r="G91" s="6">
        <v>3509226.1457600002</v>
      </c>
      <c r="H91" s="6">
        <v>2390723.91</v>
      </c>
      <c r="I91" s="6">
        <v>4563028.1699999981</v>
      </c>
      <c r="J91" s="6">
        <v>2942846.5999999992</v>
      </c>
      <c r="K91" s="6">
        <v>2510036.5100000012</v>
      </c>
      <c r="L91" s="6">
        <v>2824807.21</v>
      </c>
      <c r="M91" s="6">
        <v>2000000</v>
      </c>
      <c r="N91" s="6">
        <v>2569422.58</v>
      </c>
      <c r="O91" s="6">
        <v>2569422.58</v>
      </c>
      <c r="P91" s="6">
        <v>2569422.58</v>
      </c>
      <c r="Q91" s="6">
        <v>2569422.58</v>
      </c>
      <c r="R91" s="7">
        <f>IF(COUNT(E91:Q91)=0,"",SUM(E91:Q91))</f>
        <v>36435609.967999995</v>
      </c>
    </row>
    <row r="92" spans="3:18" x14ac:dyDescent="0.3">
      <c r="C92" s="18"/>
      <c r="D92" s="4" t="s">
        <v>17</v>
      </c>
      <c r="E92" s="9">
        <v>0.77639999999999998</v>
      </c>
      <c r="F92" s="9">
        <v>0.77780000000000005</v>
      </c>
      <c r="G92" s="8">
        <v>0.85489999999999999</v>
      </c>
      <c r="H92" s="8">
        <v>0.93379999999999996</v>
      </c>
      <c r="I92" s="8">
        <v>0.79</v>
      </c>
      <c r="J92" s="8">
        <v>0.93020000000000003</v>
      </c>
      <c r="K92" s="8">
        <v>0.77449999999999997</v>
      </c>
      <c r="L92" s="9">
        <v>0.78039999999999998</v>
      </c>
      <c r="M92" s="9">
        <v>0.78039999999999998</v>
      </c>
      <c r="N92" s="9">
        <v>0.78110000000000002</v>
      </c>
      <c r="O92" s="9">
        <v>0.78169999999999995</v>
      </c>
      <c r="P92" s="9">
        <v>0.78169999999999995</v>
      </c>
      <c r="Q92" s="9">
        <v>0.78300000000000003</v>
      </c>
      <c r="R92" s="8">
        <f>IF(COUNT(E92:Q92)=0,"",AVERAGE(E92:Q92))</f>
        <v>0.80968461538461556</v>
      </c>
    </row>
    <row r="93" spans="3:18" x14ac:dyDescent="0.3">
      <c r="C93" s="18"/>
      <c r="D93" s="4" t="s">
        <v>18</v>
      </c>
      <c r="E93" s="9">
        <v>0.77969999999999995</v>
      </c>
      <c r="F93" s="9">
        <v>0.78220000000000001</v>
      </c>
      <c r="G93" s="9">
        <v>0.85489999999999999</v>
      </c>
      <c r="H93" s="9">
        <v>0.93379999999999996</v>
      </c>
      <c r="I93" s="9">
        <v>0.80500000000000005</v>
      </c>
      <c r="J93" s="9">
        <v>0.93020000000000003</v>
      </c>
      <c r="K93" s="9">
        <v>0.78949999999999998</v>
      </c>
      <c r="L93" s="9">
        <v>0.7954</v>
      </c>
      <c r="M93" s="9">
        <v>0.7954</v>
      </c>
      <c r="N93" s="9">
        <v>0.79610000000000003</v>
      </c>
      <c r="O93" s="9">
        <v>0.79669999999999996</v>
      </c>
      <c r="P93" s="9">
        <v>0.79669999999999996</v>
      </c>
      <c r="Q93" s="9">
        <v>0.79800000000000004</v>
      </c>
      <c r="R93" s="9">
        <f>IF(COUNT(E93:Q93)=0,"",AVERAGE(E93:Q93))</f>
        <v>0.81950769230769227</v>
      </c>
    </row>
    <row r="94" spans="3:18" x14ac:dyDescent="0.3">
      <c r="C94" s="18"/>
      <c r="D94" s="4" t="s">
        <v>19</v>
      </c>
      <c r="E94" s="9">
        <f t="shared" ref="E94:R94" si="36">IF(OR(E92="",E93=""),"",E93-E92)</f>
        <v>3.2999999999999696E-3</v>
      </c>
      <c r="F94" s="9">
        <f t="shared" si="36"/>
        <v>4.3999999999999595E-3</v>
      </c>
      <c r="G94" s="9">
        <f t="shared" si="36"/>
        <v>0</v>
      </c>
      <c r="H94" s="9">
        <f t="shared" si="36"/>
        <v>0</v>
      </c>
      <c r="I94" s="9">
        <f t="shared" si="36"/>
        <v>1.5000000000000013E-2</v>
      </c>
      <c r="J94" s="9">
        <f t="shared" si="36"/>
        <v>0</v>
      </c>
      <c r="K94" s="9">
        <f t="shared" si="36"/>
        <v>1.5000000000000013E-2</v>
      </c>
      <c r="L94" s="9">
        <f t="shared" si="36"/>
        <v>1.5000000000000013E-2</v>
      </c>
      <c r="M94" s="9">
        <f t="shared" si="36"/>
        <v>1.5000000000000013E-2</v>
      </c>
      <c r="N94" s="9">
        <f t="shared" si="36"/>
        <v>1.5000000000000013E-2</v>
      </c>
      <c r="O94" s="9">
        <f t="shared" si="36"/>
        <v>1.5000000000000013E-2</v>
      </c>
      <c r="P94" s="9">
        <f t="shared" si="36"/>
        <v>1.5000000000000013E-2</v>
      </c>
      <c r="Q94" s="9">
        <f t="shared" si="36"/>
        <v>1.5000000000000013E-2</v>
      </c>
      <c r="R94" s="9">
        <f t="shared" si="36"/>
        <v>9.8230769230767123E-3</v>
      </c>
    </row>
    <row r="95" spans="3:18" x14ac:dyDescent="0.3">
      <c r="C95" s="18"/>
      <c r="D95" s="4" t="s">
        <v>20</v>
      </c>
      <c r="E95" s="9">
        <f t="shared" ref="E95:R95" si="37">IF(E94="","",E94/3%*1%)</f>
        <v>1.0999999999999899E-3</v>
      </c>
      <c r="F95" s="9">
        <f t="shared" si="37"/>
        <v>1.4666666666666535E-3</v>
      </c>
      <c r="G95" s="9">
        <f t="shared" si="37"/>
        <v>0</v>
      </c>
      <c r="H95" s="9">
        <f t="shared" si="37"/>
        <v>0</v>
      </c>
      <c r="I95" s="9">
        <f t="shared" si="37"/>
        <v>5.0000000000000044E-3</v>
      </c>
      <c r="J95" s="9">
        <f t="shared" si="37"/>
        <v>0</v>
      </c>
      <c r="K95" s="9">
        <f t="shared" si="37"/>
        <v>5.0000000000000044E-3</v>
      </c>
      <c r="L95" s="9">
        <f t="shared" si="37"/>
        <v>5.0000000000000044E-3</v>
      </c>
      <c r="M95" s="9">
        <f t="shared" si="37"/>
        <v>5.0000000000000044E-3</v>
      </c>
      <c r="N95" s="9">
        <f t="shared" si="37"/>
        <v>5.0000000000000044E-3</v>
      </c>
      <c r="O95" s="9">
        <f t="shared" si="37"/>
        <v>5.0000000000000044E-3</v>
      </c>
      <c r="P95" s="9">
        <f t="shared" si="37"/>
        <v>5.0000000000000044E-3</v>
      </c>
      <c r="Q95" s="9">
        <f t="shared" si="37"/>
        <v>5.0000000000000044E-3</v>
      </c>
      <c r="R95" s="9">
        <f t="shared" si="37"/>
        <v>3.2743589743589041E-3</v>
      </c>
    </row>
    <row r="96" spans="3:18" x14ac:dyDescent="0.3">
      <c r="C96" s="19"/>
      <c r="D96" s="10" t="s">
        <v>21</v>
      </c>
      <c r="E96" s="11">
        <f t="shared" ref="E96:Q96" si="38">IF(OR(E91="",E95=""),"",E91*E95)</f>
        <v>3060.3454174589715</v>
      </c>
      <c r="F96" s="11">
        <f t="shared" si="38"/>
        <v>3864.8410600066331</v>
      </c>
      <c r="G96" s="11">
        <f t="shared" si="38"/>
        <v>0</v>
      </c>
      <c r="H96" s="11">
        <f t="shared" si="38"/>
        <v>0</v>
      </c>
      <c r="I96" s="11">
        <f t="shared" si="38"/>
        <v>22815.140850000011</v>
      </c>
      <c r="J96" s="11">
        <f t="shared" si="38"/>
        <v>0</v>
      </c>
      <c r="K96" s="11">
        <f t="shared" si="38"/>
        <v>12550.182550000018</v>
      </c>
      <c r="L96" s="11">
        <f t="shared" si="38"/>
        <v>14124.036050000012</v>
      </c>
      <c r="M96" s="11">
        <f t="shared" si="38"/>
        <v>10000.000000000009</v>
      </c>
      <c r="N96" s="11">
        <f t="shared" si="38"/>
        <v>12847.112900000011</v>
      </c>
      <c r="O96" s="11">
        <f t="shared" si="38"/>
        <v>12847.112900000011</v>
      </c>
      <c r="P96" s="11">
        <f t="shared" si="38"/>
        <v>12847.112900000011</v>
      </c>
      <c r="Q96" s="11">
        <f t="shared" si="38"/>
        <v>12847.112900000011</v>
      </c>
      <c r="R96" s="11">
        <f>IF(COUNT(E96:Q96)=0,"",SUM(E96:Q96))</f>
        <v>117802.99752746569</v>
      </c>
    </row>
    <row r="97" spans="3:18" x14ac:dyDescent="0.3">
      <c r="C97" s="4"/>
      <c r="D97" s="4"/>
      <c r="E97" s="5" t="s">
        <v>1</v>
      </c>
      <c r="F97" s="5" t="s">
        <v>2</v>
      </c>
      <c r="G97" s="5" t="s">
        <v>3</v>
      </c>
      <c r="H97" s="5" t="s">
        <v>4</v>
      </c>
      <c r="I97" s="5" t="s">
        <v>5</v>
      </c>
      <c r="J97" s="5" t="s">
        <v>6</v>
      </c>
      <c r="K97" s="5" t="s">
        <v>7</v>
      </c>
      <c r="L97" s="5" t="s">
        <v>8</v>
      </c>
      <c r="M97" s="5" t="s">
        <v>9</v>
      </c>
      <c r="N97" s="5" t="s">
        <v>10</v>
      </c>
      <c r="O97" s="5" t="s">
        <v>11</v>
      </c>
      <c r="P97" s="5" t="s">
        <v>12</v>
      </c>
      <c r="Q97" s="5" t="s">
        <v>13</v>
      </c>
      <c r="R97" s="5" t="s">
        <v>14</v>
      </c>
    </row>
    <row r="98" spans="3:18" x14ac:dyDescent="0.3">
      <c r="C98" s="17" t="s">
        <v>28</v>
      </c>
      <c r="D98" s="4" t="s">
        <v>16</v>
      </c>
      <c r="E98" s="6">
        <v>59099505.989999987</v>
      </c>
      <c r="F98" s="6">
        <v>59719425.979999967</v>
      </c>
      <c r="G98" s="6">
        <v>58254078.079999991</v>
      </c>
      <c r="H98" s="6">
        <v>56409517.553165972</v>
      </c>
      <c r="I98" s="6">
        <v>54978213.949999988</v>
      </c>
      <c r="J98" s="6">
        <v>57525917.609999992</v>
      </c>
      <c r="K98" s="6">
        <v>58668022.530000001</v>
      </c>
      <c r="L98" s="6">
        <v>59446955.18999999</v>
      </c>
      <c r="M98" s="6">
        <v>59500000.002632052</v>
      </c>
      <c r="N98" s="6">
        <v>47771626.73563876</v>
      </c>
      <c r="O98" s="6">
        <v>47161676.317513607</v>
      </c>
      <c r="P98" s="6">
        <v>45404361.105597749</v>
      </c>
      <c r="Q98" s="6">
        <v>46905267.93282789</v>
      </c>
      <c r="R98" s="7">
        <f>IF(COUNT(E98:Q98)=0,"",SUM(E98:Q98))</f>
        <v>710844568.97737598</v>
      </c>
    </row>
    <row r="99" spans="3:18" x14ac:dyDescent="0.3">
      <c r="C99" s="18"/>
      <c r="D99" s="4" t="s">
        <v>17</v>
      </c>
      <c r="E99" s="9">
        <v>0.84230000000000005</v>
      </c>
      <c r="F99" s="9">
        <v>0.84230000000000005</v>
      </c>
      <c r="G99" s="9">
        <v>0.84350000000000003</v>
      </c>
      <c r="H99" s="9">
        <v>0.84350000000000003</v>
      </c>
      <c r="I99" s="9">
        <v>0.84609999999999996</v>
      </c>
      <c r="J99" s="8">
        <v>0.91569999999999996</v>
      </c>
      <c r="K99" s="8">
        <v>0.85309999999999997</v>
      </c>
      <c r="L99" s="8">
        <v>0.84230000000000005</v>
      </c>
      <c r="M99" s="9">
        <v>0.84630000000000005</v>
      </c>
      <c r="N99" s="9">
        <v>0.84630000000000005</v>
      </c>
      <c r="O99" s="9">
        <v>0.84630000000000005</v>
      </c>
      <c r="P99" s="9">
        <v>0.84630000000000005</v>
      </c>
      <c r="Q99" s="9">
        <v>0.84660000000000002</v>
      </c>
      <c r="R99" s="8">
        <f>IF(COUNT(E99:Q99)=0,"",AVERAGE(E99:Q99))</f>
        <v>0.85081538461538464</v>
      </c>
    </row>
    <row r="100" spans="3:18" x14ac:dyDescent="0.3">
      <c r="C100" s="18"/>
      <c r="D100" s="4" t="s">
        <v>18</v>
      </c>
      <c r="E100" s="9">
        <v>0.84360000000000002</v>
      </c>
      <c r="F100" s="9">
        <v>0.84499999999999997</v>
      </c>
      <c r="G100" s="9">
        <v>0.84799999999999998</v>
      </c>
      <c r="H100" s="9">
        <v>0.84850000000000003</v>
      </c>
      <c r="I100" s="9">
        <v>0.85199999999999998</v>
      </c>
      <c r="J100" s="9">
        <v>0.91869999999999996</v>
      </c>
      <c r="K100" s="9">
        <v>0.85740000000000005</v>
      </c>
      <c r="L100" s="9">
        <v>0.84919999999999995</v>
      </c>
      <c r="M100" s="9">
        <v>0.85370000000000001</v>
      </c>
      <c r="N100" s="9">
        <v>0.85460000000000003</v>
      </c>
      <c r="O100" s="9">
        <v>0.85629999999999995</v>
      </c>
      <c r="P100" s="9">
        <v>0.85629999999999995</v>
      </c>
      <c r="Q100" s="9">
        <v>0.85660000000000003</v>
      </c>
      <c r="R100" s="9">
        <f>IF(COUNT(E100:Q100)=0,"",AVERAGE(E100:Q100))</f>
        <v>0.85691538461538452</v>
      </c>
    </row>
    <row r="101" spans="3:18" x14ac:dyDescent="0.3">
      <c r="C101" s="18"/>
      <c r="D101" s="4" t="s">
        <v>19</v>
      </c>
      <c r="E101" s="9">
        <f t="shared" ref="E101:R101" si="39">IF(OR(E99="",E100=""),"",E100-E99)</f>
        <v>1.2999999999999678E-3</v>
      </c>
      <c r="F101" s="9">
        <f t="shared" si="39"/>
        <v>2.6999999999999247E-3</v>
      </c>
      <c r="G101" s="9">
        <f t="shared" si="39"/>
        <v>4.4999999999999485E-3</v>
      </c>
      <c r="H101" s="9">
        <f t="shared" si="39"/>
        <v>5.0000000000000044E-3</v>
      </c>
      <c r="I101" s="9">
        <f t="shared" si="39"/>
        <v>5.9000000000000163E-3</v>
      </c>
      <c r="J101" s="9">
        <f t="shared" si="39"/>
        <v>3.0000000000000027E-3</v>
      </c>
      <c r="K101" s="9">
        <f t="shared" si="39"/>
        <v>4.3000000000000815E-3</v>
      </c>
      <c r="L101" s="9">
        <f t="shared" si="39"/>
        <v>6.8999999999999062E-3</v>
      </c>
      <c r="M101" s="9">
        <f t="shared" si="39"/>
        <v>7.3999999999999622E-3</v>
      </c>
      <c r="N101" s="9">
        <f t="shared" si="39"/>
        <v>8.2999999999999741E-3</v>
      </c>
      <c r="O101" s="9">
        <f t="shared" si="39"/>
        <v>9.9999999999998979E-3</v>
      </c>
      <c r="P101" s="9">
        <f t="shared" si="39"/>
        <v>9.9999999999998979E-3</v>
      </c>
      <c r="Q101" s="9">
        <f t="shared" si="39"/>
        <v>1.0000000000000009E-2</v>
      </c>
      <c r="R101" s="9">
        <f t="shared" si="39"/>
        <v>6.0999999999998833E-3</v>
      </c>
    </row>
    <row r="102" spans="3:18" x14ac:dyDescent="0.3">
      <c r="C102" s="18"/>
      <c r="D102" s="4" t="s">
        <v>20</v>
      </c>
      <c r="E102" s="9">
        <f t="shared" ref="E102:R102" si="40">IF(E101="","",E101/3%*1%)</f>
        <v>4.3333333333332269E-4</v>
      </c>
      <c r="F102" s="9">
        <f t="shared" si="40"/>
        <v>8.9999999999997504E-4</v>
      </c>
      <c r="G102" s="9">
        <f t="shared" si="40"/>
        <v>1.4999999999999831E-3</v>
      </c>
      <c r="H102" s="9">
        <f t="shared" si="40"/>
        <v>1.6666666666666683E-3</v>
      </c>
      <c r="I102" s="9">
        <f t="shared" si="40"/>
        <v>1.9666666666666721E-3</v>
      </c>
      <c r="J102" s="9">
        <f t="shared" si="40"/>
        <v>1.0000000000000009E-3</v>
      </c>
      <c r="K102" s="9">
        <f t="shared" si="40"/>
        <v>1.4333333333333607E-3</v>
      </c>
      <c r="L102" s="9">
        <f t="shared" si="40"/>
        <v>2.2999999999999687E-3</v>
      </c>
      <c r="M102" s="9">
        <f t="shared" si="40"/>
        <v>2.4666666666666543E-3</v>
      </c>
      <c r="N102" s="9">
        <f t="shared" si="40"/>
        <v>2.7666666666666586E-3</v>
      </c>
      <c r="O102" s="9">
        <f t="shared" si="40"/>
        <v>3.3333333333332993E-3</v>
      </c>
      <c r="P102" s="9">
        <f t="shared" si="40"/>
        <v>3.3333333333332993E-3</v>
      </c>
      <c r="Q102" s="9">
        <f t="shared" si="40"/>
        <v>3.3333333333333366E-3</v>
      </c>
      <c r="R102" s="9">
        <f t="shared" si="40"/>
        <v>2.0333333333332946E-3</v>
      </c>
    </row>
    <row r="103" spans="3:18" x14ac:dyDescent="0.3">
      <c r="C103" s="19"/>
      <c r="D103" s="10" t="s">
        <v>21</v>
      </c>
      <c r="E103" s="11">
        <f t="shared" ref="E103:Q103" si="41">IF(OR(E98="",E102=""),"",E98*E102)</f>
        <v>25609.785928999365</v>
      </c>
      <c r="F103" s="11">
        <f t="shared" si="41"/>
        <v>53747.483381998478</v>
      </c>
      <c r="G103" s="11">
        <f t="shared" si="41"/>
        <v>87381.117119999006</v>
      </c>
      <c r="H103" s="11">
        <f t="shared" si="41"/>
        <v>94015.862588610049</v>
      </c>
      <c r="I103" s="11">
        <f t="shared" si="41"/>
        <v>108123.82076833361</v>
      </c>
      <c r="J103" s="11">
        <f t="shared" si="41"/>
        <v>57525.91761000004</v>
      </c>
      <c r="K103" s="11">
        <f t="shared" si="41"/>
        <v>84090.8322930016</v>
      </c>
      <c r="L103" s="11">
        <f t="shared" si="41"/>
        <v>136727.99693699813</v>
      </c>
      <c r="M103" s="11">
        <f t="shared" si="41"/>
        <v>146766.66667315832</v>
      </c>
      <c r="N103" s="11">
        <f t="shared" si="41"/>
        <v>132168.16730193351</v>
      </c>
      <c r="O103" s="11">
        <f t="shared" si="41"/>
        <v>157205.58772504376</v>
      </c>
      <c r="P103" s="11">
        <f t="shared" si="41"/>
        <v>151347.87035199095</v>
      </c>
      <c r="Q103" s="11">
        <f t="shared" si="41"/>
        <v>156350.89310942646</v>
      </c>
      <c r="R103" s="11">
        <f>IF(COUNT(E103:Q103)=0,"",SUM(E103:Q103))</f>
        <v>1391062.0017894933</v>
      </c>
    </row>
    <row r="105" spans="3:18" x14ac:dyDescent="0.3">
      <c r="C105" s="1" t="s">
        <v>33</v>
      </c>
      <c r="D105" s="2"/>
      <c r="E105" s="3">
        <v>614618287.11484635</v>
      </c>
      <c r="F105" s="3">
        <v>738964865.05304241</v>
      </c>
      <c r="G105" s="3">
        <v>596435979.51511002</v>
      </c>
      <c r="H105" s="3">
        <v>465775962.14287019</v>
      </c>
      <c r="I105" s="3">
        <v>550934753.041412</v>
      </c>
      <c r="J105" s="3">
        <v>579392620.47433877</v>
      </c>
      <c r="K105" s="3">
        <v>579447085.51089084</v>
      </c>
      <c r="L105" s="3">
        <v>653410982.78831744</v>
      </c>
      <c r="M105" s="3">
        <v>644588887.32010305</v>
      </c>
      <c r="N105" s="3">
        <v>675495928.76223111</v>
      </c>
      <c r="O105" s="3">
        <v>708706451.60680628</v>
      </c>
      <c r="P105" s="3">
        <v>695753236.84553421</v>
      </c>
      <c r="Q105" s="3">
        <v>772319265.09354699</v>
      </c>
      <c r="R105" s="3">
        <v>8275844305.2690496</v>
      </c>
    </row>
    <row r="106" spans="3:18" x14ac:dyDescent="0.3">
      <c r="C106" s="4"/>
      <c r="D106" s="4"/>
      <c r="E106" s="5" t="s">
        <v>1</v>
      </c>
      <c r="F106" s="5" t="s">
        <v>2</v>
      </c>
      <c r="G106" s="5" t="s">
        <v>3</v>
      </c>
      <c r="H106" s="5" t="s">
        <v>4</v>
      </c>
      <c r="I106" s="5" t="s">
        <v>5</v>
      </c>
      <c r="J106" s="5" t="s">
        <v>6</v>
      </c>
      <c r="K106" s="5" t="s">
        <v>7</v>
      </c>
      <c r="L106" s="5" t="s">
        <v>8</v>
      </c>
      <c r="M106" s="5" t="s">
        <v>9</v>
      </c>
      <c r="N106" s="5" t="s">
        <v>10</v>
      </c>
      <c r="O106" s="5" t="s">
        <v>11</v>
      </c>
      <c r="P106" s="5" t="s">
        <v>12</v>
      </c>
      <c r="Q106" s="5" t="s">
        <v>13</v>
      </c>
      <c r="R106" s="5" t="s">
        <v>14</v>
      </c>
    </row>
    <row r="107" spans="3:18" x14ac:dyDescent="0.3">
      <c r="C107" s="17" t="s">
        <v>28</v>
      </c>
      <c r="D107" s="4" t="s">
        <v>16</v>
      </c>
      <c r="E107" s="6">
        <v>59099505.989999987</v>
      </c>
      <c r="F107" s="6">
        <v>59719425.979999967</v>
      </c>
      <c r="G107" s="6">
        <v>58254078.079999991</v>
      </c>
      <c r="H107" s="6">
        <v>56409517.553165972</v>
      </c>
      <c r="I107" s="6">
        <v>54978213.949999988</v>
      </c>
      <c r="J107" s="6">
        <v>57525917.609999992</v>
      </c>
      <c r="K107" s="6">
        <v>58668022.530000001</v>
      </c>
      <c r="L107" s="6">
        <v>59446955.18999999</v>
      </c>
      <c r="M107" s="6">
        <v>59500000.002632052</v>
      </c>
      <c r="N107" s="6">
        <v>47771626.73563876</v>
      </c>
      <c r="O107" s="6">
        <v>47161676.317513607</v>
      </c>
      <c r="P107" s="6">
        <v>45404361.105597749</v>
      </c>
      <c r="Q107" s="6">
        <v>46905267.93282789</v>
      </c>
      <c r="R107" s="7">
        <f>IF(COUNT(E107:Q107)=0,"",SUM(E107:Q107))</f>
        <v>710844568.97737598</v>
      </c>
    </row>
    <row r="108" spans="3:18" x14ac:dyDescent="0.3">
      <c r="C108" s="18"/>
      <c r="D108" s="4" t="s">
        <v>17</v>
      </c>
      <c r="E108" s="8">
        <v>0.93149999999999999</v>
      </c>
      <c r="F108" s="8">
        <v>0.96199999999999997</v>
      </c>
      <c r="G108" s="8">
        <v>0.95320000000000005</v>
      </c>
      <c r="H108" s="8">
        <v>0.94040000000000001</v>
      </c>
      <c r="I108" s="8">
        <v>0.96719999999999995</v>
      </c>
      <c r="J108" s="8">
        <v>0.96709999999999996</v>
      </c>
      <c r="K108" s="8">
        <v>0.94269999999999998</v>
      </c>
      <c r="L108" s="8">
        <v>0.94089999999999996</v>
      </c>
      <c r="M108" s="9">
        <v>0.94089999999999996</v>
      </c>
      <c r="N108" s="9">
        <v>0.9415</v>
      </c>
      <c r="O108" s="9">
        <v>0.9415</v>
      </c>
      <c r="P108" s="9">
        <v>0.9415</v>
      </c>
      <c r="Q108" s="9">
        <v>0.94210000000000005</v>
      </c>
      <c r="R108" s="8">
        <f>IF(COUNT(E108:Q108)=0,"",AVERAGE(E108:Q108))</f>
        <v>0.94711538461538447</v>
      </c>
    </row>
    <row r="109" spans="3:18" x14ac:dyDescent="0.3">
      <c r="C109" s="18"/>
      <c r="D109" s="4" t="s">
        <v>18</v>
      </c>
      <c r="E109" s="9">
        <v>0.93149999999999999</v>
      </c>
      <c r="F109" s="9">
        <v>0.96299999999999997</v>
      </c>
      <c r="G109" s="9">
        <v>0.95420000000000005</v>
      </c>
      <c r="H109" s="9">
        <v>0.94240000000000002</v>
      </c>
      <c r="I109" s="9">
        <v>0.96719999999999995</v>
      </c>
      <c r="J109" s="9">
        <v>0.96799999999999997</v>
      </c>
      <c r="K109" s="9">
        <v>0.94469999999999998</v>
      </c>
      <c r="L109" s="9">
        <v>0.94289999999999996</v>
      </c>
      <c r="M109" s="9">
        <v>0.94289999999999996</v>
      </c>
      <c r="N109" s="9">
        <v>0.94350000000000001</v>
      </c>
      <c r="O109" s="9">
        <v>0.94350000000000001</v>
      </c>
      <c r="P109" s="9">
        <v>0.94350000000000001</v>
      </c>
      <c r="Q109" s="9">
        <v>0.94410000000000005</v>
      </c>
      <c r="R109" s="9">
        <f>IF(COUNT(E109:Q109)=0,"",AVERAGE(E109:Q109))</f>
        <v>0.94856923076923094</v>
      </c>
    </row>
    <row r="110" spans="3:18" x14ac:dyDescent="0.3">
      <c r="C110" s="18"/>
      <c r="D110" s="4" t="s">
        <v>19</v>
      </c>
      <c r="E110" s="9">
        <f t="shared" ref="E110:R110" si="42">IF(OR(E108="",E109=""),"",E109-E108)</f>
        <v>0</v>
      </c>
      <c r="F110" s="9">
        <f t="shared" si="42"/>
        <v>1.0000000000000009E-3</v>
      </c>
      <c r="G110" s="9">
        <f t="shared" si="42"/>
        <v>1.0000000000000009E-3</v>
      </c>
      <c r="H110" s="9">
        <f t="shared" si="42"/>
        <v>2.0000000000000018E-3</v>
      </c>
      <c r="I110" s="9">
        <f t="shared" si="42"/>
        <v>0</v>
      </c>
      <c r="J110" s="9">
        <f t="shared" si="42"/>
        <v>9.000000000000119E-4</v>
      </c>
      <c r="K110" s="9">
        <f t="shared" si="42"/>
        <v>2.0000000000000018E-3</v>
      </c>
      <c r="L110" s="9">
        <f t="shared" si="42"/>
        <v>2.0000000000000018E-3</v>
      </c>
      <c r="M110" s="9">
        <f t="shared" si="42"/>
        <v>2.0000000000000018E-3</v>
      </c>
      <c r="N110" s="9">
        <f t="shared" si="42"/>
        <v>2.0000000000000018E-3</v>
      </c>
      <c r="O110" s="9">
        <f t="shared" si="42"/>
        <v>2.0000000000000018E-3</v>
      </c>
      <c r="P110" s="9">
        <f t="shared" si="42"/>
        <v>2.0000000000000018E-3</v>
      </c>
      <c r="Q110" s="9">
        <f t="shared" si="42"/>
        <v>2.0000000000000018E-3</v>
      </c>
      <c r="R110" s="9">
        <f t="shared" si="42"/>
        <v>1.453846153846472E-3</v>
      </c>
    </row>
    <row r="111" spans="3:18" x14ac:dyDescent="0.3">
      <c r="C111" s="18"/>
      <c r="D111" s="4" t="s">
        <v>20</v>
      </c>
      <c r="E111" s="9">
        <f t="shared" ref="E111:R111" si="43">IF(E110="","",E110/3%*1%)</f>
        <v>0</v>
      </c>
      <c r="F111" s="9">
        <f t="shared" si="43"/>
        <v>3.333333333333337E-4</v>
      </c>
      <c r="G111" s="9">
        <f t="shared" si="43"/>
        <v>3.333333333333337E-4</v>
      </c>
      <c r="H111" s="9">
        <f t="shared" si="43"/>
        <v>6.666666666666674E-4</v>
      </c>
      <c r="I111" s="9">
        <f t="shared" si="43"/>
        <v>0</v>
      </c>
      <c r="J111" s="9">
        <f t="shared" si="43"/>
        <v>3.0000000000000399E-4</v>
      </c>
      <c r="K111" s="9">
        <f t="shared" si="43"/>
        <v>6.666666666666674E-4</v>
      </c>
      <c r="L111" s="9">
        <f t="shared" si="43"/>
        <v>6.666666666666674E-4</v>
      </c>
      <c r="M111" s="9">
        <f t="shared" si="43"/>
        <v>6.666666666666674E-4</v>
      </c>
      <c r="N111" s="9">
        <f t="shared" si="43"/>
        <v>6.666666666666674E-4</v>
      </c>
      <c r="O111" s="9">
        <f t="shared" si="43"/>
        <v>6.666666666666674E-4</v>
      </c>
      <c r="P111" s="9">
        <f t="shared" si="43"/>
        <v>6.666666666666674E-4</v>
      </c>
      <c r="Q111" s="9">
        <f t="shared" si="43"/>
        <v>6.666666666666674E-4</v>
      </c>
      <c r="R111" s="9">
        <f t="shared" si="43"/>
        <v>4.846153846154907E-4</v>
      </c>
    </row>
    <row r="112" spans="3:18" x14ac:dyDescent="0.3">
      <c r="C112" s="19"/>
      <c r="D112" s="10" t="s">
        <v>21</v>
      </c>
      <c r="E112" s="11">
        <f t="shared" ref="E112:Q112" si="44">IF(OR(E107="",E111=""),"",E107*E111)</f>
        <v>0</v>
      </c>
      <c r="F112" s="11">
        <f t="shared" si="44"/>
        <v>19906.475326666678</v>
      </c>
      <c r="G112" s="11">
        <f t="shared" si="44"/>
        <v>19418.026026666685</v>
      </c>
      <c r="H112" s="11">
        <f t="shared" si="44"/>
        <v>37606.345035444021</v>
      </c>
      <c r="I112" s="11">
        <f t="shared" si="44"/>
        <v>0</v>
      </c>
      <c r="J112" s="11">
        <f t="shared" si="44"/>
        <v>17257.775283000228</v>
      </c>
      <c r="K112" s="11">
        <f t="shared" si="44"/>
        <v>39112.015020000043</v>
      </c>
      <c r="L112" s="11">
        <f t="shared" si="44"/>
        <v>39631.303460000039</v>
      </c>
      <c r="M112" s="11">
        <f t="shared" si="44"/>
        <v>39666.666668421414</v>
      </c>
      <c r="N112" s="11">
        <f t="shared" si="44"/>
        <v>31847.751157092542</v>
      </c>
      <c r="O112" s="11">
        <f t="shared" si="44"/>
        <v>31441.117545009107</v>
      </c>
      <c r="P112" s="11">
        <f t="shared" si="44"/>
        <v>30269.574070398532</v>
      </c>
      <c r="Q112" s="11">
        <f t="shared" si="44"/>
        <v>31270.178621885294</v>
      </c>
      <c r="R112" s="11">
        <f>IF(COUNT(E112:Q112)=0,"",SUM(E112:Q112))</f>
        <v>337427.22821458458</v>
      </c>
    </row>
    <row r="113" spans="3:18" x14ac:dyDescent="0.3">
      <c r="C113" s="4"/>
      <c r="D113" s="4"/>
      <c r="E113" s="5" t="s">
        <v>1</v>
      </c>
      <c r="F113" s="5" t="s">
        <v>2</v>
      </c>
      <c r="G113" s="5" t="s">
        <v>3</v>
      </c>
      <c r="H113" s="5" t="s">
        <v>4</v>
      </c>
      <c r="I113" s="5" t="s">
        <v>5</v>
      </c>
      <c r="J113" s="5" t="s">
        <v>6</v>
      </c>
      <c r="K113" s="5" t="s">
        <v>7</v>
      </c>
      <c r="L113" s="5" t="s">
        <v>8</v>
      </c>
      <c r="M113" s="5" t="s">
        <v>9</v>
      </c>
      <c r="N113" s="5" t="s">
        <v>10</v>
      </c>
      <c r="O113" s="5" t="s">
        <v>11</v>
      </c>
      <c r="P113" s="5" t="s">
        <v>12</v>
      </c>
      <c r="Q113" s="5" t="s">
        <v>13</v>
      </c>
      <c r="R113" s="5" t="s">
        <v>14</v>
      </c>
    </row>
    <row r="114" spans="3:18" x14ac:dyDescent="0.3">
      <c r="C114" s="17" t="s">
        <v>34</v>
      </c>
      <c r="D114" s="4" t="s">
        <v>16</v>
      </c>
      <c r="E114" s="6">
        <v>29005005.659999982</v>
      </c>
      <c r="F114" s="6">
        <v>26812692.099999961</v>
      </c>
      <c r="G114" s="6">
        <v>29068573.72999993</v>
      </c>
      <c r="H114" s="6">
        <v>28738730.468871251</v>
      </c>
      <c r="I114" s="6">
        <v>30057169.44999994</v>
      </c>
      <c r="J114" s="6">
        <v>34492516.619999953</v>
      </c>
      <c r="K114" s="6">
        <v>30203096.609999951</v>
      </c>
      <c r="L114" s="6">
        <v>30909099.40999997</v>
      </c>
      <c r="M114" s="6">
        <v>31699999.999505829</v>
      </c>
      <c r="N114" s="6">
        <v>35130065.706616662</v>
      </c>
      <c r="O114" s="6">
        <v>33454224.796222821</v>
      </c>
      <c r="P114" s="6">
        <v>30184370.27209476</v>
      </c>
      <c r="Q114" s="6">
        <v>34801177.637302034</v>
      </c>
      <c r="R114" s="7">
        <f>IF(COUNT(E114:Q114)=0,"",SUM(E114:Q114))</f>
        <v>404556722.46061301</v>
      </c>
    </row>
    <row r="115" spans="3:18" x14ac:dyDescent="0.3">
      <c r="C115" s="18"/>
      <c r="D115" s="4" t="s">
        <v>17</v>
      </c>
      <c r="E115" s="8">
        <v>0.87419999999999998</v>
      </c>
      <c r="F115" s="8">
        <v>0.89390000000000003</v>
      </c>
      <c r="G115" s="8">
        <v>0.88500000000000001</v>
      </c>
      <c r="H115" s="8">
        <v>0.89349999999999996</v>
      </c>
      <c r="I115" s="8">
        <v>0.89729999999999999</v>
      </c>
      <c r="J115" s="8">
        <v>0.92310000000000003</v>
      </c>
      <c r="K115" s="8">
        <v>0.95120000000000005</v>
      </c>
      <c r="L115" s="8">
        <v>0.95979999999999999</v>
      </c>
      <c r="M115" s="9">
        <v>0.96079999999999999</v>
      </c>
      <c r="N115" s="9">
        <v>0.96079999999999999</v>
      </c>
      <c r="O115" s="9">
        <v>0.96179999999999999</v>
      </c>
      <c r="P115" s="9">
        <v>0.96279999999999999</v>
      </c>
      <c r="Q115" s="9">
        <v>0.96279999999999999</v>
      </c>
      <c r="R115" s="8">
        <f>IF(COUNT(E115:Q115)=0,"",AVERAGE(E115:Q115))</f>
        <v>0.9297692307692309</v>
      </c>
    </row>
    <row r="116" spans="3:18" x14ac:dyDescent="0.3">
      <c r="C116" s="18"/>
      <c r="D116" s="4" t="s">
        <v>18</v>
      </c>
      <c r="E116" s="9">
        <v>0.876</v>
      </c>
      <c r="F116" s="9">
        <v>0.89400000000000002</v>
      </c>
      <c r="G116" s="9">
        <v>0.8891</v>
      </c>
      <c r="H116" s="9">
        <v>0.89700000000000002</v>
      </c>
      <c r="I116" s="9">
        <v>0.90229999999999999</v>
      </c>
      <c r="J116" s="9">
        <v>0.92510000000000003</v>
      </c>
      <c r="K116" s="9">
        <v>0.95220000000000005</v>
      </c>
      <c r="L116" s="9">
        <v>0.96079999999999999</v>
      </c>
      <c r="M116" s="9">
        <v>0.96179999999999999</v>
      </c>
      <c r="N116" s="9">
        <v>0.96179999999999999</v>
      </c>
      <c r="O116" s="9">
        <v>0.96279999999999999</v>
      </c>
      <c r="P116" s="9">
        <v>0.96379999999999999</v>
      </c>
      <c r="Q116" s="9">
        <v>0.96379999999999999</v>
      </c>
      <c r="R116" s="9">
        <f>IF(COUNT(E116:Q116)=0,"",AVERAGE(E116:Q116))</f>
        <v>0.93157692307692297</v>
      </c>
    </row>
    <row r="117" spans="3:18" x14ac:dyDescent="0.3">
      <c r="C117" s="18"/>
      <c r="D117" s="4" t="s">
        <v>19</v>
      </c>
      <c r="E117" s="9">
        <f t="shared" ref="E117:R117" si="45">IF(OR(E115="",E116=""),"",E116-E115)</f>
        <v>1.8000000000000238E-3</v>
      </c>
      <c r="F117" s="9">
        <f t="shared" si="45"/>
        <v>9.9999999999988987E-5</v>
      </c>
      <c r="G117" s="9">
        <f t="shared" si="45"/>
        <v>4.0999999999999925E-3</v>
      </c>
      <c r="H117" s="9">
        <f t="shared" si="45"/>
        <v>3.5000000000000586E-3</v>
      </c>
      <c r="I117" s="9">
        <f t="shared" si="45"/>
        <v>5.0000000000000044E-3</v>
      </c>
      <c r="J117" s="9">
        <f t="shared" si="45"/>
        <v>2.0000000000000018E-3</v>
      </c>
      <c r="K117" s="9">
        <f t="shared" si="45"/>
        <v>1.0000000000000009E-3</v>
      </c>
      <c r="L117" s="9">
        <f t="shared" si="45"/>
        <v>1.0000000000000009E-3</v>
      </c>
      <c r="M117" s="9">
        <f t="shared" si="45"/>
        <v>1.0000000000000009E-3</v>
      </c>
      <c r="N117" s="9">
        <f t="shared" si="45"/>
        <v>1.0000000000000009E-3</v>
      </c>
      <c r="O117" s="9">
        <f t="shared" si="45"/>
        <v>1.0000000000000009E-3</v>
      </c>
      <c r="P117" s="9">
        <f t="shared" si="45"/>
        <v>1.0000000000000009E-3</v>
      </c>
      <c r="Q117" s="9">
        <f t="shared" si="45"/>
        <v>1.0000000000000009E-3</v>
      </c>
      <c r="R117" s="9">
        <f t="shared" si="45"/>
        <v>1.8076923076920659E-3</v>
      </c>
    </row>
    <row r="118" spans="3:18" x14ac:dyDescent="0.3">
      <c r="C118" s="18"/>
      <c r="D118" s="4" t="s">
        <v>20</v>
      </c>
      <c r="E118" s="9">
        <f t="shared" ref="E118:R118" si="46">IF(E117="","",E117/3%*1%)</f>
        <v>6.0000000000000797E-4</v>
      </c>
      <c r="F118" s="9">
        <f t="shared" si="46"/>
        <v>3.3333333333329662E-5</v>
      </c>
      <c r="G118" s="9">
        <f t="shared" si="46"/>
        <v>1.3666666666666645E-3</v>
      </c>
      <c r="H118" s="9">
        <f t="shared" si="46"/>
        <v>1.1666666666666863E-3</v>
      </c>
      <c r="I118" s="9">
        <f t="shared" si="46"/>
        <v>1.6666666666666683E-3</v>
      </c>
      <c r="J118" s="9">
        <f t="shared" si="46"/>
        <v>6.666666666666674E-4</v>
      </c>
      <c r="K118" s="9">
        <f t="shared" si="46"/>
        <v>3.333333333333337E-4</v>
      </c>
      <c r="L118" s="9">
        <f t="shared" si="46"/>
        <v>3.333333333333337E-4</v>
      </c>
      <c r="M118" s="9">
        <f t="shared" si="46"/>
        <v>3.333333333333337E-4</v>
      </c>
      <c r="N118" s="9">
        <f t="shared" si="46"/>
        <v>3.333333333333337E-4</v>
      </c>
      <c r="O118" s="9">
        <f t="shared" si="46"/>
        <v>3.333333333333337E-4</v>
      </c>
      <c r="P118" s="9">
        <f t="shared" si="46"/>
        <v>3.333333333333337E-4</v>
      </c>
      <c r="Q118" s="9">
        <f t="shared" si="46"/>
        <v>3.333333333333337E-4</v>
      </c>
      <c r="R118" s="9">
        <f t="shared" si="46"/>
        <v>6.0256410256402204E-4</v>
      </c>
    </row>
    <row r="119" spans="3:18" x14ac:dyDescent="0.3">
      <c r="C119" s="19"/>
      <c r="D119" s="10" t="s">
        <v>21</v>
      </c>
      <c r="E119" s="11">
        <f t="shared" ref="E119:Q119" si="47">IF(OR(E114="",E118=""),"",E114*E118)</f>
        <v>17403.003396000218</v>
      </c>
      <c r="F119" s="11">
        <f t="shared" si="47"/>
        <v>893.75640333323361</v>
      </c>
      <c r="G119" s="11">
        <f t="shared" si="47"/>
        <v>39727.050764333173</v>
      </c>
      <c r="H119" s="11">
        <f t="shared" si="47"/>
        <v>33528.518880350355</v>
      </c>
      <c r="I119" s="11">
        <f t="shared" si="47"/>
        <v>50095.282416666618</v>
      </c>
      <c r="J119" s="11">
        <f t="shared" si="47"/>
        <v>22995.011079999993</v>
      </c>
      <c r="K119" s="11">
        <f t="shared" si="47"/>
        <v>10067.698869999995</v>
      </c>
      <c r="L119" s="11">
        <f t="shared" si="47"/>
        <v>10303.033136666669</v>
      </c>
      <c r="M119" s="11">
        <f t="shared" si="47"/>
        <v>10566.666666501955</v>
      </c>
      <c r="N119" s="11">
        <f t="shared" si="47"/>
        <v>11710.021902205566</v>
      </c>
      <c r="O119" s="11">
        <f t="shared" si="47"/>
        <v>11151.408265407619</v>
      </c>
      <c r="P119" s="11">
        <f t="shared" si="47"/>
        <v>10061.456757364931</v>
      </c>
      <c r="Q119" s="11">
        <f t="shared" si="47"/>
        <v>11600.392545767358</v>
      </c>
      <c r="R119" s="11">
        <f>IF(COUNT(E119:Q119)=0,"",SUM(E119:Q119))</f>
        <v>240103.30108459768</v>
      </c>
    </row>
    <row r="120" spans="3:18" x14ac:dyDescent="0.3">
      <c r="C120" s="4"/>
      <c r="D120" s="4"/>
      <c r="E120" s="5" t="s">
        <v>1</v>
      </c>
      <c r="F120" s="5" t="s">
        <v>2</v>
      </c>
      <c r="G120" s="5" t="s">
        <v>3</v>
      </c>
      <c r="H120" s="5" t="s">
        <v>4</v>
      </c>
      <c r="I120" s="5" t="s">
        <v>5</v>
      </c>
      <c r="J120" s="5" t="s">
        <v>6</v>
      </c>
      <c r="K120" s="5" t="s">
        <v>7</v>
      </c>
      <c r="L120" s="5" t="s">
        <v>8</v>
      </c>
      <c r="M120" s="5" t="s">
        <v>9</v>
      </c>
      <c r="N120" s="5" t="s">
        <v>10</v>
      </c>
      <c r="O120" s="5" t="s">
        <v>11</v>
      </c>
      <c r="P120" s="5" t="s">
        <v>12</v>
      </c>
      <c r="Q120" s="5" t="s">
        <v>13</v>
      </c>
      <c r="R120" s="5" t="s">
        <v>14</v>
      </c>
    </row>
    <row r="121" spans="3:18" x14ac:dyDescent="0.3">
      <c r="C121" s="17" t="s">
        <v>24</v>
      </c>
      <c r="D121" s="4" t="s">
        <v>16</v>
      </c>
      <c r="E121" s="6">
        <v>2782132.1976899998</v>
      </c>
      <c r="F121" s="6">
        <v>2635118.904550001</v>
      </c>
      <c r="G121" s="6">
        <v>3509226.1457600002</v>
      </c>
      <c r="H121" s="6">
        <v>2390723.91</v>
      </c>
      <c r="I121" s="6">
        <v>4563028.1699999981</v>
      </c>
      <c r="J121" s="6">
        <v>2942846.5999999992</v>
      </c>
      <c r="K121" s="6">
        <v>2510036.5100000012</v>
      </c>
      <c r="L121" s="6">
        <v>2824807.21</v>
      </c>
      <c r="M121" s="6">
        <v>2000000</v>
      </c>
      <c r="N121" s="6">
        <v>2569422.58</v>
      </c>
      <c r="O121" s="6">
        <v>2569422.58</v>
      </c>
      <c r="P121" s="6">
        <v>2569422.58</v>
      </c>
      <c r="Q121" s="6">
        <v>2569422.58</v>
      </c>
      <c r="R121" s="7">
        <f>IF(COUNT(E121:Q121)=0,"",SUM(E121:Q121))</f>
        <v>36435609.967999995</v>
      </c>
    </row>
    <row r="122" spans="3:18" x14ac:dyDescent="0.3">
      <c r="C122" s="18"/>
      <c r="D122" s="4" t="s">
        <v>17</v>
      </c>
      <c r="E122" s="8">
        <v>0.81659999999999999</v>
      </c>
      <c r="F122" s="8">
        <v>0.70130000000000003</v>
      </c>
      <c r="G122" s="8">
        <v>0.74929999999999997</v>
      </c>
      <c r="H122" s="8">
        <v>0.6633</v>
      </c>
      <c r="I122" s="8">
        <v>0.70789999999999997</v>
      </c>
      <c r="J122" s="8">
        <v>0.72689999999999999</v>
      </c>
      <c r="K122" s="8">
        <v>0.70369999999999999</v>
      </c>
      <c r="L122" s="8">
        <v>0.76470000000000005</v>
      </c>
      <c r="M122" s="8">
        <v>0.73519999999999996</v>
      </c>
      <c r="N122" s="9">
        <v>0.73519999999999996</v>
      </c>
      <c r="O122" s="9">
        <v>0.73519999999999996</v>
      </c>
      <c r="P122" s="9">
        <v>0.73899999999999999</v>
      </c>
      <c r="Q122" s="9">
        <v>0.73899999999999999</v>
      </c>
      <c r="R122" s="8">
        <f>IF(COUNT(E122:Q122)=0,"",AVERAGE(E122:Q122))</f>
        <v>0.73210000000000008</v>
      </c>
    </row>
    <row r="123" spans="3:18" x14ac:dyDescent="0.3">
      <c r="C123" s="18"/>
      <c r="D123" s="4" t="s">
        <v>18</v>
      </c>
      <c r="E123" s="9">
        <v>0.8196</v>
      </c>
      <c r="F123" s="9">
        <v>0.71630000000000005</v>
      </c>
      <c r="G123" s="9">
        <v>0.75570000000000004</v>
      </c>
      <c r="H123" s="9">
        <v>0.68330000000000002</v>
      </c>
      <c r="I123" s="9">
        <v>0.72289999999999999</v>
      </c>
      <c r="J123" s="9">
        <v>0.7419</v>
      </c>
      <c r="K123" s="9">
        <v>0.71870000000000001</v>
      </c>
      <c r="L123" s="9">
        <v>0.77969999999999995</v>
      </c>
      <c r="M123" s="9">
        <v>0.75019999999999998</v>
      </c>
      <c r="N123" s="9">
        <v>0.75019999999999998</v>
      </c>
      <c r="O123" s="9">
        <v>0.75019999999999998</v>
      </c>
      <c r="P123" s="9">
        <v>0.754</v>
      </c>
      <c r="Q123" s="9">
        <v>0.754</v>
      </c>
      <c r="R123" s="9">
        <f>IF(COUNT(E123:Q123)=0,"",AVERAGE(E123:Q123))</f>
        <v>0.7458999999999999</v>
      </c>
    </row>
    <row r="124" spans="3:18" x14ac:dyDescent="0.3">
      <c r="C124" s="18"/>
      <c r="D124" s="4" t="s">
        <v>19</v>
      </c>
      <c r="E124" s="9">
        <f t="shared" ref="E124:R124" si="48">IF(OR(E122="",E123=""),"",E123-E122)</f>
        <v>3.0000000000000027E-3</v>
      </c>
      <c r="F124" s="9">
        <f t="shared" si="48"/>
        <v>1.5000000000000013E-2</v>
      </c>
      <c r="G124" s="9">
        <f t="shared" si="48"/>
        <v>6.4000000000000723E-3</v>
      </c>
      <c r="H124" s="9">
        <f t="shared" si="48"/>
        <v>2.0000000000000018E-2</v>
      </c>
      <c r="I124" s="9">
        <f t="shared" si="48"/>
        <v>1.5000000000000013E-2</v>
      </c>
      <c r="J124" s="9">
        <f t="shared" si="48"/>
        <v>1.5000000000000013E-2</v>
      </c>
      <c r="K124" s="9">
        <f t="shared" si="48"/>
        <v>1.5000000000000013E-2</v>
      </c>
      <c r="L124" s="9">
        <f t="shared" si="48"/>
        <v>1.4999999999999902E-2</v>
      </c>
      <c r="M124" s="9">
        <f t="shared" si="48"/>
        <v>1.5000000000000013E-2</v>
      </c>
      <c r="N124" s="9">
        <f t="shared" si="48"/>
        <v>1.5000000000000013E-2</v>
      </c>
      <c r="O124" s="9">
        <f t="shared" si="48"/>
        <v>1.5000000000000013E-2</v>
      </c>
      <c r="P124" s="9">
        <f t="shared" si="48"/>
        <v>1.5000000000000013E-2</v>
      </c>
      <c r="Q124" s="9">
        <f t="shared" si="48"/>
        <v>1.5000000000000013E-2</v>
      </c>
      <c r="R124" s="9">
        <f t="shared" si="48"/>
        <v>1.3799999999999812E-2</v>
      </c>
    </row>
    <row r="125" spans="3:18" x14ac:dyDescent="0.3">
      <c r="C125" s="18"/>
      <c r="D125" s="4" t="s">
        <v>20</v>
      </c>
      <c r="E125" s="9">
        <f t="shared" ref="E125:R125" si="49">IF(E124="","",E124/3%*1%)</f>
        <v>1.0000000000000009E-3</v>
      </c>
      <c r="F125" s="9">
        <f t="shared" si="49"/>
        <v>5.0000000000000044E-3</v>
      </c>
      <c r="G125" s="9">
        <f t="shared" si="49"/>
        <v>2.1333333333333577E-3</v>
      </c>
      <c r="H125" s="9">
        <f t="shared" si="49"/>
        <v>6.6666666666666732E-3</v>
      </c>
      <c r="I125" s="9">
        <f t="shared" si="49"/>
        <v>5.0000000000000044E-3</v>
      </c>
      <c r="J125" s="9">
        <f t="shared" si="49"/>
        <v>5.0000000000000044E-3</v>
      </c>
      <c r="K125" s="9">
        <f t="shared" si="49"/>
        <v>5.0000000000000044E-3</v>
      </c>
      <c r="L125" s="9">
        <f t="shared" si="49"/>
        <v>4.999999999999968E-3</v>
      </c>
      <c r="M125" s="9">
        <f t="shared" si="49"/>
        <v>5.0000000000000044E-3</v>
      </c>
      <c r="N125" s="9">
        <f t="shared" si="49"/>
        <v>5.0000000000000044E-3</v>
      </c>
      <c r="O125" s="9">
        <f t="shared" si="49"/>
        <v>5.0000000000000044E-3</v>
      </c>
      <c r="P125" s="9">
        <f t="shared" si="49"/>
        <v>5.0000000000000044E-3</v>
      </c>
      <c r="Q125" s="9">
        <f t="shared" si="49"/>
        <v>5.0000000000000044E-3</v>
      </c>
      <c r="R125" s="9">
        <f t="shared" si="49"/>
        <v>4.5999999999999375E-3</v>
      </c>
    </row>
    <row r="126" spans="3:18" x14ac:dyDescent="0.3">
      <c r="C126" s="19"/>
      <c r="D126" s="10" t="s">
        <v>21</v>
      </c>
      <c r="E126" s="11">
        <f t="shared" ref="E126:Q126" si="50">IF(OR(E121="",E125=""),"",E121*E125)</f>
        <v>2782.1321976900022</v>
      </c>
      <c r="F126" s="11">
        <f t="shared" si="50"/>
        <v>13175.594522750016</v>
      </c>
      <c r="G126" s="11">
        <f t="shared" si="50"/>
        <v>7486.3491109547531</v>
      </c>
      <c r="H126" s="11">
        <f t="shared" si="50"/>
        <v>15938.159400000017</v>
      </c>
      <c r="I126" s="11">
        <f t="shared" si="50"/>
        <v>22815.140850000011</v>
      </c>
      <c r="J126" s="11">
        <f t="shared" si="50"/>
        <v>14714.233000000009</v>
      </c>
      <c r="K126" s="11">
        <f t="shared" si="50"/>
        <v>12550.182550000018</v>
      </c>
      <c r="L126" s="11">
        <f t="shared" si="50"/>
        <v>14124.03604999991</v>
      </c>
      <c r="M126" s="11">
        <f t="shared" si="50"/>
        <v>10000.000000000009</v>
      </c>
      <c r="N126" s="11">
        <f t="shared" si="50"/>
        <v>12847.112900000011</v>
      </c>
      <c r="O126" s="11">
        <f t="shared" si="50"/>
        <v>12847.112900000011</v>
      </c>
      <c r="P126" s="11">
        <f t="shared" si="50"/>
        <v>12847.112900000011</v>
      </c>
      <c r="Q126" s="11">
        <f t="shared" si="50"/>
        <v>12847.112900000011</v>
      </c>
      <c r="R126" s="11">
        <f>IF(COUNT(E126:Q126)=0,"",SUM(E126:Q126))</f>
        <v>164974.27928139479</v>
      </c>
    </row>
    <row r="127" spans="3:18" x14ac:dyDescent="0.3">
      <c r="C127" s="4"/>
      <c r="D127" s="4"/>
      <c r="E127" s="5" t="s">
        <v>1</v>
      </c>
      <c r="F127" s="5" t="s">
        <v>2</v>
      </c>
      <c r="G127" s="5" t="s">
        <v>3</v>
      </c>
      <c r="H127" s="5" t="s">
        <v>4</v>
      </c>
      <c r="I127" s="5" t="s">
        <v>5</v>
      </c>
      <c r="J127" s="5" t="s">
        <v>6</v>
      </c>
      <c r="K127" s="5" t="s">
        <v>7</v>
      </c>
      <c r="L127" s="5" t="s">
        <v>8</v>
      </c>
      <c r="M127" s="5" t="s">
        <v>9</v>
      </c>
      <c r="N127" s="5" t="s">
        <v>10</v>
      </c>
      <c r="O127" s="5" t="s">
        <v>11</v>
      </c>
      <c r="P127" s="5" t="s">
        <v>12</v>
      </c>
      <c r="Q127" s="5" t="s">
        <v>13</v>
      </c>
      <c r="R127" s="5" t="s">
        <v>14</v>
      </c>
    </row>
    <row r="128" spans="3:18" x14ac:dyDescent="0.3">
      <c r="C128" s="17" t="s">
        <v>35</v>
      </c>
      <c r="D128" s="4" t="s">
        <v>16</v>
      </c>
      <c r="E128" s="6">
        <v>0</v>
      </c>
      <c r="F128" s="6">
        <v>7325478.9400000013</v>
      </c>
      <c r="G128" s="6">
        <v>9348179.8000000026</v>
      </c>
      <c r="H128" s="6">
        <v>1361567.32</v>
      </c>
      <c r="I128" s="6">
        <v>5336143.1399999997</v>
      </c>
      <c r="J128" s="6">
        <v>10331810.300000001</v>
      </c>
      <c r="K128" s="6">
        <v>2241642.7200000002</v>
      </c>
      <c r="L128" s="6">
        <v>6056373.9003196927</v>
      </c>
      <c r="M128" s="6">
        <v>5908885.408515281</v>
      </c>
      <c r="N128" s="6">
        <v>5911832.3210296286</v>
      </c>
      <c r="O128" s="6">
        <v>5788510.5128065413</v>
      </c>
      <c r="P128" s="6">
        <v>5344582.7302193707</v>
      </c>
      <c r="Q128" s="6">
        <v>5178657.8778199507</v>
      </c>
      <c r="R128" s="7">
        <f>IF(COUNT(E128:Q128)=0,"",SUM(E128:Q128))</f>
        <v>70133664.970710471</v>
      </c>
    </row>
    <row r="129" spans="3:18" x14ac:dyDescent="0.3">
      <c r="C129" s="18"/>
      <c r="D129" s="4" t="s">
        <v>17</v>
      </c>
      <c r="E129" s="8">
        <v>0.86360000000000003</v>
      </c>
      <c r="F129" s="8">
        <v>0.80840000000000001</v>
      </c>
      <c r="G129" s="8">
        <v>0.7127</v>
      </c>
      <c r="H129" s="8">
        <v>0.82920000000000005</v>
      </c>
      <c r="I129" s="8">
        <v>0.83009999999999995</v>
      </c>
      <c r="J129" s="8">
        <v>0.85970000000000002</v>
      </c>
      <c r="K129" s="8">
        <v>0.85729999999999995</v>
      </c>
      <c r="L129" s="8">
        <v>0.84440000000000004</v>
      </c>
      <c r="M129" s="9">
        <v>0.84440000000000004</v>
      </c>
      <c r="N129" s="9">
        <v>0.84650000000000003</v>
      </c>
      <c r="O129" s="9">
        <v>0.8468</v>
      </c>
      <c r="P129" s="9">
        <v>0.84989999999999999</v>
      </c>
      <c r="Q129" s="9">
        <v>0.84989999999999999</v>
      </c>
      <c r="R129" s="8">
        <f>IF(COUNT(E129:Q129)=0,"",AVERAGE(E129:Q129))</f>
        <v>0.8340692307692309</v>
      </c>
    </row>
    <row r="130" spans="3:18" x14ac:dyDescent="0.3">
      <c r="C130" s="18"/>
      <c r="D130" s="4" t="s">
        <v>18</v>
      </c>
      <c r="E130" s="9">
        <v>0.86460000000000004</v>
      </c>
      <c r="F130" s="9">
        <v>0.8145</v>
      </c>
      <c r="G130" s="9">
        <v>0.72770000000000001</v>
      </c>
      <c r="H130" s="9">
        <v>0.83919999999999995</v>
      </c>
      <c r="I130" s="9">
        <v>0.84009999999999996</v>
      </c>
      <c r="J130" s="9">
        <v>0.86470000000000002</v>
      </c>
      <c r="K130" s="9">
        <v>0.86229999999999996</v>
      </c>
      <c r="L130" s="9">
        <v>0.85299999999999998</v>
      </c>
      <c r="M130" s="9">
        <v>0.85389999999999999</v>
      </c>
      <c r="N130" s="9">
        <v>0.85650000000000004</v>
      </c>
      <c r="O130" s="9">
        <v>0.85680000000000001</v>
      </c>
      <c r="P130" s="9">
        <v>0.8599</v>
      </c>
      <c r="Q130" s="9">
        <v>0.8599</v>
      </c>
      <c r="R130" s="9">
        <f>IF(COUNT(E130:Q130)=0,"",AVERAGE(E130:Q130))</f>
        <v>0.84254615384615383</v>
      </c>
    </row>
    <row r="131" spans="3:18" x14ac:dyDescent="0.3">
      <c r="C131" s="18"/>
      <c r="D131" s="4" t="s">
        <v>19</v>
      </c>
      <c r="E131" s="9">
        <f t="shared" ref="E131:R131" si="51">IF(OR(E129="",E130=""),"",E130-E129)</f>
        <v>1.0000000000000009E-3</v>
      </c>
      <c r="F131" s="9">
        <f t="shared" si="51"/>
        <v>6.0999999999999943E-3</v>
      </c>
      <c r="G131" s="9">
        <f t="shared" si="51"/>
        <v>1.5000000000000013E-2</v>
      </c>
      <c r="H131" s="9">
        <f t="shared" si="51"/>
        <v>9.9999999999998979E-3</v>
      </c>
      <c r="I131" s="9">
        <f t="shared" si="51"/>
        <v>1.0000000000000009E-2</v>
      </c>
      <c r="J131" s="9">
        <f t="shared" si="51"/>
        <v>5.0000000000000044E-3</v>
      </c>
      <c r="K131" s="9">
        <f t="shared" si="51"/>
        <v>5.0000000000000044E-3</v>
      </c>
      <c r="L131" s="9">
        <f t="shared" si="51"/>
        <v>8.599999999999941E-3</v>
      </c>
      <c r="M131" s="9">
        <f t="shared" si="51"/>
        <v>9.4999999999999529E-3</v>
      </c>
      <c r="N131" s="9">
        <f t="shared" si="51"/>
        <v>1.0000000000000009E-2</v>
      </c>
      <c r="O131" s="9">
        <f t="shared" si="51"/>
        <v>1.0000000000000009E-2</v>
      </c>
      <c r="P131" s="9">
        <f t="shared" si="51"/>
        <v>1.0000000000000009E-2</v>
      </c>
      <c r="Q131" s="9">
        <f t="shared" si="51"/>
        <v>1.0000000000000009E-2</v>
      </c>
      <c r="R131" s="9">
        <f t="shared" si="51"/>
        <v>8.4769230769229376E-3</v>
      </c>
    </row>
    <row r="132" spans="3:18" x14ac:dyDescent="0.3">
      <c r="C132" s="18"/>
      <c r="D132" s="4" t="s">
        <v>20</v>
      </c>
      <c r="E132" s="9">
        <f t="shared" ref="E132:R132" si="52">IF(E131="","",E131/3%*1%)</f>
        <v>3.333333333333337E-4</v>
      </c>
      <c r="F132" s="9">
        <f t="shared" si="52"/>
        <v>2.0333333333333314E-3</v>
      </c>
      <c r="G132" s="9">
        <f t="shared" si="52"/>
        <v>5.0000000000000044E-3</v>
      </c>
      <c r="H132" s="9">
        <f t="shared" si="52"/>
        <v>3.3333333333332993E-3</v>
      </c>
      <c r="I132" s="9">
        <f t="shared" si="52"/>
        <v>3.3333333333333366E-3</v>
      </c>
      <c r="J132" s="9">
        <f t="shared" si="52"/>
        <v>1.6666666666666683E-3</v>
      </c>
      <c r="K132" s="9">
        <f t="shared" si="52"/>
        <v>1.6666666666666683E-3</v>
      </c>
      <c r="L132" s="9">
        <f t="shared" si="52"/>
        <v>2.8666666666666476E-3</v>
      </c>
      <c r="M132" s="9">
        <f t="shared" si="52"/>
        <v>3.166666666666651E-3</v>
      </c>
      <c r="N132" s="9">
        <f t="shared" si="52"/>
        <v>3.3333333333333366E-3</v>
      </c>
      <c r="O132" s="9">
        <f t="shared" si="52"/>
        <v>3.3333333333333366E-3</v>
      </c>
      <c r="P132" s="9">
        <f t="shared" si="52"/>
        <v>3.3333333333333366E-3</v>
      </c>
      <c r="Q132" s="9">
        <f t="shared" si="52"/>
        <v>3.3333333333333366E-3</v>
      </c>
      <c r="R132" s="9">
        <f t="shared" si="52"/>
        <v>2.8256410256409792E-3</v>
      </c>
    </row>
    <row r="133" spans="3:18" x14ac:dyDescent="0.3">
      <c r="C133" s="19"/>
      <c r="D133" s="10" t="s">
        <v>21</v>
      </c>
      <c r="E133" s="11">
        <f t="shared" ref="E133:Q133" si="53">IF(OR(E128="",E132=""),"",E128*E132)</f>
        <v>0</v>
      </c>
      <c r="F133" s="11">
        <f t="shared" si="53"/>
        <v>14895.140511333322</v>
      </c>
      <c r="G133" s="11">
        <f t="shared" si="53"/>
        <v>46740.899000000056</v>
      </c>
      <c r="H133" s="11">
        <f t="shared" si="53"/>
        <v>4538.5577333332876</v>
      </c>
      <c r="I133" s="11">
        <f t="shared" si="53"/>
        <v>17787.143800000016</v>
      </c>
      <c r="J133" s="11">
        <f t="shared" si="53"/>
        <v>17219.683833333351</v>
      </c>
      <c r="K133" s="11">
        <f t="shared" si="53"/>
        <v>3736.071200000004</v>
      </c>
      <c r="L133" s="11">
        <f t="shared" si="53"/>
        <v>17361.605180916336</v>
      </c>
      <c r="M133" s="11">
        <f t="shared" si="53"/>
        <v>18711.470460298297</v>
      </c>
      <c r="N133" s="11">
        <f t="shared" si="53"/>
        <v>19706.107736765447</v>
      </c>
      <c r="O133" s="11">
        <f t="shared" si="53"/>
        <v>19295.035042688491</v>
      </c>
      <c r="P133" s="11">
        <f t="shared" si="53"/>
        <v>17815.275767397921</v>
      </c>
      <c r="Q133" s="11">
        <f t="shared" si="53"/>
        <v>17262.19292606652</v>
      </c>
      <c r="R133" s="11">
        <f>IF(COUNT(E133:Q133)=0,"",SUM(E133:Q133))</f>
        <v>215069.18319213303</v>
      </c>
    </row>
    <row r="134" spans="3:18" x14ac:dyDescent="0.3">
      <c r="C134" s="4"/>
      <c r="D134" s="4"/>
      <c r="E134" s="5" t="s">
        <v>1</v>
      </c>
      <c r="F134" s="5" t="s">
        <v>2</v>
      </c>
      <c r="G134" s="5" t="s">
        <v>3</v>
      </c>
      <c r="H134" s="5" t="s">
        <v>4</v>
      </c>
      <c r="I134" s="5" t="s">
        <v>5</v>
      </c>
      <c r="J134" s="5" t="s">
        <v>6</v>
      </c>
      <c r="K134" s="5" t="s">
        <v>7</v>
      </c>
      <c r="L134" s="5" t="s">
        <v>8</v>
      </c>
      <c r="M134" s="5" t="s">
        <v>9</v>
      </c>
      <c r="N134" s="5" t="s">
        <v>10</v>
      </c>
      <c r="O134" s="5" t="s">
        <v>11</v>
      </c>
      <c r="P134" s="5" t="s">
        <v>12</v>
      </c>
      <c r="Q134" s="5" t="s">
        <v>13</v>
      </c>
      <c r="R134" s="5" t="s">
        <v>14</v>
      </c>
    </row>
    <row r="135" spans="3:18" x14ac:dyDescent="0.3">
      <c r="C135" s="17" t="s">
        <v>31</v>
      </c>
      <c r="D135" s="4" t="s">
        <v>16</v>
      </c>
      <c r="E135" s="6">
        <v>23426958.659346271</v>
      </c>
      <c r="F135" s="6">
        <v>24174476.554652922</v>
      </c>
      <c r="G135" s="6">
        <v>24846471.794297211</v>
      </c>
      <c r="H135" s="6">
        <v>24752957.7408503</v>
      </c>
      <c r="I135" s="6">
        <v>24702974.81141315</v>
      </c>
      <c r="J135" s="6">
        <v>25877827.134325601</v>
      </c>
      <c r="K135" s="6">
        <v>24795449.69096522</v>
      </c>
      <c r="L135" s="6">
        <v>26112063.17784927</v>
      </c>
      <c r="M135" s="6">
        <v>27402310.181449808</v>
      </c>
      <c r="N135" s="6">
        <v>25591800.401604019</v>
      </c>
      <c r="O135" s="6">
        <v>24799090.714212079</v>
      </c>
      <c r="P135" s="6">
        <v>25582013.862253498</v>
      </c>
      <c r="Q135" s="6">
        <v>27020635.146779612</v>
      </c>
      <c r="R135" s="7">
        <f>IF(COUNT(E135:Q135)=0,"",SUM(E135:Q135))</f>
        <v>329085029.86999893</v>
      </c>
    </row>
    <row r="136" spans="3:18" x14ac:dyDescent="0.3">
      <c r="C136" s="18"/>
      <c r="D136" s="4" t="s">
        <v>17</v>
      </c>
      <c r="E136" s="8">
        <v>0.9718</v>
      </c>
      <c r="F136" s="8">
        <v>0.96909999999999996</v>
      </c>
      <c r="G136" s="8">
        <v>0.98419999999999996</v>
      </c>
      <c r="H136" s="8">
        <v>0.99139999999999995</v>
      </c>
      <c r="I136" s="8">
        <v>0.99170000000000003</v>
      </c>
      <c r="J136" s="8">
        <v>0.98080000000000001</v>
      </c>
      <c r="K136" s="8">
        <v>0.9738</v>
      </c>
      <c r="L136" s="8">
        <v>0.97789999999999999</v>
      </c>
      <c r="M136" s="9">
        <v>0.97789999999999999</v>
      </c>
      <c r="N136" s="9">
        <v>0.97789999999999999</v>
      </c>
      <c r="O136" s="9">
        <v>0.97789999999999999</v>
      </c>
      <c r="P136" s="9">
        <v>0.97889999999999999</v>
      </c>
      <c r="Q136" s="9">
        <v>0.97889999999999999</v>
      </c>
      <c r="R136" s="8">
        <f>IF(COUNT(E136:Q136)=0,"",AVERAGE(E136:Q136))</f>
        <v>0.97939999999999994</v>
      </c>
    </row>
    <row r="137" spans="3:18" x14ac:dyDescent="0.3">
      <c r="C137" s="18"/>
      <c r="D137" s="4" t="s">
        <v>18</v>
      </c>
      <c r="E137" s="9">
        <v>0.9728</v>
      </c>
      <c r="F137" s="9">
        <v>0.97009999999999996</v>
      </c>
      <c r="G137" s="9">
        <v>0.98</v>
      </c>
      <c r="H137" s="9">
        <v>0.98</v>
      </c>
      <c r="I137" s="9">
        <v>0.98</v>
      </c>
      <c r="J137" s="9">
        <v>0.98</v>
      </c>
      <c r="K137" s="9">
        <v>0.9738</v>
      </c>
      <c r="L137" s="9">
        <v>0.97889999999999999</v>
      </c>
      <c r="M137" s="9">
        <v>0.97889999999999999</v>
      </c>
      <c r="N137" s="9">
        <v>0.97889999999999999</v>
      </c>
      <c r="O137" s="9">
        <v>0.97889999999999999</v>
      </c>
      <c r="P137" s="9">
        <v>0.97989999999999999</v>
      </c>
      <c r="Q137" s="9">
        <v>0.97989999999999999</v>
      </c>
      <c r="R137" s="9">
        <f>IF(COUNT(E137:Q137)=0,"",AVERAGE(E137:Q137))</f>
        <v>0.97785384615384607</v>
      </c>
    </row>
    <row r="138" spans="3:18" x14ac:dyDescent="0.3">
      <c r="C138" s="18"/>
      <c r="D138" s="4" t="s">
        <v>19</v>
      </c>
      <c r="E138" s="9">
        <f t="shared" ref="E138:R138" si="54">IF(OR(E136="",E137=""),"",E137-E136)</f>
        <v>1.0000000000000009E-3</v>
      </c>
      <c r="F138" s="9">
        <f t="shared" si="54"/>
        <v>1.0000000000000009E-3</v>
      </c>
      <c r="G138" s="9">
        <f t="shared" si="54"/>
        <v>-4.1999999999999815E-3</v>
      </c>
      <c r="H138" s="9">
        <f t="shared" si="54"/>
        <v>-1.1399999999999966E-2</v>
      </c>
      <c r="I138" s="9">
        <f t="shared" si="54"/>
        <v>-1.1700000000000044E-2</v>
      </c>
      <c r="J138" s="9">
        <f t="shared" si="54"/>
        <v>-8.0000000000002292E-4</v>
      </c>
      <c r="K138" s="9">
        <f t="shared" si="54"/>
        <v>0</v>
      </c>
      <c r="L138" s="9">
        <f t="shared" si="54"/>
        <v>1.0000000000000009E-3</v>
      </c>
      <c r="M138" s="9">
        <f t="shared" si="54"/>
        <v>1.0000000000000009E-3</v>
      </c>
      <c r="N138" s="9">
        <f t="shared" si="54"/>
        <v>1.0000000000000009E-3</v>
      </c>
      <c r="O138" s="9">
        <f t="shared" si="54"/>
        <v>1.0000000000000009E-3</v>
      </c>
      <c r="P138" s="9">
        <f t="shared" si="54"/>
        <v>1.0000000000000009E-3</v>
      </c>
      <c r="Q138" s="9">
        <f t="shared" si="54"/>
        <v>1.0000000000000009E-3</v>
      </c>
      <c r="R138" s="9">
        <f t="shared" si="54"/>
        <v>-1.5461538461538638E-3</v>
      </c>
    </row>
    <row r="139" spans="3:18" x14ac:dyDescent="0.3">
      <c r="C139" s="18"/>
      <c r="D139" s="4" t="s">
        <v>20</v>
      </c>
      <c r="E139" s="9">
        <f t="shared" ref="E139:R139" si="55">IF(E138="","",E138/3%*1%)</f>
        <v>3.333333333333337E-4</v>
      </c>
      <c r="F139" s="9">
        <f t="shared" si="55"/>
        <v>3.333333333333337E-4</v>
      </c>
      <c r="G139" s="9">
        <f t="shared" si="55"/>
        <v>-1.3999999999999941E-3</v>
      </c>
      <c r="H139" s="9">
        <f t="shared" si="55"/>
        <v>-3.7999999999999892E-3</v>
      </c>
      <c r="I139" s="9">
        <f t="shared" si="55"/>
        <v>-3.9000000000000146E-3</v>
      </c>
      <c r="J139" s="9">
        <f t="shared" si="55"/>
        <v>-2.6666666666667432E-4</v>
      </c>
      <c r="K139" s="9">
        <f t="shared" si="55"/>
        <v>0</v>
      </c>
      <c r="L139" s="9">
        <f t="shared" si="55"/>
        <v>3.333333333333337E-4</v>
      </c>
      <c r="M139" s="9">
        <f t="shared" si="55"/>
        <v>3.333333333333337E-4</v>
      </c>
      <c r="N139" s="9">
        <f t="shared" si="55"/>
        <v>3.333333333333337E-4</v>
      </c>
      <c r="O139" s="9">
        <f t="shared" si="55"/>
        <v>3.333333333333337E-4</v>
      </c>
      <c r="P139" s="9">
        <f t="shared" si="55"/>
        <v>3.333333333333337E-4</v>
      </c>
      <c r="Q139" s="9">
        <f t="shared" si="55"/>
        <v>3.333333333333337E-4</v>
      </c>
      <c r="R139" s="9">
        <f t="shared" si="55"/>
        <v>-5.1538461538462132E-4</v>
      </c>
    </row>
    <row r="140" spans="3:18" x14ac:dyDescent="0.3">
      <c r="C140" s="19"/>
      <c r="D140" s="10" t="s">
        <v>21</v>
      </c>
      <c r="E140" s="11">
        <f t="shared" ref="E140:Q140" si="56">IF(OR(E135="",E139=""),"",E135*E139)</f>
        <v>7808.9862197820994</v>
      </c>
      <c r="F140" s="11">
        <f t="shared" si="56"/>
        <v>8058.1588515509829</v>
      </c>
      <c r="G140" s="11">
        <f t="shared" si="56"/>
        <v>-34785.060512015953</v>
      </c>
      <c r="H140" s="11">
        <f t="shared" si="56"/>
        <v>-94061.23941523087</v>
      </c>
      <c r="I140" s="11">
        <f t="shared" si="56"/>
        <v>-96341.601764511652</v>
      </c>
      <c r="J140" s="11">
        <f t="shared" si="56"/>
        <v>-6900.7539024870248</v>
      </c>
      <c r="K140" s="11">
        <f t="shared" si="56"/>
        <v>0</v>
      </c>
      <c r="L140" s="11">
        <f t="shared" si="56"/>
        <v>8704.021059283099</v>
      </c>
      <c r="M140" s="11">
        <f t="shared" si="56"/>
        <v>9134.1033938166129</v>
      </c>
      <c r="N140" s="11">
        <f t="shared" si="56"/>
        <v>8530.6001338680162</v>
      </c>
      <c r="O140" s="11">
        <f t="shared" si="56"/>
        <v>8266.3635714040356</v>
      </c>
      <c r="P140" s="11">
        <f t="shared" si="56"/>
        <v>8527.337954084509</v>
      </c>
      <c r="Q140" s="11">
        <f t="shared" si="56"/>
        <v>9006.8783822598798</v>
      </c>
      <c r="R140" s="11">
        <f>IF(COUNT(E140:Q140)=0,"",SUM(E140:Q140))</f>
        <v>-164052.20602819623</v>
      </c>
    </row>
    <row r="141" spans="3:18" x14ac:dyDescent="0.3">
      <c r="C141" s="4"/>
      <c r="D141" s="4"/>
      <c r="E141" s="5" t="s">
        <v>1</v>
      </c>
      <c r="F141" s="5" t="s">
        <v>2</v>
      </c>
      <c r="G141" s="5" t="s">
        <v>3</v>
      </c>
      <c r="H141" s="5" t="s">
        <v>4</v>
      </c>
      <c r="I141" s="5" t="s">
        <v>5</v>
      </c>
      <c r="J141" s="5" t="s">
        <v>6</v>
      </c>
      <c r="K141" s="5" t="s">
        <v>7</v>
      </c>
      <c r="L141" s="5" t="s">
        <v>8</v>
      </c>
      <c r="M141" s="5" t="s">
        <v>9</v>
      </c>
      <c r="N141" s="5" t="s">
        <v>10</v>
      </c>
      <c r="O141" s="5" t="s">
        <v>11</v>
      </c>
      <c r="P141" s="5" t="s">
        <v>12</v>
      </c>
      <c r="Q141" s="5" t="s">
        <v>13</v>
      </c>
      <c r="R141" s="5" t="s">
        <v>14</v>
      </c>
    </row>
    <row r="142" spans="3:18" x14ac:dyDescent="0.3">
      <c r="C142" s="17" t="s">
        <v>26</v>
      </c>
      <c r="D142" s="4" t="s">
        <v>16</v>
      </c>
      <c r="E142" s="6">
        <v>248180056.64780751</v>
      </c>
      <c r="F142" s="6">
        <v>218240409.05383179</v>
      </c>
      <c r="G142" s="6">
        <v>164275704.5550451</v>
      </c>
      <c r="H142" s="6">
        <v>115597483.27998739</v>
      </c>
      <c r="I142" s="6">
        <v>147291690.88999411</v>
      </c>
      <c r="J142" s="6">
        <v>190412045.97001609</v>
      </c>
      <c r="K142" s="6">
        <v>198983281.27992871</v>
      </c>
      <c r="L142" s="6">
        <v>238169107.34014079</v>
      </c>
      <c r="M142" s="6">
        <v>220000000</v>
      </c>
      <c r="N142" s="6">
        <v>247489172.62140301</v>
      </c>
      <c r="O142" s="6">
        <v>270326275.91987199</v>
      </c>
      <c r="P142" s="6">
        <v>278225849.52657098</v>
      </c>
      <c r="Q142" s="6">
        <v>284870000</v>
      </c>
      <c r="R142" s="7">
        <f>IF(COUNT(E142:Q142)=0,"",SUM(E142:Q142))</f>
        <v>2822061077.0845971</v>
      </c>
    </row>
    <row r="143" spans="3:18" x14ac:dyDescent="0.3">
      <c r="C143" s="18"/>
      <c r="D143" s="4" t="s">
        <v>17</v>
      </c>
      <c r="E143" s="8">
        <v>0.84989999999999999</v>
      </c>
      <c r="F143" s="8">
        <v>0.84850000000000003</v>
      </c>
      <c r="G143" s="8">
        <v>0.83279999999999998</v>
      </c>
      <c r="H143" s="8">
        <v>0.86519999999999997</v>
      </c>
      <c r="I143" s="8">
        <v>0.90210000000000001</v>
      </c>
      <c r="J143" s="8">
        <v>0.88239999999999996</v>
      </c>
      <c r="K143" s="8">
        <v>0.90790000000000004</v>
      </c>
      <c r="L143" s="8">
        <v>0.91830000000000001</v>
      </c>
      <c r="M143" s="9">
        <v>0.9204</v>
      </c>
      <c r="N143" s="9">
        <v>0.9224</v>
      </c>
      <c r="O143" s="9">
        <v>0.9224</v>
      </c>
      <c r="P143" s="9">
        <v>0.92390000000000005</v>
      </c>
      <c r="Q143" s="9">
        <v>0.92579999999999996</v>
      </c>
      <c r="R143" s="8">
        <f>IF(COUNT(E143:Q143)=0,"",AVERAGE(E143:Q143))</f>
        <v>0.89400000000000002</v>
      </c>
    </row>
    <row r="144" spans="3:18" x14ac:dyDescent="0.3">
      <c r="C144" s="18"/>
      <c r="D144" s="4" t="s">
        <v>18</v>
      </c>
      <c r="E144" s="9">
        <v>0.85289999999999999</v>
      </c>
      <c r="F144" s="9">
        <v>0.85370000000000001</v>
      </c>
      <c r="G144" s="9">
        <v>0.8427</v>
      </c>
      <c r="H144" s="9">
        <v>0.87019999999999997</v>
      </c>
      <c r="I144" s="9">
        <v>0.90510000000000002</v>
      </c>
      <c r="J144" s="9">
        <v>0.88739999999999997</v>
      </c>
      <c r="K144" s="9">
        <v>0.91090000000000004</v>
      </c>
      <c r="L144" s="9">
        <v>0.92130000000000001</v>
      </c>
      <c r="M144" s="9">
        <v>0.9224</v>
      </c>
      <c r="N144" s="9">
        <v>0.9244</v>
      </c>
      <c r="O144" s="9">
        <v>0.9244</v>
      </c>
      <c r="P144" s="9">
        <v>0.92589999999999995</v>
      </c>
      <c r="Q144" s="9">
        <v>0.92779999999999996</v>
      </c>
      <c r="R144" s="9">
        <f>IF(COUNT(E144:Q144)=0,"",AVERAGE(E144:Q144))</f>
        <v>0.89762307692307697</v>
      </c>
    </row>
    <row r="145" spans="3:18" x14ac:dyDescent="0.3">
      <c r="C145" s="18"/>
      <c r="D145" s="4" t="s">
        <v>19</v>
      </c>
      <c r="E145" s="9">
        <f t="shared" ref="E145:R145" si="57">IF(OR(E143="",E144=""),"",E144-E143)</f>
        <v>3.0000000000000027E-3</v>
      </c>
      <c r="F145" s="9">
        <f t="shared" si="57"/>
        <v>5.1999999999999824E-3</v>
      </c>
      <c r="G145" s="9">
        <f t="shared" si="57"/>
        <v>9.9000000000000199E-3</v>
      </c>
      <c r="H145" s="9">
        <f t="shared" si="57"/>
        <v>5.0000000000000044E-3</v>
      </c>
      <c r="I145" s="9">
        <f t="shared" si="57"/>
        <v>3.0000000000000027E-3</v>
      </c>
      <c r="J145" s="9">
        <f t="shared" si="57"/>
        <v>5.0000000000000044E-3</v>
      </c>
      <c r="K145" s="9">
        <f t="shared" si="57"/>
        <v>3.0000000000000027E-3</v>
      </c>
      <c r="L145" s="9">
        <f t="shared" si="57"/>
        <v>3.0000000000000027E-3</v>
      </c>
      <c r="M145" s="9">
        <f t="shared" si="57"/>
        <v>2.0000000000000018E-3</v>
      </c>
      <c r="N145" s="9">
        <f t="shared" si="57"/>
        <v>2.0000000000000018E-3</v>
      </c>
      <c r="O145" s="9">
        <f t="shared" si="57"/>
        <v>2.0000000000000018E-3</v>
      </c>
      <c r="P145" s="9">
        <f t="shared" si="57"/>
        <v>1.9999999999998908E-3</v>
      </c>
      <c r="Q145" s="9">
        <f t="shared" si="57"/>
        <v>2.0000000000000018E-3</v>
      </c>
      <c r="R145" s="9">
        <f t="shared" si="57"/>
        <v>3.6230769230769511E-3</v>
      </c>
    </row>
    <row r="146" spans="3:18" x14ac:dyDescent="0.3">
      <c r="C146" s="18"/>
      <c r="D146" s="4" t="s">
        <v>20</v>
      </c>
      <c r="E146" s="9">
        <f t="shared" ref="E146:R146" si="58">IF(E145="","",E145/3%*1%)</f>
        <v>1.0000000000000009E-3</v>
      </c>
      <c r="F146" s="9">
        <f t="shared" si="58"/>
        <v>1.7333333333333276E-3</v>
      </c>
      <c r="G146" s="9">
        <f t="shared" si="58"/>
        <v>3.3000000000000069E-3</v>
      </c>
      <c r="H146" s="9">
        <f t="shared" si="58"/>
        <v>1.6666666666666683E-3</v>
      </c>
      <c r="I146" s="9">
        <f t="shared" si="58"/>
        <v>1.0000000000000009E-3</v>
      </c>
      <c r="J146" s="9">
        <f t="shared" si="58"/>
        <v>1.6666666666666683E-3</v>
      </c>
      <c r="K146" s="9">
        <f t="shared" si="58"/>
        <v>1.0000000000000009E-3</v>
      </c>
      <c r="L146" s="9">
        <f t="shared" si="58"/>
        <v>1.0000000000000009E-3</v>
      </c>
      <c r="M146" s="9">
        <f t="shared" si="58"/>
        <v>6.666666666666674E-4</v>
      </c>
      <c r="N146" s="9">
        <f t="shared" si="58"/>
        <v>6.666666666666674E-4</v>
      </c>
      <c r="O146" s="9">
        <f t="shared" si="58"/>
        <v>6.666666666666674E-4</v>
      </c>
      <c r="P146" s="9">
        <f t="shared" si="58"/>
        <v>6.6666666666663032E-4</v>
      </c>
      <c r="Q146" s="9">
        <f t="shared" si="58"/>
        <v>6.666666666666674E-4</v>
      </c>
      <c r="R146" s="9">
        <f t="shared" si="58"/>
        <v>1.2076923076923172E-3</v>
      </c>
    </row>
    <row r="147" spans="3:18" x14ac:dyDescent="0.3">
      <c r="C147" s="19"/>
      <c r="D147" s="10" t="s">
        <v>21</v>
      </c>
      <c r="E147" s="11">
        <f t="shared" ref="E147:Q147" si="59">IF(OR(E142="",E146=""),"",E142*E146)</f>
        <v>248180.05664780774</v>
      </c>
      <c r="F147" s="11">
        <f t="shared" si="59"/>
        <v>378283.3756933072</v>
      </c>
      <c r="G147" s="11">
        <f t="shared" si="59"/>
        <v>542109.8250316499</v>
      </c>
      <c r="H147" s="11">
        <f t="shared" si="59"/>
        <v>192662.47213331252</v>
      </c>
      <c r="I147" s="11">
        <f t="shared" si="59"/>
        <v>147291.69088999424</v>
      </c>
      <c r="J147" s="11">
        <f t="shared" si="59"/>
        <v>317353.40995002713</v>
      </c>
      <c r="K147" s="11">
        <f t="shared" si="59"/>
        <v>198983.28127992889</v>
      </c>
      <c r="L147" s="11">
        <f t="shared" si="59"/>
        <v>238169.107340141</v>
      </c>
      <c r="M147" s="11">
        <f t="shared" si="59"/>
        <v>146666.66666666683</v>
      </c>
      <c r="N147" s="11">
        <f t="shared" si="59"/>
        <v>164992.78174760219</v>
      </c>
      <c r="O147" s="11">
        <f t="shared" si="59"/>
        <v>180217.51727991484</v>
      </c>
      <c r="P147" s="11">
        <f t="shared" si="59"/>
        <v>185483.89968437052</v>
      </c>
      <c r="Q147" s="11">
        <f t="shared" si="59"/>
        <v>189913.33333333355</v>
      </c>
      <c r="R147" s="11">
        <f>IF(COUNT(E147:Q147)=0,"",SUM(E147:Q147))</f>
        <v>3130307.4176780572</v>
      </c>
    </row>
    <row r="148" spans="3:18" x14ac:dyDescent="0.3">
      <c r="C148" s="4"/>
      <c r="D148" s="4"/>
      <c r="E148" s="5" t="s">
        <v>1</v>
      </c>
      <c r="F148" s="5" t="s">
        <v>2</v>
      </c>
      <c r="G148" s="5" t="s">
        <v>3</v>
      </c>
      <c r="H148" s="5" t="s">
        <v>4</v>
      </c>
      <c r="I148" s="5" t="s">
        <v>5</v>
      </c>
      <c r="J148" s="5" t="s">
        <v>6</v>
      </c>
      <c r="K148" s="5" t="s">
        <v>7</v>
      </c>
      <c r="L148" s="5" t="s">
        <v>8</v>
      </c>
      <c r="M148" s="5" t="s">
        <v>9</v>
      </c>
      <c r="N148" s="5" t="s">
        <v>10</v>
      </c>
      <c r="O148" s="5" t="s">
        <v>11</v>
      </c>
      <c r="P148" s="5" t="s">
        <v>12</v>
      </c>
      <c r="Q148" s="5" t="s">
        <v>13</v>
      </c>
      <c r="R148" s="5" t="s">
        <v>14</v>
      </c>
    </row>
    <row r="149" spans="3:18" x14ac:dyDescent="0.3">
      <c r="C149" s="17" t="s">
        <v>32</v>
      </c>
      <c r="D149" s="4" t="s">
        <v>16</v>
      </c>
      <c r="E149" s="6">
        <v>117593788.12</v>
      </c>
      <c r="F149" s="6">
        <v>158122618.47999999</v>
      </c>
      <c r="G149" s="6">
        <v>106749574.16</v>
      </c>
      <c r="H149" s="6">
        <v>99247148.560000002</v>
      </c>
      <c r="I149" s="6">
        <v>109516322.16</v>
      </c>
      <c r="J149" s="6">
        <v>75874622.999999896</v>
      </c>
      <c r="K149" s="6">
        <v>75335077.159999996</v>
      </c>
      <c r="L149" s="6">
        <v>105560472.12</v>
      </c>
      <c r="M149" s="6">
        <v>124300000</v>
      </c>
      <c r="N149" s="6">
        <v>125318582.401939</v>
      </c>
      <c r="O149" s="6">
        <v>137901616.08217931</v>
      </c>
      <c r="P149" s="6">
        <v>120557027.1287979</v>
      </c>
      <c r="Q149" s="6">
        <v>183088494.2788175</v>
      </c>
      <c r="R149" s="7">
        <f>IF(COUNT(E149:Q149)=0,"",SUM(E149:Q149))</f>
        <v>1539165343.6517336</v>
      </c>
    </row>
    <row r="150" spans="3:18" x14ac:dyDescent="0.3">
      <c r="C150" s="18"/>
      <c r="D150" s="4" t="s">
        <v>17</v>
      </c>
      <c r="E150" s="8">
        <v>0.87250000000000005</v>
      </c>
      <c r="F150" s="8">
        <v>0.8105</v>
      </c>
      <c r="G150" s="8">
        <v>0.85840000000000005</v>
      </c>
      <c r="H150" s="8">
        <v>0.94950000000000001</v>
      </c>
      <c r="I150" s="8">
        <v>0.92420000000000002</v>
      </c>
      <c r="J150" s="8">
        <v>0.96599999999999997</v>
      </c>
      <c r="K150" s="8">
        <v>0.9597</v>
      </c>
      <c r="L150" s="8">
        <v>0.95189999999999997</v>
      </c>
      <c r="M150" s="8">
        <v>0.98240000000000005</v>
      </c>
      <c r="N150" s="9">
        <v>0.98</v>
      </c>
      <c r="O150" s="9">
        <v>0.98</v>
      </c>
      <c r="P150" s="9">
        <v>0.98</v>
      </c>
      <c r="Q150" s="9">
        <v>0.98</v>
      </c>
      <c r="R150" s="8">
        <f>IF(COUNT(E150:Q150)=0,"",AVERAGE(E150:Q150))</f>
        <v>0.93808461538461552</v>
      </c>
    </row>
    <row r="151" spans="3:18" x14ac:dyDescent="0.3">
      <c r="C151" s="18"/>
      <c r="D151" s="4" t="s">
        <v>18</v>
      </c>
      <c r="E151" s="9">
        <v>0.87250000000000005</v>
      </c>
      <c r="F151" s="9">
        <v>0.8105</v>
      </c>
      <c r="G151" s="9">
        <v>0.85840000000000005</v>
      </c>
      <c r="H151" s="9">
        <v>0.95150000000000001</v>
      </c>
      <c r="I151" s="9">
        <v>0.92620000000000002</v>
      </c>
      <c r="J151" s="9">
        <v>0.96599999999999997</v>
      </c>
      <c r="K151" s="9">
        <v>0.9607</v>
      </c>
      <c r="L151" s="9">
        <v>0.95289999999999997</v>
      </c>
      <c r="M151" s="9">
        <v>0.98</v>
      </c>
      <c r="N151" s="9">
        <v>0.98</v>
      </c>
      <c r="O151" s="9">
        <v>0.98</v>
      </c>
      <c r="P151" s="9">
        <v>0.98</v>
      </c>
      <c r="Q151" s="9">
        <v>0.98</v>
      </c>
      <c r="R151" s="9">
        <f>IF(COUNT(E151:Q151)=0,"",AVERAGE(E151:Q151))</f>
        <v>0.93836153846153869</v>
      </c>
    </row>
    <row r="152" spans="3:18" x14ac:dyDescent="0.3">
      <c r="C152" s="18"/>
      <c r="D152" s="4" t="s">
        <v>19</v>
      </c>
      <c r="E152" s="9">
        <f t="shared" ref="E152:R152" si="60">IF(OR(E150="",E151=""),"",E151-E150)</f>
        <v>0</v>
      </c>
      <c r="F152" s="9">
        <f t="shared" si="60"/>
        <v>0</v>
      </c>
      <c r="G152" s="9">
        <f t="shared" si="60"/>
        <v>0</v>
      </c>
      <c r="H152" s="9">
        <f t="shared" si="60"/>
        <v>2.0000000000000018E-3</v>
      </c>
      <c r="I152" s="9">
        <f t="shared" si="60"/>
        <v>2.0000000000000018E-3</v>
      </c>
      <c r="J152" s="9">
        <f t="shared" si="60"/>
        <v>0</v>
      </c>
      <c r="K152" s="9">
        <f t="shared" si="60"/>
        <v>1.0000000000000009E-3</v>
      </c>
      <c r="L152" s="9">
        <f t="shared" si="60"/>
        <v>1.0000000000000009E-3</v>
      </c>
      <c r="M152" s="9">
        <f t="shared" si="60"/>
        <v>-2.4000000000000687E-3</v>
      </c>
      <c r="N152" s="9">
        <f t="shared" si="60"/>
        <v>0</v>
      </c>
      <c r="O152" s="9">
        <f t="shared" si="60"/>
        <v>0</v>
      </c>
      <c r="P152" s="9">
        <f t="shared" si="60"/>
        <v>0</v>
      </c>
      <c r="Q152" s="9">
        <f t="shared" si="60"/>
        <v>0</v>
      </c>
      <c r="R152" s="9">
        <f t="shared" si="60"/>
        <v>2.7692307692317453E-4</v>
      </c>
    </row>
    <row r="153" spans="3:18" x14ac:dyDescent="0.3">
      <c r="C153" s="18"/>
      <c r="D153" s="4" t="s">
        <v>20</v>
      </c>
      <c r="E153" s="9">
        <f t="shared" ref="E153:R153" si="61">IF(E152="","",E152/3%*1%)</f>
        <v>0</v>
      </c>
      <c r="F153" s="9">
        <f t="shared" si="61"/>
        <v>0</v>
      </c>
      <c r="G153" s="9">
        <f t="shared" si="61"/>
        <v>0</v>
      </c>
      <c r="H153" s="9">
        <f t="shared" si="61"/>
        <v>6.666666666666674E-4</v>
      </c>
      <c r="I153" s="9">
        <f t="shared" si="61"/>
        <v>6.666666666666674E-4</v>
      </c>
      <c r="J153" s="9">
        <f t="shared" si="61"/>
        <v>0</v>
      </c>
      <c r="K153" s="9">
        <f t="shared" si="61"/>
        <v>3.333333333333337E-4</v>
      </c>
      <c r="L153" s="9">
        <f t="shared" si="61"/>
        <v>3.333333333333337E-4</v>
      </c>
      <c r="M153" s="9">
        <f t="shared" si="61"/>
        <v>-8.0000000000002292E-4</v>
      </c>
      <c r="N153" s="9">
        <f t="shared" si="61"/>
        <v>0</v>
      </c>
      <c r="O153" s="9">
        <f t="shared" si="61"/>
        <v>0</v>
      </c>
      <c r="P153" s="9">
        <f t="shared" si="61"/>
        <v>0</v>
      </c>
      <c r="Q153" s="9">
        <f t="shared" si="61"/>
        <v>0</v>
      </c>
      <c r="R153" s="9">
        <f t="shared" si="61"/>
        <v>9.2307692307724842E-5</v>
      </c>
    </row>
    <row r="154" spans="3:18" x14ac:dyDescent="0.3">
      <c r="C154" s="19"/>
      <c r="D154" s="10" t="s">
        <v>21</v>
      </c>
      <c r="E154" s="11">
        <f t="shared" ref="E154:Q154" si="62">IF(OR(E149="",E153=""),"",E149*E153)</f>
        <v>0</v>
      </c>
      <c r="F154" s="11">
        <f t="shared" si="62"/>
        <v>0</v>
      </c>
      <c r="G154" s="11">
        <f t="shared" si="62"/>
        <v>0</v>
      </c>
      <c r="H154" s="11">
        <f t="shared" si="62"/>
        <v>66164.765706666745</v>
      </c>
      <c r="I154" s="11">
        <f t="shared" si="62"/>
        <v>73010.881440000085</v>
      </c>
      <c r="J154" s="11">
        <f t="shared" si="62"/>
        <v>0</v>
      </c>
      <c r="K154" s="11">
        <f t="shared" si="62"/>
        <v>25111.692386666695</v>
      </c>
      <c r="L154" s="11">
        <f t="shared" si="62"/>
        <v>35186.824040000043</v>
      </c>
      <c r="M154" s="11">
        <f t="shared" si="62"/>
        <v>-99440.000000002852</v>
      </c>
      <c r="N154" s="11">
        <f t="shared" si="62"/>
        <v>0</v>
      </c>
      <c r="O154" s="11">
        <f t="shared" si="62"/>
        <v>0</v>
      </c>
      <c r="P154" s="11">
        <f t="shared" si="62"/>
        <v>0</v>
      </c>
      <c r="Q154" s="11">
        <f t="shared" si="62"/>
        <v>0</v>
      </c>
      <c r="R154" s="11">
        <f>IF(COUNT(E154:Q154)=0,"",SUM(E154:Q154))</f>
        <v>100034.1635733307</v>
      </c>
    </row>
    <row r="155" spans="3:18" x14ac:dyDescent="0.3">
      <c r="C155" s="4"/>
      <c r="D155" s="4"/>
      <c r="E155" s="5" t="s">
        <v>1</v>
      </c>
      <c r="F155" s="5" t="s">
        <v>2</v>
      </c>
      <c r="G155" s="5" t="s">
        <v>3</v>
      </c>
      <c r="H155" s="5" t="s">
        <v>4</v>
      </c>
      <c r="I155" s="5" t="s">
        <v>5</v>
      </c>
      <c r="J155" s="5" t="s">
        <v>6</v>
      </c>
      <c r="K155" s="5" t="s">
        <v>7</v>
      </c>
      <c r="L155" s="5" t="s">
        <v>8</v>
      </c>
      <c r="M155" s="5" t="s">
        <v>9</v>
      </c>
      <c r="N155" s="5" t="s">
        <v>10</v>
      </c>
      <c r="O155" s="5" t="s">
        <v>11</v>
      </c>
      <c r="P155" s="5" t="s">
        <v>12</v>
      </c>
      <c r="Q155" s="5" t="s">
        <v>13</v>
      </c>
      <c r="R155" s="5" t="s">
        <v>14</v>
      </c>
    </row>
    <row r="156" spans="3:18" x14ac:dyDescent="0.3">
      <c r="C156" s="17" t="s">
        <v>27</v>
      </c>
      <c r="D156" s="4" t="s">
        <v>16</v>
      </c>
      <c r="E156" s="6">
        <v>134530839.8400026</v>
      </c>
      <c r="F156" s="6">
        <v>241934645.04000771</v>
      </c>
      <c r="G156" s="6">
        <v>200384171.25000781</v>
      </c>
      <c r="H156" s="6">
        <v>137277833.30999541</v>
      </c>
      <c r="I156" s="6">
        <v>174489210.4700048</v>
      </c>
      <c r="J156" s="6">
        <v>181935033.2399973</v>
      </c>
      <c r="K156" s="6">
        <v>186710479.00999689</v>
      </c>
      <c r="L156" s="6">
        <v>184332104.44000781</v>
      </c>
      <c r="M156" s="6">
        <v>173777691.72799999</v>
      </c>
      <c r="N156" s="6">
        <v>185713425.99399999</v>
      </c>
      <c r="O156" s="6">
        <v>186705634.68399999</v>
      </c>
      <c r="P156" s="6">
        <v>187885609.63999999</v>
      </c>
      <c r="Q156" s="6">
        <v>187885609.63999999</v>
      </c>
      <c r="R156" s="7">
        <f>IF(COUNT(E156:Q156)=0,"",SUM(E156:Q156))</f>
        <v>2363562288.2860203</v>
      </c>
    </row>
    <row r="157" spans="3:18" x14ac:dyDescent="0.3">
      <c r="C157" s="18"/>
      <c r="D157" s="4" t="s">
        <v>17</v>
      </c>
      <c r="E157" s="9">
        <v>0.85899999999999999</v>
      </c>
      <c r="F157" s="9">
        <v>0.85899999999999999</v>
      </c>
      <c r="G157" s="9">
        <v>0.85899999999999999</v>
      </c>
      <c r="H157" s="9">
        <v>0.85960000000000003</v>
      </c>
      <c r="I157" s="9">
        <v>0.86099999999999999</v>
      </c>
      <c r="J157" s="8">
        <v>0.89139999999999997</v>
      </c>
      <c r="K157" s="8">
        <v>1</v>
      </c>
      <c r="L157" s="8">
        <v>0.85640000000000005</v>
      </c>
      <c r="M157" s="9">
        <v>0.86099999999999999</v>
      </c>
      <c r="N157" s="9">
        <v>0.86099999999999999</v>
      </c>
      <c r="O157" s="9">
        <v>0.86099999999999999</v>
      </c>
      <c r="P157" s="9">
        <v>0.86219999999999997</v>
      </c>
      <c r="Q157" s="9">
        <v>0.86219999999999997</v>
      </c>
      <c r="R157" s="8">
        <f>IF(COUNT(E157:Q157)=0,"",AVERAGE(E157:Q157))</f>
        <v>0.8732923076923077</v>
      </c>
    </row>
    <row r="158" spans="3:18" x14ac:dyDescent="0.3">
      <c r="C158" s="18"/>
      <c r="D158" s="4" t="s">
        <v>18</v>
      </c>
      <c r="E158" s="9">
        <v>0.85899999999999999</v>
      </c>
      <c r="F158" s="9">
        <v>0.8599</v>
      </c>
      <c r="G158" s="9">
        <v>0.8599</v>
      </c>
      <c r="H158" s="9">
        <v>0.86140000000000005</v>
      </c>
      <c r="I158" s="9">
        <v>0.86339999999999995</v>
      </c>
      <c r="J158" s="9">
        <v>0.89139999999999997</v>
      </c>
      <c r="K158" s="9">
        <v>0.98</v>
      </c>
      <c r="L158" s="9">
        <v>0.85640000000000005</v>
      </c>
      <c r="M158" s="9">
        <v>0.86119999999999997</v>
      </c>
      <c r="N158" s="9">
        <v>0.86229999999999996</v>
      </c>
      <c r="O158" s="9">
        <v>0.86350000000000005</v>
      </c>
      <c r="P158" s="9">
        <v>0.86550000000000005</v>
      </c>
      <c r="Q158" s="9">
        <v>0.86699999999999999</v>
      </c>
      <c r="R158" s="9">
        <f>IF(COUNT(E158:Q158)=0,"",AVERAGE(E158:Q158))</f>
        <v>0.87314615384615402</v>
      </c>
    </row>
    <row r="159" spans="3:18" x14ac:dyDescent="0.3">
      <c r="C159" s="18"/>
      <c r="D159" s="4" t="s">
        <v>19</v>
      </c>
      <c r="E159" s="9">
        <f t="shared" ref="E159:R159" si="63">IF(OR(E157="",E158=""),"",E158-E157)</f>
        <v>0</v>
      </c>
      <c r="F159" s="9">
        <f t="shared" si="63"/>
        <v>9.000000000000119E-4</v>
      </c>
      <c r="G159" s="9">
        <f t="shared" si="63"/>
        <v>9.000000000000119E-4</v>
      </c>
      <c r="H159" s="9">
        <f t="shared" si="63"/>
        <v>1.8000000000000238E-3</v>
      </c>
      <c r="I159" s="9">
        <f t="shared" si="63"/>
        <v>2.3999999999999577E-3</v>
      </c>
      <c r="J159" s="9">
        <f t="shared" si="63"/>
        <v>0</v>
      </c>
      <c r="K159" s="9">
        <f t="shared" si="63"/>
        <v>-2.0000000000000018E-2</v>
      </c>
      <c r="L159" s="9">
        <f t="shared" si="63"/>
        <v>0</v>
      </c>
      <c r="M159" s="9">
        <f t="shared" si="63"/>
        <v>1.9999999999997797E-4</v>
      </c>
      <c r="N159" s="9">
        <f t="shared" si="63"/>
        <v>1.2999999999999678E-3</v>
      </c>
      <c r="O159" s="9">
        <f t="shared" si="63"/>
        <v>2.5000000000000577E-3</v>
      </c>
      <c r="P159" s="9">
        <f t="shared" si="63"/>
        <v>3.3000000000000806E-3</v>
      </c>
      <c r="Q159" s="9">
        <f t="shared" si="63"/>
        <v>4.8000000000000265E-3</v>
      </c>
      <c r="R159" s="9">
        <f t="shared" si="63"/>
        <v>-1.4615384615368487E-4</v>
      </c>
    </row>
    <row r="160" spans="3:18" x14ac:dyDescent="0.3">
      <c r="C160" s="18"/>
      <c r="D160" s="4" t="s">
        <v>20</v>
      </c>
      <c r="E160" s="9">
        <f t="shared" ref="E160:R160" si="64">IF(E159="","",E159/3%*1%)</f>
        <v>0</v>
      </c>
      <c r="F160" s="9">
        <f t="shared" si="64"/>
        <v>3.0000000000000399E-4</v>
      </c>
      <c r="G160" s="9">
        <f t="shared" si="64"/>
        <v>3.0000000000000399E-4</v>
      </c>
      <c r="H160" s="9">
        <f t="shared" si="64"/>
        <v>6.0000000000000797E-4</v>
      </c>
      <c r="I160" s="9">
        <f t="shared" si="64"/>
        <v>7.9999999999998605E-4</v>
      </c>
      <c r="J160" s="9">
        <f t="shared" si="64"/>
        <v>0</v>
      </c>
      <c r="K160" s="9">
        <f t="shared" si="64"/>
        <v>-6.6666666666666732E-3</v>
      </c>
      <c r="L160" s="9">
        <f t="shared" si="64"/>
        <v>0</v>
      </c>
      <c r="M160" s="9">
        <f t="shared" si="64"/>
        <v>6.6666666666659324E-5</v>
      </c>
      <c r="N160" s="9">
        <f t="shared" si="64"/>
        <v>4.3333333333332269E-4</v>
      </c>
      <c r="O160" s="9">
        <f t="shared" si="64"/>
        <v>8.3333333333335258E-4</v>
      </c>
      <c r="P160" s="9">
        <f t="shared" si="64"/>
        <v>1.100000000000027E-3</v>
      </c>
      <c r="Q160" s="9">
        <f t="shared" si="64"/>
        <v>1.600000000000009E-3</v>
      </c>
      <c r="R160" s="9">
        <f t="shared" si="64"/>
        <v>-4.8717948717894963E-5</v>
      </c>
    </row>
    <row r="161" spans="3:18" x14ac:dyDescent="0.3">
      <c r="C161" s="19"/>
      <c r="D161" s="10" t="s">
        <v>21</v>
      </c>
      <c r="E161" s="11">
        <f t="shared" ref="E161:Q161" si="65">IF(OR(E156="",E160=""),"",E156*E160)</f>
        <v>0</v>
      </c>
      <c r="F161" s="11">
        <f t="shared" si="65"/>
        <v>72580.393512003284</v>
      </c>
      <c r="G161" s="11">
        <f t="shared" si="65"/>
        <v>60115.251375003143</v>
      </c>
      <c r="H161" s="11">
        <f t="shared" si="65"/>
        <v>82366.699985998348</v>
      </c>
      <c r="I161" s="11">
        <f t="shared" si="65"/>
        <v>139591.3683760014</v>
      </c>
      <c r="J161" s="11">
        <f t="shared" si="65"/>
        <v>0</v>
      </c>
      <c r="K161" s="11">
        <f t="shared" si="65"/>
        <v>-1244736.5267333139</v>
      </c>
      <c r="L161" s="11">
        <f t="shared" si="65"/>
        <v>0</v>
      </c>
      <c r="M161" s="11">
        <f t="shared" si="65"/>
        <v>11585.179448532057</v>
      </c>
      <c r="N161" s="11">
        <f t="shared" si="65"/>
        <v>80475.817930731355</v>
      </c>
      <c r="O161" s="11">
        <f t="shared" si="65"/>
        <v>155588.0289033369</v>
      </c>
      <c r="P161" s="11">
        <f t="shared" si="65"/>
        <v>206674.17060400505</v>
      </c>
      <c r="Q161" s="11">
        <f t="shared" si="65"/>
        <v>300616.97542400163</v>
      </c>
      <c r="R161" s="11">
        <f>IF(COUNT(E161:Q161)=0,"",SUM(E161:Q161))</f>
        <v>-135142.6411737008</v>
      </c>
    </row>
    <row r="163" spans="3:18" x14ac:dyDescent="0.3">
      <c r="C163" s="1" t="s">
        <v>36</v>
      </c>
      <c r="D163" s="2"/>
      <c r="E163" s="3">
        <v>533786266.59876752</v>
      </c>
      <c r="F163" s="3">
        <v>602418354.12383187</v>
      </c>
      <c r="G163" s="3">
        <v>502170996.15076512</v>
      </c>
      <c r="H163" s="3">
        <v>370736948.39998728</v>
      </c>
      <c r="I163" s="3">
        <v>398519254.67247403</v>
      </c>
      <c r="J163" s="3">
        <v>474418867.50525588</v>
      </c>
      <c r="K163" s="3">
        <v>435784795.8619287</v>
      </c>
      <c r="L163" s="3">
        <v>519742918.90014058</v>
      </c>
      <c r="M163" s="3">
        <v>525035226.84806198</v>
      </c>
      <c r="N163" s="3">
        <v>597103052.6757766</v>
      </c>
      <c r="O163" s="3">
        <v>592198721.16250396</v>
      </c>
      <c r="P163" s="3">
        <v>577697110.58174229</v>
      </c>
      <c r="Q163" s="3">
        <v>680631877.55479944</v>
      </c>
      <c r="R163" s="3">
        <v>6810244391.0360355</v>
      </c>
    </row>
    <row r="164" spans="3:18" x14ac:dyDescent="0.3">
      <c r="C164" s="4"/>
      <c r="D164" s="4"/>
      <c r="E164" s="5" t="s">
        <v>1</v>
      </c>
      <c r="F164" s="5" t="s">
        <v>2</v>
      </c>
      <c r="G164" s="5" t="s">
        <v>3</v>
      </c>
      <c r="H164" s="5" t="s">
        <v>4</v>
      </c>
      <c r="I164" s="5" t="s">
        <v>5</v>
      </c>
      <c r="J164" s="5" t="s">
        <v>6</v>
      </c>
      <c r="K164" s="5" t="s">
        <v>7</v>
      </c>
      <c r="L164" s="5" t="s">
        <v>8</v>
      </c>
      <c r="M164" s="5" t="s">
        <v>9</v>
      </c>
      <c r="N164" s="5" t="s">
        <v>10</v>
      </c>
      <c r="O164" s="5" t="s">
        <v>11</v>
      </c>
      <c r="P164" s="5" t="s">
        <v>12</v>
      </c>
      <c r="Q164" s="5" t="s">
        <v>13</v>
      </c>
      <c r="R164" s="5" t="s">
        <v>14</v>
      </c>
    </row>
    <row r="165" spans="3:18" x14ac:dyDescent="0.3">
      <c r="C165" s="17" t="s">
        <v>37</v>
      </c>
      <c r="D165" s="4" t="s">
        <v>16</v>
      </c>
      <c r="E165" s="6">
        <v>11146662.51999999</v>
      </c>
      <c r="F165" s="6">
        <v>11426868.19999999</v>
      </c>
      <c r="G165" s="6">
        <v>11099237.689999999</v>
      </c>
      <c r="H165" s="6">
        <v>10628286.15000001</v>
      </c>
      <c r="I165" s="6">
        <v>10010725.460000001</v>
      </c>
      <c r="J165" s="6">
        <v>12133546.470000001</v>
      </c>
      <c r="K165" s="6">
        <v>9765723.3100000005</v>
      </c>
      <c r="L165" s="6">
        <v>15712112.12000001</v>
      </c>
      <c r="M165" s="6">
        <v>11426868.19999999</v>
      </c>
      <c r="N165" s="6">
        <v>11099237.689999999</v>
      </c>
      <c r="O165" s="6">
        <v>10628286.15000001</v>
      </c>
      <c r="P165" s="6">
        <v>10010725.460000001</v>
      </c>
      <c r="Q165" s="6">
        <v>12133546.470000001</v>
      </c>
      <c r="R165" s="7">
        <f>IF(COUNT(E165:Q165)=0,"",SUM(E165:Q165))</f>
        <v>147221825.88999999</v>
      </c>
    </row>
    <row r="166" spans="3:18" x14ac:dyDescent="0.3">
      <c r="C166" s="18"/>
      <c r="D166" s="4" t="s">
        <v>17</v>
      </c>
      <c r="E166" s="8">
        <v>0.69310000000000005</v>
      </c>
      <c r="F166" s="8">
        <v>0.94950000000000001</v>
      </c>
      <c r="G166" s="8">
        <v>0.97640000000000005</v>
      </c>
      <c r="H166" s="8">
        <v>0.97860000000000003</v>
      </c>
      <c r="I166" s="8">
        <v>0.97970000000000002</v>
      </c>
      <c r="J166" s="8">
        <v>0.97360000000000002</v>
      </c>
      <c r="K166" s="8">
        <v>0.97789999999999999</v>
      </c>
      <c r="L166" s="8">
        <v>0.97330000000000005</v>
      </c>
      <c r="M166" s="9">
        <v>0.97430000000000005</v>
      </c>
      <c r="N166" s="9">
        <v>0.97430000000000005</v>
      </c>
      <c r="O166" s="9">
        <v>0.97430000000000005</v>
      </c>
      <c r="P166" s="9">
        <v>0.97529999999999994</v>
      </c>
      <c r="Q166" s="9">
        <v>0.97589999999999999</v>
      </c>
      <c r="R166" s="8">
        <f>IF(COUNT(E166:Q166)=0,"",AVERAGE(E166:Q166))</f>
        <v>0.95201538461538449</v>
      </c>
    </row>
    <row r="167" spans="3:18" x14ac:dyDescent="0.3">
      <c r="C167" s="18"/>
      <c r="D167" s="4" t="s">
        <v>18</v>
      </c>
      <c r="E167" s="9">
        <v>0.69430000000000003</v>
      </c>
      <c r="F167" s="9">
        <v>0.94950000000000001</v>
      </c>
      <c r="G167" s="9">
        <v>0.97740000000000005</v>
      </c>
      <c r="H167" s="9">
        <v>0.97960000000000003</v>
      </c>
      <c r="I167" s="9">
        <v>0.98</v>
      </c>
      <c r="J167" s="9">
        <v>0.97460000000000002</v>
      </c>
      <c r="K167" s="9">
        <v>0.97889999999999999</v>
      </c>
      <c r="L167" s="9">
        <v>0.97430000000000005</v>
      </c>
      <c r="M167" s="9">
        <v>0.97519999999999996</v>
      </c>
      <c r="N167" s="9">
        <v>0.97529999999999994</v>
      </c>
      <c r="O167" s="9">
        <v>0.97529999999999994</v>
      </c>
      <c r="P167" s="9">
        <v>0.97629999999999995</v>
      </c>
      <c r="Q167" s="9">
        <v>0.97689999999999999</v>
      </c>
      <c r="R167" s="9">
        <f>IF(COUNT(E167:Q167)=0,"",AVERAGE(E167:Q167))</f>
        <v>0.95289230769230793</v>
      </c>
    </row>
    <row r="168" spans="3:18" x14ac:dyDescent="0.3">
      <c r="C168" s="18"/>
      <c r="D168" s="4" t="s">
        <v>19</v>
      </c>
      <c r="E168" s="9">
        <f t="shared" ref="E168:R168" si="66">IF(OR(E166="",E167=""),"",E167-E166)</f>
        <v>1.1999999999999789E-3</v>
      </c>
      <c r="F168" s="9">
        <f t="shared" si="66"/>
        <v>0</v>
      </c>
      <c r="G168" s="9">
        <f t="shared" si="66"/>
        <v>1.0000000000000009E-3</v>
      </c>
      <c r="H168" s="9">
        <f t="shared" si="66"/>
        <v>1.0000000000000009E-3</v>
      </c>
      <c r="I168" s="9">
        <f t="shared" si="66"/>
        <v>2.9999999999996696E-4</v>
      </c>
      <c r="J168" s="9">
        <f t="shared" si="66"/>
        <v>1.0000000000000009E-3</v>
      </c>
      <c r="K168" s="9">
        <f t="shared" si="66"/>
        <v>1.0000000000000009E-3</v>
      </c>
      <c r="L168" s="9">
        <f t="shared" si="66"/>
        <v>1.0000000000000009E-3</v>
      </c>
      <c r="M168" s="9">
        <f t="shared" si="66"/>
        <v>8.9999999999990088E-4</v>
      </c>
      <c r="N168" s="9">
        <f t="shared" si="66"/>
        <v>9.9999999999988987E-4</v>
      </c>
      <c r="O168" s="9">
        <f t="shared" si="66"/>
        <v>9.9999999999988987E-4</v>
      </c>
      <c r="P168" s="9">
        <f t="shared" si="66"/>
        <v>1.0000000000000009E-3</v>
      </c>
      <c r="Q168" s="9">
        <f t="shared" si="66"/>
        <v>1.0000000000000009E-3</v>
      </c>
      <c r="R168" s="9">
        <f t="shared" si="66"/>
        <v>8.7692307692344151E-4</v>
      </c>
    </row>
    <row r="169" spans="3:18" x14ac:dyDescent="0.3">
      <c r="C169" s="18"/>
      <c r="D169" s="4" t="s">
        <v>20</v>
      </c>
      <c r="E169" s="9">
        <f t="shared" ref="E169:R169" si="67">IF(E168="","",E168/3%*1%)</f>
        <v>3.9999999999999303E-4</v>
      </c>
      <c r="F169" s="9">
        <f t="shared" si="67"/>
        <v>0</v>
      </c>
      <c r="G169" s="9">
        <f t="shared" si="67"/>
        <v>3.333333333333337E-4</v>
      </c>
      <c r="H169" s="9">
        <f t="shared" si="67"/>
        <v>3.333333333333337E-4</v>
      </c>
      <c r="I169" s="9">
        <f t="shared" si="67"/>
        <v>9.9999999999988987E-5</v>
      </c>
      <c r="J169" s="9">
        <f t="shared" si="67"/>
        <v>3.333333333333337E-4</v>
      </c>
      <c r="K169" s="9">
        <f t="shared" si="67"/>
        <v>3.333333333333337E-4</v>
      </c>
      <c r="L169" s="9">
        <f t="shared" si="67"/>
        <v>3.333333333333337E-4</v>
      </c>
      <c r="M169" s="9">
        <f t="shared" si="67"/>
        <v>2.9999999999996696E-4</v>
      </c>
      <c r="N169" s="9">
        <f t="shared" si="67"/>
        <v>3.3333333333329662E-4</v>
      </c>
      <c r="O169" s="9">
        <f t="shared" si="67"/>
        <v>3.3333333333329662E-4</v>
      </c>
      <c r="P169" s="9">
        <f t="shared" si="67"/>
        <v>3.333333333333337E-4</v>
      </c>
      <c r="Q169" s="9">
        <f t="shared" si="67"/>
        <v>3.333333333333337E-4</v>
      </c>
      <c r="R169" s="9">
        <f t="shared" si="67"/>
        <v>2.9230769230781384E-4</v>
      </c>
    </row>
    <row r="170" spans="3:18" x14ac:dyDescent="0.3">
      <c r="C170" s="19"/>
      <c r="D170" s="10" t="s">
        <v>21</v>
      </c>
      <c r="E170" s="11">
        <f t="shared" ref="E170:Q170" si="68">IF(OR(E165="",E169=""),"",E165*E169)</f>
        <v>4458.6650079999181</v>
      </c>
      <c r="F170" s="11">
        <f t="shared" si="68"/>
        <v>0</v>
      </c>
      <c r="G170" s="11">
        <f t="shared" si="68"/>
        <v>3699.7458966666704</v>
      </c>
      <c r="H170" s="11">
        <f t="shared" si="68"/>
        <v>3542.7620500000071</v>
      </c>
      <c r="I170" s="11">
        <f t="shared" si="68"/>
        <v>1001.0725459998898</v>
      </c>
      <c r="J170" s="11">
        <f t="shared" si="68"/>
        <v>4044.5154900000048</v>
      </c>
      <c r="K170" s="11">
        <f t="shared" si="68"/>
        <v>3255.2411033333369</v>
      </c>
      <c r="L170" s="11">
        <f t="shared" si="68"/>
        <v>5237.3707066666757</v>
      </c>
      <c r="M170" s="11">
        <f t="shared" si="68"/>
        <v>3428.0604599996195</v>
      </c>
      <c r="N170" s="11">
        <f t="shared" si="68"/>
        <v>3699.7458966662589</v>
      </c>
      <c r="O170" s="11">
        <f t="shared" si="68"/>
        <v>3542.7620499996128</v>
      </c>
      <c r="P170" s="11">
        <f t="shared" si="68"/>
        <v>3336.9084866666708</v>
      </c>
      <c r="Q170" s="11">
        <f t="shared" si="68"/>
        <v>4044.5154900000048</v>
      </c>
      <c r="R170" s="11">
        <f>IF(COUNT(E170:Q170)=0,"",SUM(E170:Q170))</f>
        <v>43291.365183998671</v>
      </c>
    </row>
    <row r="171" spans="3:18" x14ac:dyDescent="0.3">
      <c r="C171" s="4"/>
      <c r="D171" s="4"/>
      <c r="E171" s="5" t="s">
        <v>1</v>
      </c>
      <c r="F171" s="5" t="s">
        <v>2</v>
      </c>
      <c r="G171" s="5" t="s">
        <v>3</v>
      </c>
      <c r="H171" s="5" t="s">
        <v>4</v>
      </c>
      <c r="I171" s="5" t="s">
        <v>5</v>
      </c>
      <c r="J171" s="5" t="s">
        <v>6</v>
      </c>
      <c r="K171" s="5" t="s">
        <v>7</v>
      </c>
      <c r="L171" s="5" t="s">
        <v>8</v>
      </c>
      <c r="M171" s="5" t="s">
        <v>9</v>
      </c>
      <c r="N171" s="5" t="s">
        <v>10</v>
      </c>
      <c r="O171" s="5" t="s">
        <v>11</v>
      </c>
      <c r="P171" s="5" t="s">
        <v>12</v>
      </c>
      <c r="Q171" s="5" t="s">
        <v>13</v>
      </c>
      <c r="R171" s="5" t="s">
        <v>14</v>
      </c>
    </row>
    <row r="172" spans="3:18" x14ac:dyDescent="0.3">
      <c r="C172" s="17" t="s">
        <v>30</v>
      </c>
      <c r="D172" s="4" t="s">
        <v>16</v>
      </c>
      <c r="E172" s="6">
        <v>11455190.24999998</v>
      </c>
      <c r="F172" s="6">
        <v>16794977.53999998</v>
      </c>
      <c r="G172" s="6">
        <v>22628371.790000081</v>
      </c>
      <c r="H172" s="6">
        <v>14216102.359999999</v>
      </c>
      <c r="I172" s="6">
        <v>9001228.0400000066</v>
      </c>
      <c r="J172" s="6">
        <v>32777864.310000081</v>
      </c>
      <c r="K172" s="6">
        <v>2434307.94</v>
      </c>
      <c r="L172" s="6">
        <v>2831100.51</v>
      </c>
      <c r="M172" s="6">
        <v>12455190.25</v>
      </c>
      <c r="N172" s="6">
        <v>16394977.539999999</v>
      </c>
      <c r="O172" s="6">
        <v>14216102.359999999</v>
      </c>
      <c r="P172" s="6">
        <v>10001228.039999999</v>
      </c>
      <c r="Q172" s="6">
        <v>16794977.53999998</v>
      </c>
      <c r="R172" s="7">
        <f>IF(COUNT(E172:Q172)=0,"",SUM(E172:Q172))</f>
        <v>182001618.47000009</v>
      </c>
    </row>
    <row r="173" spans="3:18" x14ac:dyDescent="0.3">
      <c r="C173" s="18"/>
      <c r="D173" s="4" t="s">
        <v>17</v>
      </c>
      <c r="E173" s="8">
        <v>0.8458</v>
      </c>
      <c r="F173" s="8">
        <v>0.9133</v>
      </c>
      <c r="G173" s="8">
        <v>0.97750000000000004</v>
      </c>
      <c r="H173" s="8">
        <v>0.97640000000000005</v>
      </c>
      <c r="I173" s="8">
        <v>0.9637</v>
      </c>
      <c r="J173" s="8">
        <v>0.96760000000000002</v>
      </c>
      <c r="K173" s="8">
        <v>0.98109999999999997</v>
      </c>
      <c r="L173" s="8">
        <v>0.95589999999999997</v>
      </c>
      <c r="M173" s="9">
        <v>0.95689999999999997</v>
      </c>
      <c r="N173" s="9">
        <v>0.95689999999999997</v>
      </c>
      <c r="O173" s="9">
        <v>0.95689999999999997</v>
      </c>
      <c r="P173" s="9">
        <v>0.95689999999999997</v>
      </c>
      <c r="Q173" s="9">
        <v>0.95789999999999997</v>
      </c>
      <c r="R173" s="8">
        <f>IF(COUNT(E173:Q173)=0,"",AVERAGE(E173:Q173))</f>
        <v>0.95129230769230755</v>
      </c>
    </row>
    <row r="174" spans="3:18" x14ac:dyDescent="0.3">
      <c r="C174" s="18"/>
      <c r="D174" s="4" t="s">
        <v>18</v>
      </c>
      <c r="E174" s="9">
        <v>0.84840000000000004</v>
      </c>
      <c r="F174" s="9">
        <v>0.91459999999999997</v>
      </c>
      <c r="G174" s="9">
        <v>0.97850000000000004</v>
      </c>
      <c r="H174" s="9">
        <v>0.97740000000000005</v>
      </c>
      <c r="I174" s="9">
        <v>0.9637</v>
      </c>
      <c r="J174" s="9">
        <v>0.96830000000000005</v>
      </c>
      <c r="K174" s="9">
        <v>0.98</v>
      </c>
      <c r="L174" s="9">
        <v>0.95689999999999997</v>
      </c>
      <c r="M174" s="9">
        <v>0.95789999999999997</v>
      </c>
      <c r="N174" s="9">
        <v>0.95789999999999997</v>
      </c>
      <c r="O174" s="9">
        <v>0.95789999999999997</v>
      </c>
      <c r="P174" s="9">
        <v>0.95779999999999998</v>
      </c>
      <c r="Q174" s="9">
        <v>0.95889999999999997</v>
      </c>
      <c r="R174" s="9">
        <f>IF(COUNT(E174:Q174)=0,"",AVERAGE(E174:Q174))</f>
        <v>0.95216923076923088</v>
      </c>
    </row>
    <row r="175" spans="3:18" x14ac:dyDescent="0.3">
      <c r="C175" s="18"/>
      <c r="D175" s="4" t="s">
        <v>19</v>
      </c>
      <c r="E175" s="9">
        <f t="shared" ref="E175:R175" si="69">IF(OR(E173="",E174=""),"",E174-E173)</f>
        <v>2.6000000000000467E-3</v>
      </c>
      <c r="F175" s="9">
        <f t="shared" si="69"/>
        <v>1.2999999999999678E-3</v>
      </c>
      <c r="G175" s="9">
        <f t="shared" si="69"/>
        <v>1.0000000000000009E-3</v>
      </c>
      <c r="H175" s="9">
        <f t="shared" si="69"/>
        <v>1.0000000000000009E-3</v>
      </c>
      <c r="I175" s="9">
        <f t="shared" si="69"/>
        <v>0</v>
      </c>
      <c r="J175" s="9">
        <f t="shared" si="69"/>
        <v>7.0000000000003393E-4</v>
      </c>
      <c r="K175" s="9">
        <f t="shared" si="69"/>
        <v>-1.0999999999999899E-3</v>
      </c>
      <c r="L175" s="9">
        <f t="shared" si="69"/>
        <v>1.0000000000000009E-3</v>
      </c>
      <c r="M175" s="9">
        <f t="shared" si="69"/>
        <v>1.0000000000000009E-3</v>
      </c>
      <c r="N175" s="9">
        <f t="shared" si="69"/>
        <v>1.0000000000000009E-3</v>
      </c>
      <c r="O175" s="9">
        <f t="shared" si="69"/>
        <v>1.0000000000000009E-3</v>
      </c>
      <c r="P175" s="9">
        <f t="shared" si="69"/>
        <v>9.000000000000119E-4</v>
      </c>
      <c r="Q175" s="9">
        <f t="shared" si="69"/>
        <v>1.0000000000000009E-3</v>
      </c>
      <c r="R175" s="9">
        <f t="shared" si="69"/>
        <v>8.7692307692333049E-4</v>
      </c>
    </row>
    <row r="176" spans="3:18" x14ac:dyDescent="0.3">
      <c r="C176" s="18"/>
      <c r="D176" s="4" t="s">
        <v>20</v>
      </c>
      <c r="E176" s="9">
        <f t="shared" ref="E176:R176" si="70">IF(E175="","",E175/3%*1%)</f>
        <v>8.6666666666668224E-4</v>
      </c>
      <c r="F176" s="9">
        <f t="shared" si="70"/>
        <v>4.3333333333332269E-4</v>
      </c>
      <c r="G176" s="9">
        <f t="shared" si="70"/>
        <v>3.333333333333337E-4</v>
      </c>
      <c r="H176" s="9">
        <f t="shared" si="70"/>
        <v>3.333333333333337E-4</v>
      </c>
      <c r="I176" s="9">
        <f t="shared" si="70"/>
        <v>0</v>
      </c>
      <c r="J176" s="9">
        <f t="shared" si="70"/>
        <v>2.3333333333334466E-4</v>
      </c>
      <c r="K176" s="9">
        <f t="shared" si="70"/>
        <v>-3.6666666666666336E-4</v>
      </c>
      <c r="L176" s="9">
        <f t="shared" si="70"/>
        <v>3.333333333333337E-4</v>
      </c>
      <c r="M176" s="9">
        <f t="shared" si="70"/>
        <v>3.333333333333337E-4</v>
      </c>
      <c r="N176" s="9">
        <f t="shared" si="70"/>
        <v>3.333333333333337E-4</v>
      </c>
      <c r="O176" s="9">
        <f t="shared" si="70"/>
        <v>3.333333333333337E-4</v>
      </c>
      <c r="P176" s="9">
        <f t="shared" si="70"/>
        <v>3.0000000000000399E-4</v>
      </c>
      <c r="Q176" s="9">
        <f t="shared" si="70"/>
        <v>3.333333333333337E-4</v>
      </c>
      <c r="R176" s="9">
        <f t="shared" si="70"/>
        <v>2.9230769230777687E-4</v>
      </c>
    </row>
    <row r="177" spans="3:18" x14ac:dyDescent="0.3">
      <c r="C177" s="19"/>
      <c r="D177" s="10" t="s">
        <v>21</v>
      </c>
      <c r="E177" s="11">
        <f t="shared" ref="E177:Q177" si="71">IF(OR(E172="",E176=""),"",E172*E176)</f>
        <v>9927.8315500001609</v>
      </c>
      <c r="F177" s="11">
        <f t="shared" si="71"/>
        <v>7277.8236006664793</v>
      </c>
      <c r="G177" s="11">
        <f t="shared" si="71"/>
        <v>7542.7905966667022</v>
      </c>
      <c r="H177" s="11">
        <f t="shared" si="71"/>
        <v>4738.7007866666718</v>
      </c>
      <c r="I177" s="11">
        <f t="shared" si="71"/>
        <v>0</v>
      </c>
      <c r="J177" s="11">
        <f t="shared" si="71"/>
        <v>7648.16833900039</v>
      </c>
      <c r="K177" s="11">
        <f t="shared" si="71"/>
        <v>-892.5795779999919</v>
      </c>
      <c r="L177" s="11">
        <f t="shared" si="71"/>
        <v>943.70017000000098</v>
      </c>
      <c r="M177" s="11">
        <f t="shared" si="71"/>
        <v>4151.7300833333384</v>
      </c>
      <c r="N177" s="11">
        <f t="shared" si="71"/>
        <v>5464.992513333339</v>
      </c>
      <c r="O177" s="11">
        <f t="shared" si="71"/>
        <v>4738.7007866666718</v>
      </c>
      <c r="P177" s="11">
        <f t="shared" si="71"/>
        <v>3000.3684120000394</v>
      </c>
      <c r="Q177" s="11">
        <f t="shared" si="71"/>
        <v>5598.3258466666666</v>
      </c>
      <c r="R177" s="11">
        <f>IF(COUNT(E177:Q177)=0,"",SUM(E177:Q177))</f>
        <v>60140.553107000473</v>
      </c>
    </row>
    <row r="178" spans="3:18" x14ac:dyDescent="0.3">
      <c r="C178" s="4"/>
      <c r="D178" s="4"/>
      <c r="E178" s="5" t="s">
        <v>1</v>
      </c>
      <c r="F178" s="5" t="s">
        <v>2</v>
      </c>
      <c r="G178" s="5" t="s">
        <v>3</v>
      </c>
      <c r="H178" s="5" t="s">
        <v>4</v>
      </c>
      <c r="I178" s="5" t="s">
        <v>5</v>
      </c>
      <c r="J178" s="5" t="s">
        <v>6</v>
      </c>
      <c r="K178" s="5" t="s">
        <v>7</v>
      </c>
      <c r="L178" s="5" t="s">
        <v>8</v>
      </c>
      <c r="M178" s="5" t="s">
        <v>9</v>
      </c>
      <c r="N178" s="5" t="s">
        <v>10</v>
      </c>
      <c r="O178" s="5" t="s">
        <v>11</v>
      </c>
      <c r="P178" s="5" t="s">
        <v>12</v>
      </c>
      <c r="Q178" s="5" t="s">
        <v>13</v>
      </c>
      <c r="R178" s="5" t="s">
        <v>14</v>
      </c>
    </row>
    <row r="179" spans="3:18" x14ac:dyDescent="0.3">
      <c r="C179" s="17" t="s">
        <v>15</v>
      </c>
      <c r="D179" s="4" t="s">
        <v>16</v>
      </c>
      <c r="E179" s="6">
        <v>1325353.99999999</v>
      </c>
      <c r="F179" s="6">
        <v>1578542.22999999</v>
      </c>
      <c r="G179" s="6">
        <v>1970023.22999999</v>
      </c>
      <c r="H179" s="6">
        <v>1437012.8699999901</v>
      </c>
      <c r="I179" s="6">
        <v>1960736.96</v>
      </c>
      <c r="J179" s="6">
        <v>2062970.96999999</v>
      </c>
      <c r="K179" s="6">
        <v>1785244.7520000001</v>
      </c>
      <c r="L179" s="6">
        <v>2217927.7699999898</v>
      </c>
      <c r="M179" s="6">
        <v>1779404.4509999999</v>
      </c>
      <c r="N179" s="6">
        <v>2045098.2949999999</v>
      </c>
      <c r="O179" s="6">
        <v>1694944.7350000001</v>
      </c>
      <c r="P179" s="6">
        <v>2095925.821</v>
      </c>
      <c r="Q179" s="6">
        <v>2140832.409</v>
      </c>
      <c r="R179" s="7">
        <f>IF(COUNT(E179:Q179)=0,"",SUM(E179:Q179))</f>
        <v>24094018.492999934</v>
      </c>
    </row>
    <row r="180" spans="3:18" x14ac:dyDescent="0.3">
      <c r="C180" s="18"/>
      <c r="D180" s="4" t="s">
        <v>17</v>
      </c>
      <c r="E180" s="8">
        <v>0.91339999999999999</v>
      </c>
      <c r="F180" s="8">
        <v>0.94399999999999995</v>
      </c>
      <c r="G180" s="8">
        <v>0.88349999999999995</v>
      </c>
      <c r="H180" s="8">
        <v>0.94120000000000004</v>
      </c>
      <c r="I180" s="8">
        <v>0.94359999999999999</v>
      </c>
      <c r="J180" s="8">
        <v>0.94769999999999999</v>
      </c>
      <c r="K180" s="8">
        <v>0.95120000000000005</v>
      </c>
      <c r="L180" s="8">
        <v>0.96199999999999997</v>
      </c>
      <c r="M180" s="9">
        <v>0.96299999999999997</v>
      </c>
      <c r="N180" s="9">
        <v>0.96299999999999997</v>
      </c>
      <c r="O180" s="9">
        <v>0.96399999999999997</v>
      </c>
      <c r="P180" s="9">
        <v>0.96399999999999997</v>
      </c>
      <c r="Q180" s="9">
        <v>0.96499999999999997</v>
      </c>
      <c r="R180" s="8">
        <f>IF(COUNT(E180:Q180)=0,"",AVERAGE(E180:Q180))</f>
        <v>0.94658461538461536</v>
      </c>
    </row>
    <row r="181" spans="3:18" x14ac:dyDescent="0.3">
      <c r="C181" s="18"/>
      <c r="D181" s="4" t="s">
        <v>18</v>
      </c>
      <c r="E181" s="9">
        <v>0.91539999999999999</v>
      </c>
      <c r="F181" s="9">
        <v>0.94399999999999995</v>
      </c>
      <c r="G181" s="9">
        <v>0.88849999999999996</v>
      </c>
      <c r="H181" s="9">
        <v>0.94120000000000004</v>
      </c>
      <c r="I181" s="9">
        <v>0.94359999999999999</v>
      </c>
      <c r="J181" s="9">
        <v>0.9486</v>
      </c>
      <c r="K181" s="9">
        <v>0.95220000000000005</v>
      </c>
      <c r="L181" s="9">
        <v>0.96299999999999997</v>
      </c>
      <c r="M181" s="9">
        <v>0.96399999999999997</v>
      </c>
      <c r="N181" s="9">
        <v>0.96399999999999997</v>
      </c>
      <c r="O181" s="9">
        <v>0.96479999999999999</v>
      </c>
      <c r="P181" s="9">
        <v>0.96499999999999997</v>
      </c>
      <c r="Q181" s="9">
        <v>0.96599999999999997</v>
      </c>
      <c r="R181" s="9">
        <f>IF(COUNT(E181:Q181)=0,"",AVERAGE(E181:Q181))</f>
        <v>0.94771538461538463</v>
      </c>
    </row>
    <row r="182" spans="3:18" x14ac:dyDescent="0.3">
      <c r="C182" s="18"/>
      <c r="D182" s="4" t="s">
        <v>19</v>
      </c>
      <c r="E182" s="9">
        <f t="shared" ref="E182:R182" si="72">IF(OR(E180="",E181=""),"",E181-E180)</f>
        <v>2.0000000000000018E-3</v>
      </c>
      <c r="F182" s="9">
        <f t="shared" si="72"/>
        <v>0</v>
      </c>
      <c r="G182" s="9">
        <f t="shared" si="72"/>
        <v>5.0000000000000044E-3</v>
      </c>
      <c r="H182" s="9">
        <f t="shared" si="72"/>
        <v>0</v>
      </c>
      <c r="I182" s="9">
        <f t="shared" si="72"/>
        <v>0</v>
      </c>
      <c r="J182" s="9">
        <f t="shared" si="72"/>
        <v>9.000000000000119E-4</v>
      </c>
      <c r="K182" s="9">
        <f t="shared" si="72"/>
        <v>1.0000000000000009E-3</v>
      </c>
      <c r="L182" s="9">
        <f t="shared" si="72"/>
        <v>1.0000000000000009E-3</v>
      </c>
      <c r="M182" s="9">
        <f t="shared" si="72"/>
        <v>1.0000000000000009E-3</v>
      </c>
      <c r="N182" s="9">
        <f t="shared" si="72"/>
        <v>1.0000000000000009E-3</v>
      </c>
      <c r="O182" s="9">
        <f t="shared" si="72"/>
        <v>8.0000000000002292E-4</v>
      </c>
      <c r="P182" s="9">
        <f t="shared" si="72"/>
        <v>1.0000000000000009E-3</v>
      </c>
      <c r="Q182" s="9">
        <f t="shared" si="72"/>
        <v>1.0000000000000009E-3</v>
      </c>
      <c r="R182" s="9">
        <f t="shared" si="72"/>
        <v>1.1307692307692685E-3</v>
      </c>
    </row>
    <row r="183" spans="3:18" x14ac:dyDescent="0.3">
      <c r="C183" s="18"/>
      <c r="D183" s="4" t="s">
        <v>20</v>
      </c>
      <c r="E183" s="9">
        <f t="shared" ref="E183:R183" si="73">IF(E182="","",E182/3%*1%)</f>
        <v>6.666666666666674E-4</v>
      </c>
      <c r="F183" s="9">
        <f t="shared" si="73"/>
        <v>0</v>
      </c>
      <c r="G183" s="9">
        <f t="shared" si="73"/>
        <v>1.6666666666666683E-3</v>
      </c>
      <c r="H183" s="9">
        <f t="shared" si="73"/>
        <v>0</v>
      </c>
      <c r="I183" s="9">
        <f t="shared" si="73"/>
        <v>0</v>
      </c>
      <c r="J183" s="9">
        <f t="shared" si="73"/>
        <v>3.0000000000000399E-4</v>
      </c>
      <c r="K183" s="9">
        <f t="shared" si="73"/>
        <v>3.333333333333337E-4</v>
      </c>
      <c r="L183" s="9">
        <f t="shared" si="73"/>
        <v>3.333333333333337E-4</v>
      </c>
      <c r="M183" s="9">
        <f t="shared" si="73"/>
        <v>3.333333333333337E-4</v>
      </c>
      <c r="N183" s="9">
        <f t="shared" si="73"/>
        <v>3.333333333333337E-4</v>
      </c>
      <c r="O183" s="9">
        <f t="shared" si="73"/>
        <v>2.6666666666667432E-4</v>
      </c>
      <c r="P183" s="9">
        <f t="shared" si="73"/>
        <v>3.333333333333337E-4</v>
      </c>
      <c r="Q183" s="9">
        <f t="shared" si="73"/>
        <v>3.333333333333337E-4</v>
      </c>
      <c r="R183" s="9">
        <f t="shared" si="73"/>
        <v>3.7692307692308957E-4</v>
      </c>
    </row>
    <row r="184" spans="3:18" x14ac:dyDescent="0.3">
      <c r="C184" s="19"/>
      <c r="D184" s="10" t="s">
        <v>21</v>
      </c>
      <c r="E184" s="11">
        <f t="shared" ref="E184:Q184" si="74">IF(OR(E179="",E183=""),"",E179*E183)</f>
        <v>883.56933333332768</v>
      </c>
      <c r="F184" s="11">
        <f t="shared" si="74"/>
        <v>0</v>
      </c>
      <c r="G184" s="11">
        <f t="shared" si="74"/>
        <v>3283.3720499999863</v>
      </c>
      <c r="H184" s="11">
        <f t="shared" si="74"/>
        <v>0</v>
      </c>
      <c r="I184" s="11">
        <f t="shared" si="74"/>
        <v>0</v>
      </c>
      <c r="J184" s="11">
        <f t="shared" si="74"/>
        <v>618.89129100000525</v>
      </c>
      <c r="K184" s="11">
        <f t="shared" si="74"/>
        <v>595.0815840000007</v>
      </c>
      <c r="L184" s="11">
        <f t="shared" si="74"/>
        <v>739.30925666666406</v>
      </c>
      <c r="M184" s="11">
        <f t="shared" si="74"/>
        <v>593.13481700000057</v>
      </c>
      <c r="N184" s="11">
        <f t="shared" si="74"/>
        <v>681.69943166666735</v>
      </c>
      <c r="O184" s="11">
        <f t="shared" si="74"/>
        <v>451.98526266667966</v>
      </c>
      <c r="P184" s="11">
        <f t="shared" si="74"/>
        <v>698.64194033333411</v>
      </c>
      <c r="Q184" s="11">
        <f t="shared" si="74"/>
        <v>713.61080300000083</v>
      </c>
      <c r="R184" s="11">
        <f>IF(COUNT(E184:Q184)=0,"",SUM(E184:Q184))</f>
        <v>9259.2957696666672</v>
      </c>
    </row>
    <row r="185" spans="3:18" x14ac:dyDescent="0.3">
      <c r="C185" s="4"/>
      <c r="D185" s="4"/>
      <c r="E185" s="5" t="s">
        <v>1</v>
      </c>
      <c r="F185" s="5" t="s">
        <v>2</v>
      </c>
      <c r="G185" s="5" t="s">
        <v>3</v>
      </c>
      <c r="H185" s="5" t="s">
        <v>4</v>
      </c>
      <c r="I185" s="5" t="s">
        <v>5</v>
      </c>
      <c r="J185" s="5" t="s">
        <v>6</v>
      </c>
      <c r="K185" s="5" t="s">
        <v>7</v>
      </c>
      <c r="L185" s="5" t="s">
        <v>8</v>
      </c>
      <c r="M185" s="5" t="s">
        <v>9</v>
      </c>
      <c r="N185" s="5" t="s">
        <v>10</v>
      </c>
      <c r="O185" s="5" t="s">
        <v>11</v>
      </c>
      <c r="P185" s="5" t="s">
        <v>12</v>
      </c>
      <c r="Q185" s="5" t="s">
        <v>13</v>
      </c>
      <c r="R185" s="5" t="s">
        <v>14</v>
      </c>
    </row>
    <row r="186" spans="3:18" x14ac:dyDescent="0.3">
      <c r="C186" s="17" t="s">
        <v>38</v>
      </c>
      <c r="D186" s="4" t="s">
        <v>16</v>
      </c>
      <c r="E186" s="6">
        <v>14422302.580959899</v>
      </c>
      <c r="F186" s="6">
        <v>16100614.52</v>
      </c>
      <c r="G186" s="6">
        <v>11435649.5257199</v>
      </c>
      <c r="H186" s="6">
        <v>15110665.199999999</v>
      </c>
      <c r="I186" s="6">
        <v>21787710.18248</v>
      </c>
      <c r="J186" s="6">
        <v>13939242.815239901</v>
      </c>
      <c r="K186" s="6">
        <v>8500494.3899999894</v>
      </c>
      <c r="L186" s="6">
        <v>13489431.499999899</v>
      </c>
      <c r="M186" s="6">
        <v>15000000</v>
      </c>
      <c r="N186" s="6">
        <v>18000000</v>
      </c>
      <c r="O186" s="6">
        <v>18800000</v>
      </c>
      <c r="P186" s="6">
        <v>13700000</v>
      </c>
      <c r="Q186" s="6">
        <v>14800000</v>
      </c>
      <c r="R186" s="7">
        <f>IF(COUNT(E186:Q186)=0,"",SUM(E186:Q186))</f>
        <v>195086110.71439958</v>
      </c>
    </row>
    <row r="187" spans="3:18" x14ac:dyDescent="0.3">
      <c r="C187" s="18"/>
      <c r="D187" s="4" t="s">
        <v>17</v>
      </c>
      <c r="E187" s="8">
        <v>0.86129999999999995</v>
      </c>
      <c r="F187" s="8">
        <v>0.90429999999999999</v>
      </c>
      <c r="G187" s="8">
        <v>0.97330000000000005</v>
      </c>
      <c r="H187" s="8">
        <v>0.98440000000000005</v>
      </c>
      <c r="I187" s="8">
        <v>0.98160000000000003</v>
      </c>
      <c r="J187" s="8">
        <v>0.99080000000000001</v>
      </c>
      <c r="K187" s="8">
        <v>0.99070000000000003</v>
      </c>
      <c r="L187" s="8">
        <v>0.99299999999999999</v>
      </c>
      <c r="M187" s="9">
        <v>0.98</v>
      </c>
      <c r="N187" s="9">
        <v>0.98</v>
      </c>
      <c r="O187" s="9">
        <v>0.98</v>
      </c>
      <c r="P187" s="9">
        <v>0.98</v>
      </c>
      <c r="Q187" s="9">
        <v>0.98</v>
      </c>
      <c r="R187" s="8">
        <f>IF(COUNT(E187:Q187)=0,"",AVERAGE(E187:Q187))</f>
        <v>0.96764615384615404</v>
      </c>
    </row>
    <row r="188" spans="3:18" x14ac:dyDescent="0.3">
      <c r="C188" s="18"/>
      <c r="D188" s="4" t="s">
        <v>18</v>
      </c>
      <c r="E188" s="9">
        <v>0.86240000000000006</v>
      </c>
      <c r="F188" s="9">
        <v>0.9073</v>
      </c>
      <c r="G188" s="9">
        <v>0.97430000000000005</v>
      </c>
      <c r="H188" s="9">
        <v>0.98</v>
      </c>
      <c r="I188" s="9">
        <v>0.98</v>
      </c>
      <c r="J188" s="9">
        <v>0.98</v>
      </c>
      <c r="K188" s="9">
        <v>0.98</v>
      </c>
      <c r="L188" s="9">
        <v>0.98</v>
      </c>
      <c r="M188" s="9">
        <v>0.98</v>
      </c>
      <c r="N188" s="9">
        <v>0.98</v>
      </c>
      <c r="O188" s="9">
        <v>0.98</v>
      </c>
      <c r="P188" s="9">
        <v>0.98</v>
      </c>
      <c r="Q188" s="9">
        <v>0.98</v>
      </c>
      <c r="R188" s="9">
        <f>IF(COUNT(E188:Q188)=0,"",AVERAGE(E188:Q188))</f>
        <v>0.96492307692307722</v>
      </c>
    </row>
    <row r="189" spans="3:18" x14ac:dyDescent="0.3">
      <c r="C189" s="18"/>
      <c r="D189" s="4" t="s">
        <v>19</v>
      </c>
      <c r="E189" s="9">
        <f t="shared" ref="E189:R189" si="75">IF(OR(E187="",E188=""),"",E188-E187)</f>
        <v>1.1000000000001009E-3</v>
      </c>
      <c r="F189" s="9">
        <f t="shared" si="75"/>
        <v>3.0000000000000027E-3</v>
      </c>
      <c r="G189" s="9">
        <f t="shared" si="75"/>
        <v>1.0000000000000009E-3</v>
      </c>
      <c r="H189" s="9">
        <f t="shared" si="75"/>
        <v>-4.4000000000000705E-3</v>
      </c>
      <c r="I189" s="9">
        <f t="shared" si="75"/>
        <v>-1.6000000000000458E-3</v>
      </c>
      <c r="J189" s="9">
        <f t="shared" si="75"/>
        <v>-1.0800000000000032E-2</v>
      </c>
      <c r="K189" s="9">
        <f t="shared" si="75"/>
        <v>-1.0700000000000043E-2</v>
      </c>
      <c r="L189" s="9">
        <f t="shared" si="75"/>
        <v>-1.3000000000000012E-2</v>
      </c>
      <c r="M189" s="9">
        <f t="shared" si="75"/>
        <v>0</v>
      </c>
      <c r="N189" s="9">
        <f t="shared" si="75"/>
        <v>0</v>
      </c>
      <c r="O189" s="9">
        <f t="shared" si="75"/>
        <v>0</v>
      </c>
      <c r="P189" s="9">
        <f t="shared" si="75"/>
        <v>0</v>
      </c>
      <c r="Q189" s="9">
        <f t="shared" si="75"/>
        <v>0</v>
      </c>
      <c r="R189" s="9">
        <f t="shared" si="75"/>
        <v>-2.7230769230768281E-3</v>
      </c>
    </row>
    <row r="190" spans="3:18" x14ac:dyDescent="0.3">
      <c r="C190" s="18"/>
      <c r="D190" s="4" t="s">
        <v>20</v>
      </c>
      <c r="E190" s="9">
        <f t="shared" ref="E190:R190" si="76">IF(E189="","",E189/3%*1%)</f>
        <v>3.6666666666670034E-4</v>
      </c>
      <c r="F190" s="9">
        <f t="shared" si="76"/>
        <v>1.0000000000000009E-3</v>
      </c>
      <c r="G190" s="9">
        <f t="shared" si="76"/>
        <v>3.333333333333337E-4</v>
      </c>
      <c r="H190" s="9">
        <f t="shared" si="76"/>
        <v>-1.4666666666666903E-3</v>
      </c>
      <c r="I190" s="9">
        <f t="shared" si="76"/>
        <v>-5.3333333333334865E-4</v>
      </c>
      <c r="J190" s="9">
        <f t="shared" si="76"/>
        <v>-3.6000000000000112E-3</v>
      </c>
      <c r="K190" s="9">
        <f t="shared" si="76"/>
        <v>-3.5666666666666815E-3</v>
      </c>
      <c r="L190" s="9">
        <f t="shared" si="76"/>
        <v>-4.3333333333333375E-3</v>
      </c>
      <c r="M190" s="9">
        <f t="shared" si="76"/>
        <v>0</v>
      </c>
      <c r="N190" s="9">
        <f t="shared" si="76"/>
        <v>0</v>
      </c>
      <c r="O190" s="9">
        <f t="shared" si="76"/>
        <v>0</v>
      </c>
      <c r="P190" s="9">
        <f t="shared" si="76"/>
        <v>0</v>
      </c>
      <c r="Q190" s="9">
        <f t="shared" si="76"/>
        <v>0</v>
      </c>
      <c r="R190" s="9">
        <f t="shared" si="76"/>
        <v>-9.0769230769227605E-4</v>
      </c>
    </row>
    <row r="191" spans="3:18" x14ac:dyDescent="0.3">
      <c r="C191" s="19"/>
      <c r="D191" s="10" t="s">
        <v>21</v>
      </c>
      <c r="E191" s="11">
        <f t="shared" ref="E191:Q191" si="77">IF(OR(E186="",E190=""),"",E186*E190)</f>
        <v>5288.1776130191156</v>
      </c>
      <c r="F191" s="11">
        <f t="shared" si="77"/>
        <v>16100.614520000014</v>
      </c>
      <c r="G191" s="11">
        <f t="shared" si="77"/>
        <v>3811.8831752399706</v>
      </c>
      <c r="H191" s="11">
        <f t="shared" si="77"/>
        <v>-22162.308960000355</v>
      </c>
      <c r="I191" s="11">
        <f t="shared" si="77"/>
        <v>-11620.112097323001</v>
      </c>
      <c r="J191" s="11">
        <f t="shared" si="77"/>
        <v>-50181.274134863801</v>
      </c>
      <c r="K191" s="11">
        <f t="shared" si="77"/>
        <v>-30318.429991000088</v>
      </c>
      <c r="L191" s="11">
        <f t="shared" si="77"/>
        <v>-58454.203166666288</v>
      </c>
      <c r="M191" s="11">
        <f t="shared" si="77"/>
        <v>0</v>
      </c>
      <c r="N191" s="11">
        <f t="shared" si="77"/>
        <v>0</v>
      </c>
      <c r="O191" s="11">
        <f t="shared" si="77"/>
        <v>0</v>
      </c>
      <c r="P191" s="11">
        <f t="shared" si="77"/>
        <v>0</v>
      </c>
      <c r="Q191" s="11">
        <f t="shared" si="77"/>
        <v>0</v>
      </c>
      <c r="R191" s="11">
        <f>IF(COUNT(E191:Q191)=0,"",SUM(E191:Q191))</f>
        <v>-147535.65304159443</v>
      </c>
    </row>
    <row r="192" spans="3:18" x14ac:dyDescent="0.3">
      <c r="C192" s="4"/>
      <c r="D192" s="4"/>
      <c r="E192" s="5" t="s">
        <v>1</v>
      </c>
      <c r="F192" s="5" t="s">
        <v>2</v>
      </c>
      <c r="G192" s="5" t="s">
        <v>3</v>
      </c>
      <c r="H192" s="5" t="s">
        <v>4</v>
      </c>
      <c r="I192" s="5" t="s">
        <v>5</v>
      </c>
      <c r="J192" s="5" t="s">
        <v>6</v>
      </c>
      <c r="K192" s="5" t="s">
        <v>7</v>
      </c>
      <c r="L192" s="5" t="s">
        <v>8</v>
      </c>
      <c r="M192" s="5" t="s">
        <v>9</v>
      </c>
      <c r="N192" s="5" t="s">
        <v>10</v>
      </c>
      <c r="O192" s="5" t="s">
        <v>11</v>
      </c>
      <c r="P192" s="5" t="s">
        <v>12</v>
      </c>
      <c r="Q192" s="5" t="s">
        <v>13</v>
      </c>
      <c r="R192" s="5" t="s">
        <v>14</v>
      </c>
    </row>
    <row r="193" spans="3:18" x14ac:dyDescent="0.3">
      <c r="C193" s="17" t="s">
        <v>39</v>
      </c>
      <c r="D193" s="4" t="s">
        <v>16</v>
      </c>
      <c r="E193" s="6">
        <v>103028902.31999999</v>
      </c>
      <c r="F193" s="6">
        <v>148451076.88</v>
      </c>
      <c r="G193" s="6">
        <v>158951904.19999999</v>
      </c>
      <c r="H193" s="6">
        <v>92986567.579999894</v>
      </c>
      <c r="I193" s="6">
        <v>69876400.820000008</v>
      </c>
      <c r="J193" s="6">
        <v>107348388.44</v>
      </c>
      <c r="K193" s="6">
        <v>115965317.14</v>
      </c>
      <c r="L193" s="6">
        <v>115832782.26000001</v>
      </c>
      <c r="M193" s="6">
        <v>115173763.947062</v>
      </c>
      <c r="N193" s="6">
        <v>151555984.12743461</v>
      </c>
      <c r="O193" s="6">
        <v>108831495.9154526</v>
      </c>
      <c r="P193" s="6">
        <v>115606354.6053734</v>
      </c>
      <c r="Q193" s="6">
        <v>140804026.85698199</v>
      </c>
      <c r="R193" s="7">
        <f>IF(COUNT(E193:Q193)=0,"",SUM(E193:Q193))</f>
        <v>1544412965.0923045</v>
      </c>
    </row>
    <row r="194" spans="3:18" x14ac:dyDescent="0.3">
      <c r="C194" s="18"/>
      <c r="D194" s="4" t="s">
        <v>17</v>
      </c>
      <c r="E194" s="8">
        <v>0.84719999999999995</v>
      </c>
      <c r="F194" s="8">
        <v>0.96940000000000004</v>
      </c>
      <c r="G194" s="8">
        <v>0.97640000000000005</v>
      </c>
      <c r="H194" s="8">
        <v>0.9758</v>
      </c>
      <c r="I194" s="8">
        <v>0.96989999999999998</v>
      </c>
      <c r="J194" s="8">
        <v>0.97609999999999997</v>
      </c>
      <c r="K194" s="8">
        <v>0.96579999999999999</v>
      </c>
      <c r="L194" s="8">
        <v>0.91390000000000005</v>
      </c>
      <c r="M194" s="8">
        <v>0.92400000000000004</v>
      </c>
      <c r="N194" s="9">
        <v>0.92600000000000005</v>
      </c>
      <c r="O194" s="9">
        <v>0.92649999999999999</v>
      </c>
      <c r="P194" s="9">
        <v>0.92789999999999995</v>
      </c>
      <c r="Q194" s="9">
        <v>0.92989999999999995</v>
      </c>
      <c r="R194" s="8">
        <f>IF(COUNT(E194:Q194)=0,"",AVERAGE(E194:Q194))</f>
        <v>0.94067692307692308</v>
      </c>
    </row>
    <row r="195" spans="3:18" x14ac:dyDescent="0.3">
      <c r="C195" s="18"/>
      <c r="D195" s="4" t="s">
        <v>18</v>
      </c>
      <c r="E195" s="9">
        <v>0.85009999999999997</v>
      </c>
      <c r="F195" s="9">
        <v>0.97040000000000004</v>
      </c>
      <c r="G195" s="9">
        <v>0.97640000000000005</v>
      </c>
      <c r="H195" s="9">
        <v>0.9768</v>
      </c>
      <c r="I195" s="9">
        <v>0.97089999999999999</v>
      </c>
      <c r="J195" s="9">
        <v>0.97709999999999997</v>
      </c>
      <c r="K195" s="9">
        <v>0.96679999999999999</v>
      </c>
      <c r="L195" s="9">
        <v>0.91690000000000005</v>
      </c>
      <c r="M195" s="9">
        <v>0.92600000000000005</v>
      </c>
      <c r="N195" s="9">
        <v>0.92800000000000005</v>
      </c>
      <c r="O195" s="9">
        <v>0.92849999999999999</v>
      </c>
      <c r="P195" s="9">
        <v>0.92989999999999995</v>
      </c>
      <c r="Q195" s="9">
        <v>0.93189999999999995</v>
      </c>
      <c r="R195" s="9">
        <f>IF(COUNT(E195:Q195)=0,"",AVERAGE(E195:Q195))</f>
        <v>0.94228461538461539</v>
      </c>
    </row>
    <row r="196" spans="3:18" x14ac:dyDescent="0.3">
      <c r="C196" s="18"/>
      <c r="D196" s="4" t="s">
        <v>19</v>
      </c>
      <c r="E196" s="9">
        <f t="shared" ref="E196:R196" si="78">IF(OR(E194="",E195=""),"",E195-E194)</f>
        <v>2.9000000000000137E-3</v>
      </c>
      <c r="F196" s="9">
        <f t="shared" si="78"/>
        <v>1.0000000000000009E-3</v>
      </c>
      <c r="G196" s="9">
        <f t="shared" si="78"/>
        <v>0</v>
      </c>
      <c r="H196" s="9">
        <f t="shared" si="78"/>
        <v>1.0000000000000009E-3</v>
      </c>
      <c r="I196" s="9">
        <f t="shared" si="78"/>
        <v>1.0000000000000009E-3</v>
      </c>
      <c r="J196" s="9">
        <f t="shared" si="78"/>
        <v>1.0000000000000009E-3</v>
      </c>
      <c r="K196" s="9">
        <f t="shared" si="78"/>
        <v>1.0000000000000009E-3</v>
      </c>
      <c r="L196" s="9">
        <f t="shared" si="78"/>
        <v>3.0000000000000027E-3</v>
      </c>
      <c r="M196" s="9">
        <f t="shared" si="78"/>
        <v>2.0000000000000018E-3</v>
      </c>
      <c r="N196" s="9">
        <f t="shared" si="78"/>
        <v>2.0000000000000018E-3</v>
      </c>
      <c r="O196" s="9">
        <f t="shared" si="78"/>
        <v>2.0000000000000018E-3</v>
      </c>
      <c r="P196" s="9">
        <f t="shared" si="78"/>
        <v>2.0000000000000018E-3</v>
      </c>
      <c r="Q196" s="9">
        <f t="shared" si="78"/>
        <v>2.0000000000000018E-3</v>
      </c>
      <c r="R196" s="9">
        <f t="shared" si="78"/>
        <v>1.60769230769231E-3</v>
      </c>
    </row>
    <row r="197" spans="3:18" x14ac:dyDescent="0.3">
      <c r="C197" s="18"/>
      <c r="D197" s="4" t="s">
        <v>20</v>
      </c>
      <c r="E197" s="9">
        <f t="shared" ref="E197:R197" si="79">IF(E196="","",E196/3%*1%)</f>
        <v>9.6666666666667123E-4</v>
      </c>
      <c r="F197" s="9">
        <f t="shared" si="79"/>
        <v>3.333333333333337E-4</v>
      </c>
      <c r="G197" s="9">
        <f t="shared" si="79"/>
        <v>0</v>
      </c>
      <c r="H197" s="9">
        <f t="shared" si="79"/>
        <v>3.333333333333337E-4</v>
      </c>
      <c r="I197" s="9">
        <f t="shared" si="79"/>
        <v>3.333333333333337E-4</v>
      </c>
      <c r="J197" s="9">
        <f t="shared" si="79"/>
        <v>3.333333333333337E-4</v>
      </c>
      <c r="K197" s="9">
        <f t="shared" si="79"/>
        <v>3.333333333333337E-4</v>
      </c>
      <c r="L197" s="9">
        <f t="shared" si="79"/>
        <v>1.0000000000000009E-3</v>
      </c>
      <c r="M197" s="9">
        <f t="shared" si="79"/>
        <v>6.666666666666674E-4</v>
      </c>
      <c r="N197" s="9">
        <f t="shared" si="79"/>
        <v>6.666666666666674E-4</v>
      </c>
      <c r="O197" s="9">
        <f t="shared" si="79"/>
        <v>6.666666666666674E-4</v>
      </c>
      <c r="P197" s="9">
        <f t="shared" si="79"/>
        <v>6.666666666666674E-4</v>
      </c>
      <c r="Q197" s="9">
        <f t="shared" si="79"/>
        <v>6.666666666666674E-4</v>
      </c>
      <c r="R197" s="9">
        <f t="shared" si="79"/>
        <v>5.3589743589743666E-4</v>
      </c>
    </row>
    <row r="198" spans="3:18" x14ac:dyDescent="0.3">
      <c r="C198" s="19"/>
      <c r="D198" s="10" t="s">
        <v>21</v>
      </c>
      <c r="E198" s="11">
        <f t="shared" ref="E198:Q198" si="80">IF(OR(E193="",E197=""),"",E193*E197)</f>
        <v>99594.605576000467</v>
      </c>
      <c r="F198" s="11">
        <f t="shared" si="80"/>
        <v>49483.692293333384</v>
      </c>
      <c r="G198" s="11">
        <f t="shared" si="80"/>
        <v>0</v>
      </c>
      <c r="H198" s="11">
        <f t="shared" si="80"/>
        <v>30995.522526666664</v>
      </c>
      <c r="I198" s="11">
        <f t="shared" si="80"/>
        <v>23292.133606666695</v>
      </c>
      <c r="J198" s="11">
        <f t="shared" si="80"/>
        <v>35782.796146666704</v>
      </c>
      <c r="K198" s="11">
        <f t="shared" si="80"/>
        <v>38655.105713333374</v>
      </c>
      <c r="L198" s="11">
        <f t="shared" si="80"/>
        <v>115832.78226000011</v>
      </c>
      <c r="M198" s="11">
        <f t="shared" si="80"/>
        <v>76782.509298041419</v>
      </c>
      <c r="N198" s="11">
        <f t="shared" si="80"/>
        <v>101037.32275162319</v>
      </c>
      <c r="O198" s="11">
        <f t="shared" si="80"/>
        <v>72554.330610301811</v>
      </c>
      <c r="P198" s="11">
        <f t="shared" si="80"/>
        <v>77070.903070249013</v>
      </c>
      <c r="Q198" s="11">
        <f t="shared" si="80"/>
        <v>93869.351237988099</v>
      </c>
      <c r="R198" s="11">
        <f>IF(COUNT(E198:Q198)=0,"",SUM(E198:Q198))</f>
        <v>814951.05509087094</v>
      </c>
    </row>
    <row r="199" spans="3:18" x14ac:dyDescent="0.3">
      <c r="C199" s="4"/>
      <c r="D199" s="4"/>
      <c r="E199" s="5" t="s">
        <v>1</v>
      </c>
      <c r="F199" s="5" t="s">
        <v>2</v>
      </c>
      <c r="G199" s="5" t="s">
        <v>3</v>
      </c>
      <c r="H199" s="5" t="s">
        <v>4</v>
      </c>
      <c r="I199" s="5" t="s">
        <v>5</v>
      </c>
      <c r="J199" s="5" t="s">
        <v>6</v>
      </c>
      <c r="K199" s="5" t="s">
        <v>7</v>
      </c>
      <c r="L199" s="5" t="s">
        <v>8</v>
      </c>
      <c r="M199" s="5" t="s">
        <v>9</v>
      </c>
      <c r="N199" s="5" t="s">
        <v>10</v>
      </c>
      <c r="O199" s="5" t="s">
        <v>11</v>
      </c>
      <c r="P199" s="5" t="s">
        <v>12</v>
      </c>
      <c r="Q199" s="5" t="s">
        <v>13</v>
      </c>
      <c r="R199" s="5" t="s">
        <v>14</v>
      </c>
    </row>
    <row r="200" spans="3:18" x14ac:dyDescent="0.3">
      <c r="C200" s="17" t="s">
        <v>26</v>
      </c>
      <c r="D200" s="4" t="s">
        <v>16</v>
      </c>
      <c r="E200" s="6">
        <v>248180056.64780751</v>
      </c>
      <c r="F200" s="6">
        <v>218240409.05383179</v>
      </c>
      <c r="G200" s="6">
        <v>164275704.5550451</v>
      </c>
      <c r="H200" s="6">
        <v>115597483.27998739</v>
      </c>
      <c r="I200" s="6">
        <v>147291690.88999411</v>
      </c>
      <c r="J200" s="6">
        <v>190412045.97001609</v>
      </c>
      <c r="K200" s="6">
        <v>198983281.27992871</v>
      </c>
      <c r="L200" s="6">
        <v>238169107.34014079</v>
      </c>
      <c r="M200" s="6">
        <v>220000000</v>
      </c>
      <c r="N200" s="6">
        <v>247489172.62140301</v>
      </c>
      <c r="O200" s="6">
        <v>270326275.91987199</v>
      </c>
      <c r="P200" s="6">
        <v>278225849.52657098</v>
      </c>
      <c r="Q200" s="6">
        <v>284870000</v>
      </c>
      <c r="R200" s="7">
        <f>IF(COUNT(E200:Q200)=0,"",SUM(E200:Q200))</f>
        <v>2822061077.0845971</v>
      </c>
    </row>
    <row r="201" spans="3:18" x14ac:dyDescent="0.3">
      <c r="C201" s="18"/>
      <c r="D201" s="4" t="s">
        <v>17</v>
      </c>
      <c r="E201" s="8">
        <v>0.91839999999999999</v>
      </c>
      <c r="F201" s="8">
        <v>0.93059999999999998</v>
      </c>
      <c r="G201" s="8">
        <v>0.93920000000000003</v>
      </c>
      <c r="H201" s="8">
        <v>0.94299999999999995</v>
      </c>
      <c r="I201" s="8">
        <v>0.94510000000000005</v>
      </c>
      <c r="J201" s="8">
        <v>0.94169999999999998</v>
      </c>
      <c r="K201" s="8">
        <v>0.95189999999999997</v>
      </c>
      <c r="L201" s="8">
        <v>0.95599999999999996</v>
      </c>
      <c r="M201" s="8">
        <v>0.95940000000000003</v>
      </c>
      <c r="N201" s="9">
        <v>0.96040000000000003</v>
      </c>
      <c r="O201" s="9">
        <v>0.96140000000000003</v>
      </c>
      <c r="P201" s="9">
        <v>0.96140000000000003</v>
      </c>
      <c r="Q201" s="9">
        <v>0.96240000000000003</v>
      </c>
      <c r="R201" s="8">
        <f>IF(COUNT(E201:Q201)=0,"",AVERAGE(E201:Q201))</f>
        <v>0.94853076923076918</v>
      </c>
    </row>
    <row r="202" spans="3:18" x14ac:dyDescent="0.3">
      <c r="C202" s="18"/>
      <c r="D202" s="4" t="s">
        <v>18</v>
      </c>
      <c r="E202" s="9">
        <v>0.9204</v>
      </c>
      <c r="F202" s="9">
        <v>0.93259999999999998</v>
      </c>
      <c r="G202" s="9">
        <v>0.94120000000000004</v>
      </c>
      <c r="H202" s="9">
        <v>0.94469999999999998</v>
      </c>
      <c r="I202" s="9">
        <v>0.94710000000000005</v>
      </c>
      <c r="J202" s="9">
        <v>0.94369999999999998</v>
      </c>
      <c r="K202" s="9">
        <v>0.95289999999999997</v>
      </c>
      <c r="L202" s="9">
        <v>0.95699999999999996</v>
      </c>
      <c r="M202" s="9">
        <v>0.96040000000000003</v>
      </c>
      <c r="N202" s="9">
        <v>0.96140000000000003</v>
      </c>
      <c r="O202" s="9">
        <v>0.96240000000000003</v>
      </c>
      <c r="P202" s="9">
        <v>0.96240000000000003</v>
      </c>
      <c r="Q202" s="9">
        <v>0.96340000000000003</v>
      </c>
      <c r="R202" s="9">
        <f>IF(COUNT(E202:Q202)=0,"",AVERAGE(E202:Q202))</f>
        <v>0.94996923076923079</v>
      </c>
    </row>
    <row r="203" spans="3:18" x14ac:dyDescent="0.3">
      <c r="C203" s="18"/>
      <c r="D203" s="4" t="s">
        <v>19</v>
      </c>
      <c r="E203" s="9">
        <f t="shared" ref="E203:R203" si="81">IF(OR(E201="",E202=""),"",E202-E201)</f>
        <v>2.0000000000000018E-3</v>
      </c>
      <c r="F203" s="9">
        <f t="shared" si="81"/>
        <v>2.0000000000000018E-3</v>
      </c>
      <c r="G203" s="9">
        <f t="shared" si="81"/>
        <v>2.0000000000000018E-3</v>
      </c>
      <c r="H203" s="9">
        <f t="shared" si="81"/>
        <v>1.7000000000000348E-3</v>
      </c>
      <c r="I203" s="9">
        <f t="shared" si="81"/>
        <v>2.0000000000000018E-3</v>
      </c>
      <c r="J203" s="9">
        <f t="shared" si="81"/>
        <v>2.0000000000000018E-3</v>
      </c>
      <c r="K203" s="9">
        <f t="shared" si="81"/>
        <v>1.0000000000000009E-3</v>
      </c>
      <c r="L203" s="9">
        <f t="shared" si="81"/>
        <v>1.0000000000000009E-3</v>
      </c>
      <c r="M203" s="9">
        <f t="shared" si="81"/>
        <v>1.0000000000000009E-3</v>
      </c>
      <c r="N203" s="9">
        <f t="shared" si="81"/>
        <v>1.0000000000000009E-3</v>
      </c>
      <c r="O203" s="9">
        <f t="shared" si="81"/>
        <v>1.0000000000000009E-3</v>
      </c>
      <c r="P203" s="9">
        <f t="shared" si="81"/>
        <v>1.0000000000000009E-3</v>
      </c>
      <c r="Q203" s="9">
        <f t="shared" si="81"/>
        <v>1.0000000000000009E-3</v>
      </c>
      <c r="R203" s="9">
        <f t="shared" si="81"/>
        <v>1.4384615384616106E-3</v>
      </c>
    </row>
    <row r="204" spans="3:18" x14ac:dyDescent="0.3">
      <c r="C204" s="18"/>
      <c r="D204" s="4" t="s">
        <v>20</v>
      </c>
      <c r="E204" s="9">
        <f t="shared" ref="E204:R204" si="82">IF(E203="","",E203/3%*1%)</f>
        <v>6.666666666666674E-4</v>
      </c>
      <c r="F204" s="9">
        <f t="shared" si="82"/>
        <v>6.666666666666674E-4</v>
      </c>
      <c r="G204" s="9">
        <f t="shared" si="82"/>
        <v>6.666666666666674E-4</v>
      </c>
      <c r="H204" s="9">
        <f t="shared" si="82"/>
        <v>5.6666666666667831E-4</v>
      </c>
      <c r="I204" s="9">
        <f t="shared" si="82"/>
        <v>6.666666666666674E-4</v>
      </c>
      <c r="J204" s="9">
        <f t="shared" si="82"/>
        <v>6.666666666666674E-4</v>
      </c>
      <c r="K204" s="9">
        <f t="shared" si="82"/>
        <v>3.333333333333337E-4</v>
      </c>
      <c r="L204" s="9">
        <f t="shared" si="82"/>
        <v>3.333333333333337E-4</v>
      </c>
      <c r="M204" s="9">
        <f t="shared" si="82"/>
        <v>3.333333333333337E-4</v>
      </c>
      <c r="N204" s="9">
        <f t="shared" si="82"/>
        <v>3.333333333333337E-4</v>
      </c>
      <c r="O204" s="9">
        <f t="shared" si="82"/>
        <v>3.333333333333337E-4</v>
      </c>
      <c r="P204" s="9">
        <f t="shared" si="82"/>
        <v>3.333333333333337E-4</v>
      </c>
      <c r="Q204" s="9">
        <f t="shared" si="82"/>
        <v>3.333333333333337E-4</v>
      </c>
      <c r="R204" s="9">
        <f t="shared" si="82"/>
        <v>4.7948717948720354E-4</v>
      </c>
    </row>
    <row r="205" spans="3:18" x14ac:dyDescent="0.3">
      <c r="C205" s="19"/>
      <c r="D205" s="10" t="s">
        <v>21</v>
      </c>
      <c r="E205" s="11">
        <f t="shared" ref="E205:Q205" si="83">IF(OR(E200="",E204=""),"",E200*E204)</f>
        <v>165453.37109853851</v>
      </c>
      <c r="F205" s="11">
        <f t="shared" si="83"/>
        <v>145493.60603588802</v>
      </c>
      <c r="G205" s="11">
        <f t="shared" si="83"/>
        <v>109517.13637003019</v>
      </c>
      <c r="H205" s="11">
        <f t="shared" si="83"/>
        <v>65505.240525327536</v>
      </c>
      <c r="I205" s="11">
        <f t="shared" si="83"/>
        <v>98194.460593329524</v>
      </c>
      <c r="J205" s="11">
        <f t="shared" si="83"/>
        <v>126941.36398001086</v>
      </c>
      <c r="K205" s="11">
        <f t="shared" si="83"/>
        <v>66327.760426642984</v>
      </c>
      <c r="L205" s="11">
        <f t="shared" si="83"/>
        <v>79389.70244671368</v>
      </c>
      <c r="M205" s="11">
        <f t="shared" si="83"/>
        <v>73333.333333333416</v>
      </c>
      <c r="N205" s="11">
        <f t="shared" si="83"/>
        <v>82496.390873801094</v>
      </c>
      <c r="O205" s="11">
        <f t="shared" si="83"/>
        <v>90108.758639957421</v>
      </c>
      <c r="P205" s="11">
        <f t="shared" si="83"/>
        <v>92741.949842190428</v>
      </c>
      <c r="Q205" s="11">
        <f t="shared" si="83"/>
        <v>94956.666666666773</v>
      </c>
      <c r="R205" s="11">
        <f>IF(COUNT(E205:Q205)=0,"",SUM(E205:Q205))</f>
        <v>1290459.7408324303</v>
      </c>
    </row>
    <row r="206" spans="3:18" x14ac:dyDescent="0.3">
      <c r="C206" s="4"/>
      <c r="D206" s="4"/>
      <c r="E206" s="5" t="s">
        <v>1</v>
      </c>
      <c r="F206" s="5" t="s">
        <v>2</v>
      </c>
      <c r="G206" s="5" t="s">
        <v>3</v>
      </c>
      <c r="H206" s="5" t="s">
        <v>4</v>
      </c>
      <c r="I206" s="5" t="s">
        <v>5</v>
      </c>
      <c r="J206" s="5" t="s">
        <v>6</v>
      </c>
      <c r="K206" s="5" t="s">
        <v>7</v>
      </c>
      <c r="L206" s="5" t="s">
        <v>8</v>
      </c>
      <c r="M206" s="5" t="s">
        <v>9</v>
      </c>
      <c r="N206" s="5" t="s">
        <v>10</v>
      </c>
      <c r="O206" s="5" t="s">
        <v>11</v>
      </c>
      <c r="P206" s="5" t="s">
        <v>12</v>
      </c>
      <c r="Q206" s="5" t="s">
        <v>13</v>
      </c>
      <c r="R206" s="5" t="s">
        <v>14</v>
      </c>
    </row>
    <row r="207" spans="3:18" x14ac:dyDescent="0.3">
      <c r="C207" s="17" t="s">
        <v>40</v>
      </c>
      <c r="D207" s="4" t="s">
        <v>16</v>
      </c>
      <c r="E207" s="6">
        <v>26634010.16</v>
      </c>
      <c r="F207" s="6">
        <v>31703247.219999999</v>
      </c>
      <c r="G207" s="6">
        <v>25060531</v>
      </c>
      <c r="H207" s="6">
        <v>21513682.399999999</v>
      </c>
      <c r="I207" s="6">
        <v>29074440.1599999</v>
      </c>
      <c r="J207" s="6">
        <v>39870185.530000001</v>
      </c>
      <c r="K207" s="6">
        <v>23015349.8899999</v>
      </c>
      <c r="L207" s="6">
        <v>25929985.280000001</v>
      </c>
      <c r="M207" s="6">
        <v>24900000</v>
      </c>
      <c r="N207" s="6">
        <v>25200000</v>
      </c>
      <c r="O207" s="6">
        <v>29800000</v>
      </c>
      <c r="P207" s="6">
        <v>27500000</v>
      </c>
      <c r="Q207" s="6">
        <v>26000000</v>
      </c>
      <c r="R207" s="7">
        <f>IF(COUNT(E207:Q207)=0,"",SUM(E207:Q207))</f>
        <v>356201431.63999981</v>
      </c>
    </row>
    <row r="208" spans="3:18" x14ac:dyDescent="0.3">
      <c r="C208" s="18"/>
      <c r="D208" s="4" t="s">
        <v>17</v>
      </c>
      <c r="E208" s="8">
        <v>0.87439999999999996</v>
      </c>
      <c r="F208" s="8">
        <v>0.91839999999999999</v>
      </c>
      <c r="G208" s="8">
        <v>0.94169999999999998</v>
      </c>
      <c r="H208" s="8">
        <v>0.94450000000000001</v>
      </c>
      <c r="I208" s="8">
        <v>0.95499999999999996</v>
      </c>
      <c r="J208" s="8">
        <v>0.95860000000000001</v>
      </c>
      <c r="K208" s="8">
        <v>0.94630000000000003</v>
      </c>
      <c r="L208" s="8">
        <v>0.94510000000000005</v>
      </c>
      <c r="M208" s="9">
        <v>0.94669999999999999</v>
      </c>
      <c r="N208" s="9">
        <v>0.94699999999999995</v>
      </c>
      <c r="O208" s="9">
        <v>0.94899999999999995</v>
      </c>
      <c r="P208" s="9">
        <v>0.95089999999999997</v>
      </c>
      <c r="Q208" s="9">
        <v>0.95189999999999997</v>
      </c>
      <c r="R208" s="8">
        <f>IF(COUNT(E208:Q208)=0,"",AVERAGE(E208:Q208))</f>
        <v>0.94073076923076926</v>
      </c>
    </row>
    <row r="209" spans="3:18" x14ac:dyDescent="0.3">
      <c r="C209" s="18"/>
      <c r="D209" s="4" t="s">
        <v>18</v>
      </c>
      <c r="E209" s="9">
        <v>0.87519999999999998</v>
      </c>
      <c r="F209" s="9">
        <v>0.91839999999999999</v>
      </c>
      <c r="G209" s="9">
        <v>0.94369999999999998</v>
      </c>
      <c r="H209" s="9">
        <v>0.94650000000000001</v>
      </c>
      <c r="I209" s="9">
        <v>0.95599999999999996</v>
      </c>
      <c r="J209" s="9">
        <v>0.95960000000000001</v>
      </c>
      <c r="K209" s="9">
        <v>0.94830000000000003</v>
      </c>
      <c r="L209" s="9">
        <v>0.94710000000000005</v>
      </c>
      <c r="M209" s="9">
        <v>0.94869999999999999</v>
      </c>
      <c r="N209" s="9">
        <v>0.94899999999999995</v>
      </c>
      <c r="O209" s="9">
        <v>0.95099999999999996</v>
      </c>
      <c r="P209" s="9">
        <v>0.95189999999999997</v>
      </c>
      <c r="Q209" s="9">
        <v>0.95289999999999997</v>
      </c>
      <c r="R209" s="9">
        <f>IF(COUNT(E209:Q209)=0,"",AVERAGE(E209:Q209))</f>
        <v>0.94217692307692313</v>
      </c>
    </row>
    <row r="210" spans="3:18" x14ac:dyDescent="0.3">
      <c r="C210" s="18"/>
      <c r="D210" s="4" t="s">
        <v>19</v>
      </c>
      <c r="E210" s="9">
        <f t="shared" ref="E210:R210" si="84">IF(OR(E208="",E209=""),"",E209-E208)</f>
        <v>8.0000000000002292E-4</v>
      </c>
      <c r="F210" s="9">
        <f t="shared" si="84"/>
        <v>0</v>
      </c>
      <c r="G210" s="9">
        <f t="shared" si="84"/>
        <v>2.0000000000000018E-3</v>
      </c>
      <c r="H210" s="9">
        <f t="shared" si="84"/>
        <v>2.0000000000000018E-3</v>
      </c>
      <c r="I210" s="9">
        <f t="shared" si="84"/>
        <v>1.0000000000000009E-3</v>
      </c>
      <c r="J210" s="9">
        <f t="shared" si="84"/>
        <v>1.0000000000000009E-3</v>
      </c>
      <c r="K210" s="9">
        <f t="shared" si="84"/>
        <v>2.0000000000000018E-3</v>
      </c>
      <c r="L210" s="9">
        <f t="shared" si="84"/>
        <v>2.0000000000000018E-3</v>
      </c>
      <c r="M210" s="9">
        <f t="shared" si="84"/>
        <v>2.0000000000000018E-3</v>
      </c>
      <c r="N210" s="9">
        <f t="shared" si="84"/>
        <v>2.0000000000000018E-3</v>
      </c>
      <c r="O210" s="9">
        <f t="shared" si="84"/>
        <v>2.0000000000000018E-3</v>
      </c>
      <c r="P210" s="9">
        <f t="shared" si="84"/>
        <v>1.0000000000000009E-3</v>
      </c>
      <c r="Q210" s="9">
        <f t="shared" si="84"/>
        <v>1.0000000000000009E-3</v>
      </c>
      <c r="R210" s="9">
        <f t="shared" si="84"/>
        <v>1.4461538461538748E-3</v>
      </c>
    </row>
    <row r="211" spans="3:18" x14ac:dyDescent="0.3">
      <c r="C211" s="18"/>
      <c r="D211" s="4" t="s">
        <v>20</v>
      </c>
      <c r="E211" s="9">
        <f t="shared" ref="E211:R211" si="85">IF(E210="","",E210/3%*1%)</f>
        <v>2.6666666666667432E-4</v>
      </c>
      <c r="F211" s="9">
        <f t="shared" si="85"/>
        <v>0</v>
      </c>
      <c r="G211" s="9">
        <f t="shared" si="85"/>
        <v>6.666666666666674E-4</v>
      </c>
      <c r="H211" s="9">
        <f t="shared" si="85"/>
        <v>6.666666666666674E-4</v>
      </c>
      <c r="I211" s="9">
        <f t="shared" si="85"/>
        <v>3.333333333333337E-4</v>
      </c>
      <c r="J211" s="9">
        <f t="shared" si="85"/>
        <v>3.333333333333337E-4</v>
      </c>
      <c r="K211" s="9">
        <f t="shared" si="85"/>
        <v>6.666666666666674E-4</v>
      </c>
      <c r="L211" s="9">
        <f t="shared" si="85"/>
        <v>6.666666666666674E-4</v>
      </c>
      <c r="M211" s="9">
        <f t="shared" si="85"/>
        <v>6.666666666666674E-4</v>
      </c>
      <c r="N211" s="9">
        <f t="shared" si="85"/>
        <v>6.666666666666674E-4</v>
      </c>
      <c r="O211" s="9">
        <f t="shared" si="85"/>
        <v>6.666666666666674E-4</v>
      </c>
      <c r="P211" s="9">
        <f t="shared" si="85"/>
        <v>3.333333333333337E-4</v>
      </c>
      <c r="Q211" s="9">
        <f t="shared" si="85"/>
        <v>3.333333333333337E-4</v>
      </c>
      <c r="R211" s="9">
        <f t="shared" si="85"/>
        <v>4.8205128205129166E-4</v>
      </c>
    </row>
    <row r="212" spans="3:18" x14ac:dyDescent="0.3">
      <c r="C212" s="19"/>
      <c r="D212" s="10" t="s">
        <v>21</v>
      </c>
      <c r="E212" s="11">
        <f t="shared" ref="E212:Q212" si="86">IF(OR(E207="",E211=""),"",E207*E211)</f>
        <v>7102.4027093335371</v>
      </c>
      <c r="F212" s="11">
        <f t="shared" si="86"/>
        <v>0</v>
      </c>
      <c r="G212" s="11">
        <f t="shared" si="86"/>
        <v>16707.020666666685</v>
      </c>
      <c r="H212" s="11">
        <f t="shared" si="86"/>
        <v>14342.454933333349</v>
      </c>
      <c r="I212" s="11">
        <f t="shared" si="86"/>
        <v>9691.4800533333109</v>
      </c>
      <c r="J212" s="11">
        <f t="shared" si="86"/>
        <v>13290.061843333349</v>
      </c>
      <c r="K212" s="11">
        <f t="shared" si="86"/>
        <v>15343.566593333284</v>
      </c>
      <c r="L212" s="11">
        <f t="shared" si="86"/>
        <v>17286.656853333352</v>
      </c>
      <c r="M212" s="11">
        <f t="shared" si="86"/>
        <v>16600.000000000018</v>
      </c>
      <c r="N212" s="11">
        <f t="shared" si="86"/>
        <v>16800.000000000018</v>
      </c>
      <c r="O212" s="11">
        <f t="shared" si="86"/>
        <v>19866.66666666669</v>
      </c>
      <c r="P212" s="11">
        <f t="shared" si="86"/>
        <v>9166.666666666677</v>
      </c>
      <c r="Q212" s="11">
        <f t="shared" si="86"/>
        <v>8666.666666666677</v>
      </c>
      <c r="R212" s="11">
        <f>IF(COUNT(E212:Q212)=0,"",SUM(E212:Q212))</f>
        <v>164863.64365266697</v>
      </c>
    </row>
    <row r="213" spans="3:18" x14ac:dyDescent="0.3">
      <c r="C213" s="4"/>
      <c r="D213" s="4"/>
      <c r="E213" s="5" t="s">
        <v>1</v>
      </c>
      <c r="F213" s="5" t="s">
        <v>2</v>
      </c>
      <c r="G213" s="5" t="s">
        <v>3</v>
      </c>
      <c r="H213" s="5" t="s">
        <v>4</v>
      </c>
      <c r="I213" s="5" t="s">
        <v>5</v>
      </c>
      <c r="J213" s="5" t="s">
        <v>6</v>
      </c>
      <c r="K213" s="5" t="s">
        <v>7</v>
      </c>
      <c r="L213" s="5" t="s">
        <v>8</v>
      </c>
      <c r="M213" s="5" t="s">
        <v>9</v>
      </c>
      <c r="N213" s="5" t="s">
        <v>10</v>
      </c>
      <c r="O213" s="5" t="s">
        <v>11</v>
      </c>
      <c r="P213" s="5" t="s">
        <v>12</v>
      </c>
      <c r="Q213" s="5" t="s">
        <v>13</v>
      </c>
      <c r="R213" s="5" t="s">
        <v>14</v>
      </c>
    </row>
    <row r="214" spans="3:18" x14ac:dyDescent="0.3">
      <c r="C214" s="17" t="s">
        <v>32</v>
      </c>
      <c r="D214" s="4" t="s">
        <v>16</v>
      </c>
      <c r="E214" s="6">
        <v>117593788.12</v>
      </c>
      <c r="F214" s="6">
        <v>158122618.47999999</v>
      </c>
      <c r="G214" s="6">
        <v>106749574.16</v>
      </c>
      <c r="H214" s="6">
        <v>99247148.560000002</v>
      </c>
      <c r="I214" s="6">
        <v>109516322.16</v>
      </c>
      <c r="J214" s="6">
        <v>75874622.999999896</v>
      </c>
      <c r="K214" s="6">
        <v>75335077.159999996</v>
      </c>
      <c r="L214" s="6">
        <v>105560472.12</v>
      </c>
      <c r="M214" s="6">
        <v>124300000</v>
      </c>
      <c r="N214" s="6">
        <v>125318582.401939</v>
      </c>
      <c r="O214" s="6">
        <v>137901616.08217931</v>
      </c>
      <c r="P214" s="6">
        <v>120557027.1287979</v>
      </c>
      <c r="Q214" s="6">
        <v>183088494.2788175</v>
      </c>
      <c r="R214" s="7">
        <f>IF(COUNT(E214:Q214)=0,"",SUM(E214:Q214))</f>
        <v>1539165343.6517336</v>
      </c>
    </row>
    <row r="215" spans="3:18" x14ac:dyDescent="0.3">
      <c r="C215" s="18"/>
      <c r="D215" s="4" t="s">
        <v>17</v>
      </c>
      <c r="E215" s="8">
        <v>0.8488</v>
      </c>
      <c r="F215" s="8">
        <v>0.81810000000000005</v>
      </c>
      <c r="G215" s="8">
        <v>0.96289999999999998</v>
      </c>
      <c r="H215" s="8">
        <v>0.93569999999999998</v>
      </c>
      <c r="I215" s="8">
        <v>0.93669999999999998</v>
      </c>
      <c r="J215" s="8">
        <v>0.96870000000000001</v>
      </c>
      <c r="K215" s="8">
        <v>0.95799999999999996</v>
      </c>
      <c r="L215" s="8">
        <v>0.96279999999999999</v>
      </c>
      <c r="M215" s="8">
        <v>0.98580000000000001</v>
      </c>
      <c r="N215" s="9">
        <v>0.98</v>
      </c>
      <c r="O215" s="9">
        <v>0.98</v>
      </c>
      <c r="P215" s="9">
        <v>0.98</v>
      </c>
      <c r="Q215" s="9">
        <v>0.98</v>
      </c>
      <c r="R215" s="8">
        <f>IF(COUNT(E215:Q215)=0,"",AVERAGE(E215:Q215))</f>
        <v>0.94596153846153852</v>
      </c>
    </row>
    <row r="216" spans="3:18" x14ac:dyDescent="0.3">
      <c r="C216" s="18"/>
      <c r="D216" s="4" t="s">
        <v>18</v>
      </c>
      <c r="E216" s="9">
        <v>0.8488</v>
      </c>
      <c r="F216" s="9">
        <v>0.81810000000000005</v>
      </c>
      <c r="G216" s="9">
        <v>0.96289999999999998</v>
      </c>
      <c r="H216" s="9">
        <v>0.93769999999999998</v>
      </c>
      <c r="I216" s="9">
        <v>0.93869999999999998</v>
      </c>
      <c r="J216" s="9">
        <v>0.96970000000000001</v>
      </c>
      <c r="K216" s="9">
        <v>0.95899999999999996</v>
      </c>
      <c r="L216" s="9">
        <v>0.96379999999999999</v>
      </c>
      <c r="M216" s="9">
        <v>0.98</v>
      </c>
      <c r="N216" s="9">
        <v>0.98</v>
      </c>
      <c r="O216" s="9">
        <v>0.98</v>
      </c>
      <c r="P216" s="9">
        <v>0.98</v>
      </c>
      <c r="Q216" s="9">
        <v>0.98</v>
      </c>
      <c r="R216" s="9">
        <f>IF(COUNT(E216:Q216)=0,"",AVERAGE(E216:Q216))</f>
        <v>0.94605384615384613</v>
      </c>
    </row>
    <row r="217" spans="3:18" x14ac:dyDescent="0.3">
      <c r="C217" s="18"/>
      <c r="D217" s="4" t="s">
        <v>19</v>
      </c>
      <c r="E217" s="9">
        <f t="shared" ref="E217:R217" si="87">IF(OR(E215="",E216=""),"",E216-E215)</f>
        <v>0</v>
      </c>
      <c r="F217" s="9">
        <f t="shared" si="87"/>
        <v>0</v>
      </c>
      <c r="G217" s="9">
        <f t="shared" si="87"/>
        <v>0</v>
      </c>
      <c r="H217" s="9">
        <f t="shared" si="87"/>
        <v>2.0000000000000018E-3</v>
      </c>
      <c r="I217" s="9">
        <f t="shared" si="87"/>
        <v>2.0000000000000018E-3</v>
      </c>
      <c r="J217" s="9">
        <f t="shared" si="87"/>
        <v>1.0000000000000009E-3</v>
      </c>
      <c r="K217" s="9">
        <f t="shared" si="87"/>
        <v>1.0000000000000009E-3</v>
      </c>
      <c r="L217" s="9">
        <f t="shared" si="87"/>
        <v>1.0000000000000009E-3</v>
      </c>
      <c r="M217" s="9">
        <f t="shared" si="87"/>
        <v>-5.8000000000000274E-3</v>
      </c>
      <c r="N217" s="9">
        <f t="shared" si="87"/>
        <v>0</v>
      </c>
      <c r="O217" s="9">
        <f t="shared" si="87"/>
        <v>0</v>
      </c>
      <c r="P217" s="9">
        <f t="shared" si="87"/>
        <v>0</v>
      </c>
      <c r="Q217" s="9">
        <f t="shared" si="87"/>
        <v>0</v>
      </c>
      <c r="R217" s="9">
        <f t="shared" si="87"/>
        <v>9.230769230761382E-5</v>
      </c>
    </row>
    <row r="218" spans="3:18" x14ac:dyDescent="0.3">
      <c r="C218" s="18"/>
      <c r="D218" s="4" t="s">
        <v>20</v>
      </c>
      <c r="E218" s="9">
        <f t="shared" ref="E218:R218" si="88">IF(E217="","",E217/3%*1%)</f>
        <v>0</v>
      </c>
      <c r="F218" s="9">
        <f t="shared" si="88"/>
        <v>0</v>
      </c>
      <c r="G218" s="9">
        <f t="shared" si="88"/>
        <v>0</v>
      </c>
      <c r="H218" s="9">
        <f t="shared" si="88"/>
        <v>6.666666666666674E-4</v>
      </c>
      <c r="I218" s="9">
        <f t="shared" si="88"/>
        <v>6.666666666666674E-4</v>
      </c>
      <c r="J218" s="9">
        <f t="shared" si="88"/>
        <v>3.333333333333337E-4</v>
      </c>
      <c r="K218" s="9">
        <f t="shared" si="88"/>
        <v>3.333333333333337E-4</v>
      </c>
      <c r="L218" s="9">
        <f t="shared" si="88"/>
        <v>3.333333333333337E-4</v>
      </c>
      <c r="M218" s="9">
        <f t="shared" si="88"/>
        <v>-1.9333333333333425E-3</v>
      </c>
      <c r="N218" s="9">
        <f t="shared" si="88"/>
        <v>0</v>
      </c>
      <c r="O218" s="9">
        <f t="shared" si="88"/>
        <v>0</v>
      </c>
      <c r="P218" s="9">
        <f t="shared" si="88"/>
        <v>0</v>
      </c>
      <c r="Q218" s="9">
        <f t="shared" si="88"/>
        <v>0</v>
      </c>
      <c r="R218" s="9">
        <f t="shared" si="88"/>
        <v>3.0769230769204611E-5</v>
      </c>
    </row>
    <row r="219" spans="3:18" x14ac:dyDescent="0.3">
      <c r="C219" s="19"/>
      <c r="D219" s="10" t="s">
        <v>21</v>
      </c>
      <c r="E219" s="11">
        <f t="shared" ref="E219:Q219" si="89">IF(OR(E214="",E218=""),"",E214*E218)</f>
        <v>0</v>
      </c>
      <c r="F219" s="11">
        <f t="shared" si="89"/>
        <v>0</v>
      </c>
      <c r="G219" s="11">
        <f t="shared" si="89"/>
        <v>0</v>
      </c>
      <c r="H219" s="11">
        <f t="shared" si="89"/>
        <v>66164.765706666745</v>
      </c>
      <c r="I219" s="11">
        <f t="shared" si="89"/>
        <v>73010.881440000085</v>
      </c>
      <c r="J219" s="11">
        <f t="shared" si="89"/>
        <v>25291.540999999994</v>
      </c>
      <c r="K219" s="11">
        <f t="shared" si="89"/>
        <v>25111.692386666695</v>
      </c>
      <c r="L219" s="11">
        <f t="shared" si="89"/>
        <v>35186.824040000043</v>
      </c>
      <c r="M219" s="11">
        <f t="shared" si="89"/>
        <v>-240313.33333333448</v>
      </c>
      <c r="N219" s="11">
        <f t="shared" si="89"/>
        <v>0</v>
      </c>
      <c r="O219" s="11">
        <f t="shared" si="89"/>
        <v>0</v>
      </c>
      <c r="P219" s="11">
        <f t="shared" si="89"/>
        <v>0</v>
      </c>
      <c r="Q219" s="11">
        <f t="shared" si="89"/>
        <v>0</v>
      </c>
      <c r="R219" s="11">
        <f>IF(COUNT(E219:Q219)=0,"",SUM(E219:Q219))</f>
        <v>-15547.628760000924</v>
      </c>
    </row>
    <row r="221" spans="3:18" x14ac:dyDescent="0.3">
      <c r="C221" s="1" t="s">
        <v>41</v>
      </c>
      <c r="D221" s="2"/>
      <c r="E221" s="3">
        <v>143504671.4400025</v>
      </c>
      <c r="F221" s="3">
        <v>257303226.2300075</v>
      </c>
      <c r="G221" s="3">
        <v>216481674.86000749</v>
      </c>
      <c r="H221" s="3">
        <v>151158017.78999531</v>
      </c>
      <c r="I221" s="3">
        <v>187387860.4200044</v>
      </c>
      <c r="J221" s="3">
        <v>194726554.4999972</v>
      </c>
      <c r="K221" s="3">
        <v>203279311.64999709</v>
      </c>
      <c r="L221" s="3">
        <v>199302207.47000769</v>
      </c>
      <c r="M221" s="3">
        <v>189055781.458</v>
      </c>
      <c r="N221" s="3">
        <v>200213425.99399999</v>
      </c>
      <c r="O221" s="3">
        <v>201205634.68399999</v>
      </c>
      <c r="P221" s="3">
        <v>202293574.07820269</v>
      </c>
      <c r="Q221" s="3">
        <v>202167637.58999869</v>
      </c>
      <c r="R221" s="3">
        <v>2548079578.1642208</v>
      </c>
    </row>
    <row r="222" spans="3:18" x14ac:dyDescent="0.3">
      <c r="C222" s="4"/>
      <c r="D222" s="4"/>
      <c r="E222" s="5" t="s">
        <v>1</v>
      </c>
      <c r="F222" s="5" t="s">
        <v>2</v>
      </c>
      <c r="G222" s="5" t="s">
        <v>3</v>
      </c>
      <c r="H222" s="5" t="s">
        <v>4</v>
      </c>
      <c r="I222" s="5" t="s">
        <v>5</v>
      </c>
      <c r="J222" s="5" t="s">
        <v>6</v>
      </c>
      <c r="K222" s="5" t="s">
        <v>7</v>
      </c>
      <c r="L222" s="5" t="s">
        <v>8</v>
      </c>
      <c r="M222" s="5" t="s">
        <v>9</v>
      </c>
      <c r="N222" s="5" t="s">
        <v>10</v>
      </c>
      <c r="O222" s="5" t="s">
        <v>11</v>
      </c>
      <c r="P222" s="5" t="s">
        <v>12</v>
      </c>
      <c r="Q222" s="5" t="s">
        <v>13</v>
      </c>
      <c r="R222" s="5" t="s">
        <v>14</v>
      </c>
    </row>
    <row r="223" spans="3:18" x14ac:dyDescent="0.3">
      <c r="C223" s="17" t="s">
        <v>22</v>
      </c>
      <c r="D223" s="4" t="s">
        <v>16</v>
      </c>
      <c r="E223" s="6">
        <v>8973831.5999999512</v>
      </c>
      <c r="F223" s="6">
        <v>15368581.189999839</v>
      </c>
      <c r="G223" s="6">
        <v>16097503.609999729</v>
      </c>
      <c r="H223" s="6">
        <v>13880184.47999998</v>
      </c>
      <c r="I223" s="6">
        <v>12898649.94999966</v>
      </c>
      <c r="J223" s="6">
        <v>12791521.25999994</v>
      </c>
      <c r="K223" s="6">
        <v>16568832.64000015</v>
      </c>
      <c r="L223" s="6">
        <v>14970103.02999996</v>
      </c>
      <c r="M223" s="6">
        <v>15278089.73</v>
      </c>
      <c r="N223" s="6">
        <v>14500000</v>
      </c>
      <c r="O223" s="6">
        <v>14500000</v>
      </c>
      <c r="P223" s="6">
        <v>14407964.438202679</v>
      </c>
      <c r="Q223" s="6">
        <v>14282027.949998699</v>
      </c>
      <c r="R223" s="7">
        <f>IF(COUNT(E223:Q223)=0,"",SUM(E223:Q223))</f>
        <v>184517289.87820062</v>
      </c>
    </row>
    <row r="224" spans="3:18" x14ac:dyDescent="0.3">
      <c r="C224" s="18"/>
      <c r="D224" s="4" t="s">
        <v>17</v>
      </c>
      <c r="E224" s="8">
        <v>0.9738</v>
      </c>
      <c r="F224" s="8">
        <v>0.9526</v>
      </c>
      <c r="G224" s="8">
        <v>0.86950000000000005</v>
      </c>
      <c r="H224" s="8">
        <v>0.96109999999999995</v>
      </c>
      <c r="I224" s="8">
        <v>0.97209999999999996</v>
      </c>
      <c r="J224" s="8">
        <v>0.9849</v>
      </c>
      <c r="K224" s="8">
        <v>0.96020000000000005</v>
      </c>
      <c r="L224" s="8">
        <v>0.72370000000000001</v>
      </c>
      <c r="M224" s="9">
        <v>0.72540000000000004</v>
      </c>
      <c r="N224" s="9">
        <v>0.72729999999999995</v>
      </c>
      <c r="O224" s="9">
        <v>0.72960000000000003</v>
      </c>
      <c r="P224" s="9">
        <v>0.72960000000000003</v>
      </c>
      <c r="Q224" s="9">
        <v>0.73099999999999998</v>
      </c>
      <c r="R224" s="8">
        <f>IF(COUNT(E224:Q224)=0,"",AVERAGE(E224:Q224))</f>
        <v>0.84929230769230757</v>
      </c>
    </row>
    <row r="225" spans="3:18" x14ac:dyDescent="0.3">
      <c r="C225" s="18"/>
      <c r="D225" s="4" t="s">
        <v>18</v>
      </c>
      <c r="E225" s="9">
        <v>0.9738</v>
      </c>
      <c r="F225" s="9">
        <v>0.95279999999999998</v>
      </c>
      <c r="G225" s="9">
        <v>0.87229999999999996</v>
      </c>
      <c r="H225" s="9">
        <v>0.96209999999999996</v>
      </c>
      <c r="I225" s="9">
        <v>0.97209999999999996</v>
      </c>
      <c r="J225" s="9">
        <v>0.98</v>
      </c>
      <c r="K225" s="9">
        <v>0.96020000000000005</v>
      </c>
      <c r="L225" s="9">
        <v>0.73870000000000002</v>
      </c>
      <c r="M225" s="9">
        <v>0.74039999999999995</v>
      </c>
      <c r="N225" s="9">
        <v>0.74229999999999996</v>
      </c>
      <c r="O225" s="9">
        <v>0.74460000000000004</v>
      </c>
      <c r="P225" s="9">
        <v>0.74460000000000004</v>
      </c>
      <c r="Q225" s="9">
        <v>0.746</v>
      </c>
      <c r="R225" s="9">
        <f>IF(COUNT(E225:Q225)=0,"",AVERAGE(E225:Q225))</f>
        <v>0.85614615384615389</v>
      </c>
    </row>
    <row r="226" spans="3:18" x14ac:dyDescent="0.3">
      <c r="C226" s="18"/>
      <c r="D226" s="4" t="s">
        <v>19</v>
      </c>
      <c r="E226" s="9">
        <f t="shared" ref="E226:R226" si="90">IF(OR(E224="",E225=""),"",E225-E224)</f>
        <v>0</v>
      </c>
      <c r="F226" s="9">
        <f t="shared" si="90"/>
        <v>1.9999999999997797E-4</v>
      </c>
      <c r="G226" s="9">
        <f t="shared" si="90"/>
        <v>2.7999999999999137E-3</v>
      </c>
      <c r="H226" s="9">
        <f t="shared" si="90"/>
        <v>1.0000000000000009E-3</v>
      </c>
      <c r="I226" s="9">
        <f t="shared" si="90"/>
        <v>0</v>
      </c>
      <c r="J226" s="9">
        <f t="shared" si="90"/>
        <v>-4.9000000000000155E-3</v>
      </c>
      <c r="K226" s="9">
        <f t="shared" si="90"/>
        <v>0</v>
      </c>
      <c r="L226" s="9">
        <f t="shared" si="90"/>
        <v>1.5000000000000013E-2</v>
      </c>
      <c r="M226" s="9">
        <f t="shared" si="90"/>
        <v>1.4999999999999902E-2</v>
      </c>
      <c r="N226" s="9">
        <f t="shared" si="90"/>
        <v>1.5000000000000013E-2</v>
      </c>
      <c r="O226" s="9">
        <f t="shared" si="90"/>
        <v>1.5000000000000013E-2</v>
      </c>
      <c r="P226" s="9">
        <f t="shared" si="90"/>
        <v>1.5000000000000013E-2</v>
      </c>
      <c r="Q226" s="9">
        <f t="shared" si="90"/>
        <v>1.5000000000000013E-2</v>
      </c>
      <c r="R226" s="9">
        <f t="shared" si="90"/>
        <v>6.8538461538463213E-3</v>
      </c>
    </row>
    <row r="227" spans="3:18" x14ac:dyDescent="0.3">
      <c r="C227" s="18"/>
      <c r="D227" s="4" t="s">
        <v>20</v>
      </c>
      <c r="E227" s="9">
        <f t="shared" ref="E227:R227" si="91">IF(E226="","",E226/3%*1%)</f>
        <v>0</v>
      </c>
      <c r="F227" s="9">
        <f t="shared" si="91"/>
        <v>6.6666666666659324E-5</v>
      </c>
      <c r="G227" s="9">
        <f t="shared" si="91"/>
        <v>9.333333333333047E-4</v>
      </c>
      <c r="H227" s="9">
        <f t="shared" si="91"/>
        <v>3.333333333333337E-4</v>
      </c>
      <c r="I227" s="9">
        <f t="shared" si="91"/>
        <v>0</v>
      </c>
      <c r="J227" s="9">
        <f t="shared" si="91"/>
        <v>-1.6333333333333386E-3</v>
      </c>
      <c r="K227" s="9">
        <f t="shared" si="91"/>
        <v>0</v>
      </c>
      <c r="L227" s="9">
        <f t="shared" si="91"/>
        <v>5.0000000000000044E-3</v>
      </c>
      <c r="M227" s="9">
        <f t="shared" si="91"/>
        <v>4.999999999999968E-3</v>
      </c>
      <c r="N227" s="9">
        <f t="shared" si="91"/>
        <v>5.0000000000000044E-3</v>
      </c>
      <c r="O227" s="9">
        <f t="shared" si="91"/>
        <v>5.0000000000000044E-3</v>
      </c>
      <c r="P227" s="9">
        <f t="shared" si="91"/>
        <v>5.0000000000000044E-3</v>
      </c>
      <c r="Q227" s="9">
        <f t="shared" si="91"/>
        <v>5.0000000000000044E-3</v>
      </c>
      <c r="R227" s="9">
        <f t="shared" si="91"/>
        <v>2.2846153846154404E-3</v>
      </c>
    </row>
    <row r="228" spans="3:18" x14ac:dyDescent="0.3">
      <c r="C228" s="19"/>
      <c r="D228" s="10" t="s">
        <v>21</v>
      </c>
      <c r="E228" s="11">
        <f t="shared" ref="E228:Q228" si="92">IF(OR(E223="",E227=""),"",E223*E227)</f>
        <v>0</v>
      </c>
      <c r="F228" s="11">
        <f t="shared" si="92"/>
        <v>1024.5720793332098</v>
      </c>
      <c r="G228" s="11">
        <f t="shared" si="92"/>
        <v>15024.336702665953</v>
      </c>
      <c r="H228" s="11">
        <f t="shared" si="92"/>
        <v>4626.7281599999988</v>
      </c>
      <c r="I228" s="11">
        <f t="shared" si="92"/>
        <v>0</v>
      </c>
      <c r="J228" s="11">
        <f t="shared" si="92"/>
        <v>-20892.818057999972</v>
      </c>
      <c r="K228" s="11">
        <f t="shared" si="92"/>
        <v>0</v>
      </c>
      <c r="L228" s="11">
        <f t="shared" si="92"/>
        <v>74850.515149999861</v>
      </c>
      <c r="M228" s="11">
        <f t="shared" si="92"/>
        <v>76390.448649999511</v>
      </c>
      <c r="N228" s="11">
        <f t="shared" si="92"/>
        <v>72500.000000000058</v>
      </c>
      <c r="O228" s="11">
        <f t="shared" si="92"/>
        <v>72500.000000000058</v>
      </c>
      <c r="P228" s="11">
        <f t="shared" si="92"/>
        <v>72039.82219101346</v>
      </c>
      <c r="Q228" s="11">
        <f t="shared" si="92"/>
        <v>71410.139749993556</v>
      </c>
      <c r="R228" s="11">
        <f>IF(COUNT(E228:Q228)=0,"",SUM(E228:Q228))</f>
        <v>439473.74462500575</v>
      </c>
    </row>
    <row r="229" spans="3:18" x14ac:dyDescent="0.3">
      <c r="C229" s="4"/>
      <c r="D229" s="4"/>
      <c r="E229" s="5" t="s">
        <v>1</v>
      </c>
      <c r="F229" s="5" t="s">
        <v>2</v>
      </c>
      <c r="G229" s="5" t="s">
        <v>3</v>
      </c>
      <c r="H229" s="5" t="s">
        <v>4</v>
      </c>
      <c r="I229" s="5" t="s">
        <v>5</v>
      </c>
      <c r="J229" s="5" t="s">
        <v>6</v>
      </c>
      <c r="K229" s="5" t="s">
        <v>7</v>
      </c>
      <c r="L229" s="5" t="s">
        <v>8</v>
      </c>
      <c r="M229" s="5" t="s">
        <v>9</v>
      </c>
      <c r="N229" s="5" t="s">
        <v>10</v>
      </c>
      <c r="O229" s="5" t="s">
        <v>11</v>
      </c>
      <c r="P229" s="5" t="s">
        <v>12</v>
      </c>
      <c r="Q229" s="5" t="s">
        <v>13</v>
      </c>
      <c r="R229" s="5" t="s">
        <v>14</v>
      </c>
    </row>
    <row r="230" spans="3:18" x14ac:dyDescent="0.3">
      <c r="C230" s="17" t="s">
        <v>27</v>
      </c>
      <c r="D230" s="4" t="s">
        <v>16</v>
      </c>
      <c r="E230" s="6">
        <v>134530839.8400026</v>
      </c>
      <c r="F230" s="6">
        <v>241934645.04000771</v>
      </c>
      <c r="G230" s="6">
        <v>200384171.25000781</v>
      </c>
      <c r="H230" s="6">
        <v>137277833.30999541</v>
      </c>
      <c r="I230" s="6">
        <v>174489210.4700048</v>
      </c>
      <c r="J230" s="6">
        <v>181935033.2399973</v>
      </c>
      <c r="K230" s="6">
        <v>186710479.00999689</v>
      </c>
      <c r="L230" s="6">
        <v>184332104.44000781</v>
      </c>
      <c r="M230" s="6">
        <v>173777691.72799999</v>
      </c>
      <c r="N230" s="6">
        <v>185713425.99399999</v>
      </c>
      <c r="O230" s="6">
        <v>186705634.68399999</v>
      </c>
      <c r="P230" s="6">
        <v>187885609.63999999</v>
      </c>
      <c r="Q230" s="6">
        <v>187885609.63999999</v>
      </c>
      <c r="R230" s="7">
        <f>IF(COUNT(E230:Q230)=0,"",SUM(E230:Q230))</f>
        <v>2363562288.2860203</v>
      </c>
    </row>
    <row r="231" spans="3:18" x14ac:dyDescent="0.3">
      <c r="C231" s="18"/>
      <c r="D231" s="4" t="s">
        <v>17</v>
      </c>
      <c r="E231" s="8">
        <v>0.95369999999999999</v>
      </c>
      <c r="F231" s="8">
        <v>0.98780000000000001</v>
      </c>
      <c r="G231" s="8">
        <v>0.98180000000000001</v>
      </c>
      <c r="H231" s="8">
        <v>0.96870000000000001</v>
      </c>
      <c r="I231" s="8">
        <v>0.99</v>
      </c>
      <c r="J231" s="8">
        <v>0.94689999999999996</v>
      </c>
      <c r="K231" s="8">
        <v>0.98799999999999999</v>
      </c>
      <c r="L231" s="8">
        <v>0.98939999999999995</v>
      </c>
      <c r="M231" s="9">
        <v>0.98</v>
      </c>
      <c r="N231" s="9">
        <v>0.98</v>
      </c>
      <c r="O231" s="9">
        <v>0.98</v>
      </c>
      <c r="P231" s="9">
        <v>0.98</v>
      </c>
      <c r="Q231" s="9">
        <v>0.98</v>
      </c>
      <c r="R231" s="8">
        <f>IF(COUNT(E231:Q231)=0,"",AVERAGE(E231:Q231))</f>
        <v>0.97740769230769253</v>
      </c>
    </row>
    <row r="232" spans="3:18" x14ac:dyDescent="0.3">
      <c r="C232" s="18"/>
      <c r="D232" s="4" t="s">
        <v>18</v>
      </c>
      <c r="E232" s="9">
        <v>0.95469999999999999</v>
      </c>
      <c r="F232" s="9">
        <v>0.98</v>
      </c>
      <c r="G232" s="9">
        <v>0.98</v>
      </c>
      <c r="H232" s="9">
        <v>0.96870000000000001</v>
      </c>
      <c r="I232" s="9">
        <v>0.98</v>
      </c>
      <c r="J232" s="9">
        <v>0.94689999999999996</v>
      </c>
      <c r="K232" s="9">
        <v>0.98</v>
      </c>
      <c r="L232" s="9">
        <v>0.98</v>
      </c>
      <c r="M232" s="9">
        <v>0.98</v>
      </c>
      <c r="N232" s="9">
        <v>0.98</v>
      </c>
      <c r="O232" s="9">
        <v>0.98</v>
      </c>
      <c r="P232" s="9">
        <v>0.98</v>
      </c>
      <c r="Q232" s="9">
        <v>0.98</v>
      </c>
      <c r="R232" s="9">
        <f>IF(COUNT(E232:Q232)=0,"",AVERAGE(E232:Q232))</f>
        <v>0.97463846153846179</v>
      </c>
    </row>
    <row r="233" spans="3:18" x14ac:dyDescent="0.3">
      <c r="C233" s="18"/>
      <c r="D233" s="4" t="s">
        <v>19</v>
      </c>
      <c r="E233" s="9">
        <f t="shared" ref="E233:R233" si="93">IF(OR(E231="",E232=""),"",E232-E231)</f>
        <v>1.0000000000000009E-3</v>
      </c>
      <c r="F233" s="9">
        <f t="shared" si="93"/>
        <v>-7.8000000000000291E-3</v>
      </c>
      <c r="G233" s="9">
        <f t="shared" si="93"/>
        <v>-1.8000000000000238E-3</v>
      </c>
      <c r="H233" s="9">
        <f t="shared" si="93"/>
        <v>0</v>
      </c>
      <c r="I233" s="9">
        <f t="shared" si="93"/>
        <v>-1.0000000000000009E-2</v>
      </c>
      <c r="J233" s="9">
        <f t="shared" si="93"/>
        <v>0</v>
      </c>
      <c r="K233" s="9">
        <f t="shared" si="93"/>
        <v>-8.0000000000000071E-3</v>
      </c>
      <c r="L233" s="9">
        <f t="shared" si="93"/>
        <v>-9.3999999999999639E-3</v>
      </c>
      <c r="M233" s="9">
        <f t="shared" si="93"/>
        <v>0</v>
      </c>
      <c r="N233" s="9">
        <f t="shared" si="93"/>
        <v>0</v>
      </c>
      <c r="O233" s="9">
        <f t="shared" si="93"/>
        <v>0</v>
      </c>
      <c r="P233" s="9">
        <f t="shared" si="93"/>
        <v>0</v>
      </c>
      <c r="Q233" s="9">
        <f t="shared" si="93"/>
        <v>0</v>
      </c>
      <c r="R233" s="9">
        <f t="shared" si="93"/>
        <v>-2.7692307692307461E-3</v>
      </c>
    </row>
    <row r="234" spans="3:18" x14ac:dyDescent="0.3">
      <c r="C234" s="18"/>
      <c r="D234" s="4" t="s">
        <v>20</v>
      </c>
      <c r="E234" s="9">
        <f t="shared" ref="E234:R234" si="94">IF(E233="","",E233/3%*1%)</f>
        <v>3.333333333333337E-4</v>
      </c>
      <c r="F234" s="9">
        <f t="shared" si="94"/>
        <v>-2.6000000000000103E-3</v>
      </c>
      <c r="G234" s="9">
        <f t="shared" si="94"/>
        <v>-6.0000000000000797E-4</v>
      </c>
      <c r="H234" s="9">
        <f t="shared" si="94"/>
        <v>0</v>
      </c>
      <c r="I234" s="9">
        <f t="shared" si="94"/>
        <v>-3.3333333333333366E-3</v>
      </c>
      <c r="J234" s="9">
        <f t="shared" si="94"/>
        <v>0</v>
      </c>
      <c r="K234" s="9">
        <f t="shared" si="94"/>
        <v>-2.6666666666666696E-3</v>
      </c>
      <c r="L234" s="9">
        <f t="shared" si="94"/>
        <v>-3.1333333333333213E-3</v>
      </c>
      <c r="M234" s="9">
        <f t="shared" si="94"/>
        <v>0</v>
      </c>
      <c r="N234" s="9">
        <f t="shared" si="94"/>
        <v>0</v>
      </c>
      <c r="O234" s="9">
        <f t="shared" si="94"/>
        <v>0</v>
      </c>
      <c r="P234" s="9">
        <f t="shared" si="94"/>
        <v>0</v>
      </c>
      <c r="Q234" s="9">
        <f t="shared" si="94"/>
        <v>0</v>
      </c>
      <c r="R234" s="9">
        <f t="shared" si="94"/>
        <v>-9.2307692307691536E-4</v>
      </c>
    </row>
    <row r="235" spans="3:18" x14ac:dyDescent="0.3">
      <c r="C235" s="19"/>
      <c r="D235" s="10" t="s">
        <v>21</v>
      </c>
      <c r="E235" s="11">
        <f t="shared" ref="E235:Q235" si="95">IF(OR(E230="",E234=""),"",E230*E234)</f>
        <v>44843.613280000915</v>
      </c>
      <c r="F235" s="11">
        <f t="shared" si="95"/>
        <v>-629030.07710402249</v>
      </c>
      <c r="G235" s="11">
        <f t="shared" si="95"/>
        <v>-120230.50275000629</v>
      </c>
      <c r="H235" s="11">
        <f t="shared" si="95"/>
        <v>0</v>
      </c>
      <c r="I235" s="11">
        <f t="shared" si="95"/>
        <v>-581630.70156668324</v>
      </c>
      <c r="J235" s="11">
        <f t="shared" si="95"/>
        <v>0</v>
      </c>
      <c r="K235" s="11">
        <f t="shared" si="95"/>
        <v>-497894.61069332558</v>
      </c>
      <c r="L235" s="11">
        <f t="shared" si="95"/>
        <v>-577573.92724535556</v>
      </c>
      <c r="M235" s="11">
        <f t="shared" si="95"/>
        <v>0</v>
      </c>
      <c r="N235" s="11">
        <f t="shared" si="95"/>
        <v>0</v>
      </c>
      <c r="O235" s="11">
        <f t="shared" si="95"/>
        <v>0</v>
      </c>
      <c r="P235" s="11">
        <f t="shared" si="95"/>
        <v>0</v>
      </c>
      <c r="Q235" s="11">
        <f t="shared" si="95"/>
        <v>0</v>
      </c>
      <c r="R235" s="11">
        <f>IF(COUNT(E235:Q235)=0,"",SUM(E235:Q235))</f>
        <v>-2361516.2060793922</v>
      </c>
    </row>
    <row r="237" spans="3:18" x14ac:dyDescent="0.3">
      <c r="C237" s="1" t="s">
        <v>42</v>
      </c>
      <c r="D237" s="2"/>
      <c r="E237" s="3">
        <v>144818440.25865099</v>
      </c>
      <c r="F237" s="3">
        <v>166488141.15204951</v>
      </c>
      <c r="G237" s="3">
        <v>167516110.0467281</v>
      </c>
      <c r="H237" s="3">
        <v>161241656.74149781</v>
      </c>
      <c r="I237" s="3">
        <v>168687727.21247801</v>
      </c>
      <c r="J237" s="3">
        <v>202830844.80523679</v>
      </c>
      <c r="K237" s="3">
        <v>146954636.47199941</v>
      </c>
      <c r="L237" s="3">
        <v>163404084.43999901</v>
      </c>
      <c r="M237" s="3">
        <v>161216076.65951309</v>
      </c>
      <c r="N237" s="3">
        <v>170996679.22623289</v>
      </c>
      <c r="O237" s="3">
        <v>173561940.54357979</v>
      </c>
      <c r="P237" s="3">
        <v>162334408.41659999</v>
      </c>
      <c r="Q237" s="3">
        <v>179145572.08009699</v>
      </c>
      <c r="R237" s="3">
        <v>2169196318.0546632</v>
      </c>
    </row>
    <row r="238" spans="3:18" x14ac:dyDescent="0.3">
      <c r="C238" s="4"/>
      <c r="D238" s="4"/>
      <c r="E238" s="5" t="s">
        <v>1</v>
      </c>
      <c r="F238" s="5" t="s">
        <v>2</v>
      </c>
      <c r="G238" s="5" t="s">
        <v>3</v>
      </c>
      <c r="H238" s="5" t="s">
        <v>4</v>
      </c>
      <c r="I238" s="5" t="s">
        <v>5</v>
      </c>
      <c r="J238" s="5" t="s">
        <v>6</v>
      </c>
      <c r="K238" s="5" t="s">
        <v>7</v>
      </c>
      <c r="L238" s="5" t="s">
        <v>8</v>
      </c>
      <c r="M238" s="5" t="s">
        <v>9</v>
      </c>
      <c r="N238" s="5" t="s">
        <v>10</v>
      </c>
      <c r="O238" s="5" t="s">
        <v>11</v>
      </c>
      <c r="P238" s="5" t="s">
        <v>12</v>
      </c>
      <c r="Q238" s="5" t="s">
        <v>13</v>
      </c>
      <c r="R238" s="5" t="s">
        <v>14</v>
      </c>
    </row>
    <row r="239" spans="3:18" x14ac:dyDescent="0.3">
      <c r="C239" s="17" t="s">
        <v>37</v>
      </c>
      <c r="D239" s="4" t="s">
        <v>16</v>
      </c>
      <c r="E239" s="6">
        <v>11146662.51999999</v>
      </c>
      <c r="F239" s="6">
        <v>11426868.19999999</v>
      </c>
      <c r="G239" s="6">
        <v>11099237.689999999</v>
      </c>
      <c r="H239" s="6">
        <v>10628286.15000001</v>
      </c>
      <c r="I239" s="6">
        <v>10010725.460000001</v>
      </c>
      <c r="J239" s="6">
        <v>12133546.470000001</v>
      </c>
      <c r="K239" s="6">
        <v>9765723.3100000005</v>
      </c>
      <c r="L239" s="6">
        <v>15712112.12000001</v>
      </c>
      <c r="M239" s="6">
        <v>11426868.19999999</v>
      </c>
      <c r="N239" s="6">
        <v>11099237.689999999</v>
      </c>
      <c r="O239" s="6">
        <v>10628286.15000001</v>
      </c>
      <c r="P239" s="6">
        <v>10010725.460000001</v>
      </c>
      <c r="Q239" s="6">
        <v>12133546.470000001</v>
      </c>
      <c r="R239" s="7">
        <f>IF(COUNT(E239:Q239)=0,"",SUM(E239:Q239))</f>
        <v>147221825.88999999</v>
      </c>
    </row>
    <row r="240" spans="3:18" x14ac:dyDescent="0.3">
      <c r="C240" s="18"/>
      <c r="D240" s="4" t="s">
        <v>17</v>
      </c>
      <c r="E240" s="8">
        <v>0.93159999999999998</v>
      </c>
      <c r="F240" s="8">
        <v>0.96299999999999997</v>
      </c>
      <c r="G240" s="8">
        <v>0.98180000000000001</v>
      </c>
      <c r="H240" s="8">
        <v>0.98140000000000005</v>
      </c>
      <c r="I240" s="8">
        <v>0.97670000000000001</v>
      </c>
      <c r="J240" s="8">
        <v>0.98540000000000005</v>
      </c>
      <c r="K240" s="8">
        <v>0.94</v>
      </c>
      <c r="L240" s="8">
        <v>0.99219999999999997</v>
      </c>
      <c r="M240" s="8">
        <v>1</v>
      </c>
      <c r="N240" s="9">
        <v>0.98</v>
      </c>
      <c r="O240" s="9">
        <v>0.98</v>
      </c>
      <c r="P240" s="9">
        <v>0.98</v>
      </c>
      <c r="Q240" s="9">
        <v>0.98</v>
      </c>
      <c r="R240" s="8">
        <f>IF(COUNT(E240:Q240)=0,"",AVERAGE(E240:Q240))</f>
        <v>0.97477692307692321</v>
      </c>
    </row>
    <row r="241" spans="3:18" x14ac:dyDescent="0.3">
      <c r="C241" s="18"/>
      <c r="D241" s="4" t="s">
        <v>18</v>
      </c>
      <c r="E241" s="9">
        <v>0.9325</v>
      </c>
      <c r="F241" s="9">
        <v>0.96299999999999997</v>
      </c>
      <c r="G241" s="9">
        <v>0.98</v>
      </c>
      <c r="H241" s="9">
        <v>0.98</v>
      </c>
      <c r="I241" s="9">
        <v>0.97689999999999999</v>
      </c>
      <c r="J241" s="9">
        <v>0.98</v>
      </c>
      <c r="K241" s="9">
        <v>0.94</v>
      </c>
      <c r="L241" s="9">
        <v>0.98</v>
      </c>
      <c r="M241" s="9">
        <v>0.98</v>
      </c>
      <c r="N241" s="9">
        <v>0.98</v>
      </c>
      <c r="O241" s="9">
        <v>0.98</v>
      </c>
      <c r="P241" s="9">
        <v>0.98</v>
      </c>
      <c r="Q241" s="9">
        <v>0.98</v>
      </c>
      <c r="R241" s="9">
        <f>IF(COUNT(E241:Q241)=0,"",AVERAGE(E241:Q241))</f>
        <v>0.97172307692307713</v>
      </c>
    </row>
    <row r="242" spans="3:18" x14ac:dyDescent="0.3">
      <c r="C242" s="18"/>
      <c r="D242" s="4" t="s">
        <v>19</v>
      </c>
      <c r="E242" s="9">
        <f t="shared" ref="E242:R242" si="96">IF(OR(E240="",E241=""),"",E241-E240)</f>
        <v>9.000000000000119E-4</v>
      </c>
      <c r="F242" s="9">
        <f t="shared" si="96"/>
        <v>0</v>
      </c>
      <c r="G242" s="9">
        <f t="shared" si="96"/>
        <v>-1.8000000000000238E-3</v>
      </c>
      <c r="H242" s="9">
        <f t="shared" si="96"/>
        <v>-1.4000000000000679E-3</v>
      </c>
      <c r="I242" s="9">
        <f t="shared" si="96"/>
        <v>1.9999999999997797E-4</v>
      </c>
      <c r="J242" s="9">
        <f t="shared" si="96"/>
        <v>-5.4000000000000714E-3</v>
      </c>
      <c r="K242" s="9">
        <f t="shared" si="96"/>
        <v>0</v>
      </c>
      <c r="L242" s="9">
        <f t="shared" si="96"/>
        <v>-1.2199999999999989E-2</v>
      </c>
      <c r="M242" s="9">
        <f t="shared" si="96"/>
        <v>-2.0000000000000018E-2</v>
      </c>
      <c r="N242" s="9">
        <f t="shared" si="96"/>
        <v>0</v>
      </c>
      <c r="O242" s="9">
        <f t="shared" si="96"/>
        <v>0</v>
      </c>
      <c r="P242" s="9">
        <f t="shared" si="96"/>
        <v>0</v>
      </c>
      <c r="Q242" s="9">
        <f t="shared" si="96"/>
        <v>0</v>
      </c>
      <c r="R242" s="9">
        <f t="shared" si="96"/>
        <v>-3.0538461538460737E-3</v>
      </c>
    </row>
    <row r="243" spans="3:18" x14ac:dyDescent="0.3">
      <c r="C243" s="18"/>
      <c r="D243" s="4" t="s">
        <v>20</v>
      </c>
      <c r="E243" s="9">
        <f t="shared" ref="E243:R243" si="97">IF(E242="","",E242/3%*1%)</f>
        <v>3.0000000000000399E-4</v>
      </c>
      <c r="F243" s="9">
        <f t="shared" si="97"/>
        <v>0</v>
      </c>
      <c r="G243" s="9">
        <f t="shared" si="97"/>
        <v>-6.0000000000000797E-4</v>
      </c>
      <c r="H243" s="9">
        <f t="shared" si="97"/>
        <v>-4.6666666666668932E-4</v>
      </c>
      <c r="I243" s="9">
        <f t="shared" si="97"/>
        <v>6.6666666666659324E-5</v>
      </c>
      <c r="J243" s="9">
        <f t="shared" si="97"/>
        <v>-1.8000000000000238E-3</v>
      </c>
      <c r="K243" s="9">
        <f t="shared" si="97"/>
        <v>0</v>
      </c>
      <c r="L243" s="9">
        <f t="shared" si="97"/>
        <v>-4.0666666666666629E-3</v>
      </c>
      <c r="M243" s="9">
        <f t="shared" si="97"/>
        <v>-6.6666666666666732E-3</v>
      </c>
      <c r="N243" s="9">
        <f t="shared" si="97"/>
        <v>0</v>
      </c>
      <c r="O243" s="9">
        <f t="shared" si="97"/>
        <v>0</v>
      </c>
      <c r="P243" s="9">
        <f t="shared" si="97"/>
        <v>0</v>
      </c>
      <c r="Q243" s="9">
        <f t="shared" si="97"/>
        <v>0</v>
      </c>
      <c r="R243" s="9">
        <f t="shared" si="97"/>
        <v>-1.0179487179486912E-3</v>
      </c>
    </row>
    <row r="244" spans="3:18" x14ac:dyDescent="0.3">
      <c r="C244" s="19"/>
      <c r="D244" s="10" t="s">
        <v>21</v>
      </c>
      <c r="E244" s="11">
        <f t="shared" ref="E244:Q244" si="98">IF(OR(E239="",E243=""),"",E239*E243)</f>
        <v>3343.9987560000413</v>
      </c>
      <c r="F244" s="11">
        <f t="shared" si="98"/>
        <v>0</v>
      </c>
      <c r="G244" s="11">
        <f t="shared" si="98"/>
        <v>-6659.5426140000882</v>
      </c>
      <c r="H244" s="11">
        <f t="shared" si="98"/>
        <v>-4959.8668700002454</v>
      </c>
      <c r="I244" s="11">
        <f t="shared" si="98"/>
        <v>667.38169733325992</v>
      </c>
      <c r="J244" s="11">
        <f t="shared" si="98"/>
        <v>-21840.383646000289</v>
      </c>
      <c r="K244" s="11">
        <f t="shared" si="98"/>
        <v>0</v>
      </c>
      <c r="L244" s="11">
        <f t="shared" si="98"/>
        <v>-63895.922621333317</v>
      </c>
      <c r="M244" s="11">
        <f t="shared" si="98"/>
        <v>-76179.121333333344</v>
      </c>
      <c r="N244" s="11">
        <f t="shared" si="98"/>
        <v>0</v>
      </c>
      <c r="O244" s="11">
        <f t="shared" si="98"/>
        <v>0</v>
      </c>
      <c r="P244" s="11">
        <f t="shared" si="98"/>
        <v>0</v>
      </c>
      <c r="Q244" s="11">
        <f t="shared" si="98"/>
        <v>0</v>
      </c>
      <c r="R244" s="11">
        <f>IF(COUNT(E244:Q244)=0,"",SUM(E244:Q244))</f>
        <v>-169523.45663133397</v>
      </c>
    </row>
    <row r="245" spans="3:18" x14ac:dyDescent="0.3">
      <c r="C245" s="4"/>
      <c r="D245" s="4"/>
      <c r="E245" s="5" t="s">
        <v>1</v>
      </c>
      <c r="F245" s="5" t="s">
        <v>2</v>
      </c>
      <c r="G245" s="5" t="s">
        <v>3</v>
      </c>
      <c r="H245" s="5" t="s">
        <v>4</v>
      </c>
      <c r="I245" s="5" t="s">
        <v>5</v>
      </c>
      <c r="J245" s="5" t="s">
        <v>6</v>
      </c>
      <c r="K245" s="5" t="s">
        <v>7</v>
      </c>
      <c r="L245" s="5" t="s">
        <v>8</v>
      </c>
      <c r="M245" s="5" t="s">
        <v>9</v>
      </c>
      <c r="N245" s="5" t="s">
        <v>10</v>
      </c>
      <c r="O245" s="5" t="s">
        <v>11</v>
      </c>
      <c r="P245" s="5" t="s">
        <v>12</v>
      </c>
      <c r="Q245" s="5" t="s">
        <v>13</v>
      </c>
      <c r="R245" s="5" t="s">
        <v>14</v>
      </c>
    </row>
    <row r="246" spans="3:18" x14ac:dyDescent="0.3">
      <c r="C246" s="17" t="s">
        <v>30</v>
      </c>
      <c r="D246" s="4" t="s">
        <v>16</v>
      </c>
      <c r="E246" s="6">
        <v>11455190.24999998</v>
      </c>
      <c r="F246" s="6">
        <v>16794977.53999998</v>
      </c>
      <c r="G246" s="6">
        <v>22628371.790000081</v>
      </c>
      <c r="H246" s="6">
        <v>14216102.359999999</v>
      </c>
      <c r="I246" s="6">
        <v>9001228.0400000066</v>
      </c>
      <c r="J246" s="6">
        <v>32777864.310000081</v>
      </c>
      <c r="K246" s="6">
        <v>2434307.94</v>
      </c>
      <c r="L246" s="6">
        <v>2831100.51</v>
      </c>
      <c r="M246" s="6">
        <v>12455190.25</v>
      </c>
      <c r="N246" s="6">
        <v>16394977.539999999</v>
      </c>
      <c r="O246" s="6">
        <v>14216102.359999999</v>
      </c>
      <c r="P246" s="6">
        <v>10001228.039999999</v>
      </c>
      <c r="Q246" s="6">
        <v>16794977.53999998</v>
      </c>
      <c r="R246" s="7">
        <f>IF(COUNT(E246:Q246)=0,"",SUM(E246:Q246))</f>
        <v>182001618.47000009</v>
      </c>
    </row>
    <row r="247" spans="3:18" x14ac:dyDescent="0.3">
      <c r="C247" s="18"/>
      <c r="D247" s="4" t="s">
        <v>17</v>
      </c>
      <c r="E247" s="8">
        <v>0.93220000000000003</v>
      </c>
      <c r="F247" s="8">
        <v>0.95369999999999999</v>
      </c>
      <c r="G247" s="8">
        <v>0.95289999999999997</v>
      </c>
      <c r="H247" s="8">
        <v>0.94669999999999999</v>
      </c>
      <c r="I247" s="8">
        <v>0.94689999999999996</v>
      </c>
      <c r="J247" s="8">
        <v>0.95760000000000001</v>
      </c>
      <c r="K247" s="8">
        <v>0.97389999999999999</v>
      </c>
      <c r="L247" s="8">
        <v>0.97660000000000002</v>
      </c>
      <c r="M247" s="8">
        <v>1</v>
      </c>
      <c r="N247" s="9">
        <v>0.98</v>
      </c>
      <c r="O247" s="9">
        <v>0.98</v>
      </c>
      <c r="P247" s="9">
        <v>0.98</v>
      </c>
      <c r="Q247" s="9">
        <v>0.98</v>
      </c>
      <c r="R247" s="8">
        <f>IF(COUNT(E247:Q247)=0,"",AVERAGE(E247:Q247))</f>
        <v>0.96619230769230779</v>
      </c>
    </row>
    <row r="248" spans="3:18" x14ac:dyDescent="0.3">
      <c r="C248" s="18"/>
      <c r="D248" s="4" t="s">
        <v>18</v>
      </c>
      <c r="E248" s="9">
        <v>0.93400000000000005</v>
      </c>
      <c r="F248" s="9">
        <v>0.95369999999999999</v>
      </c>
      <c r="G248" s="9">
        <v>0.95289999999999997</v>
      </c>
      <c r="H248" s="9">
        <v>0.94869999999999999</v>
      </c>
      <c r="I248" s="9">
        <v>0.94889999999999997</v>
      </c>
      <c r="J248" s="9">
        <v>0.95860000000000001</v>
      </c>
      <c r="K248" s="9">
        <v>0.97489999999999999</v>
      </c>
      <c r="L248" s="9">
        <v>0.97760000000000002</v>
      </c>
      <c r="M248" s="9">
        <v>0.98</v>
      </c>
      <c r="N248" s="9">
        <v>0.98</v>
      </c>
      <c r="O248" s="9">
        <v>0.98</v>
      </c>
      <c r="P248" s="9">
        <v>0.98</v>
      </c>
      <c r="Q248" s="9">
        <v>0.98</v>
      </c>
      <c r="R248" s="9">
        <f>IF(COUNT(E248:Q248)=0,"",AVERAGE(E248:Q248))</f>
        <v>0.96533076923076933</v>
      </c>
    </row>
    <row r="249" spans="3:18" x14ac:dyDescent="0.3">
      <c r="C249" s="18"/>
      <c r="D249" s="4" t="s">
        <v>19</v>
      </c>
      <c r="E249" s="9">
        <f t="shared" ref="E249:R249" si="99">IF(OR(E247="",E248=""),"",E248-E247)</f>
        <v>1.8000000000000238E-3</v>
      </c>
      <c r="F249" s="9">
        <f t="shared" si="99"/>
        <v>0</v>
      </c>
      <c r="G249" s="9">
        <f t="shared" si="99"/>
        <v>0</v>
      </c>
      <c r="H249" s="9">
        <f t="shared" si="99"/>
        <v>2.0000000000000018E-3</v>
      </c>
      <c r="I249" s="9">
        <f t="shared" si="99"/>
        <v>2.0000000000000018E-3</v>
      </c>
      <c r="J249" s="9">
        <f t="shared" si="99"/>
        <v>1.0000000000000009E-3</v>
      </c>
      <c r="K249" s="9">
        <f t="shared" si="99"/>
        <v>1.0000000000000009E-3</v>
      </c>
      <c r="L249" s="9">
        <f t="shared" si="99"/>
        <v>1.0000000000000009E-3</v>
      </c>
      <c r="M249" s="9">
        <f t="shared" si="99"/>
        <v>-2.0000000000000018E-2</v>
      </c>
      <c r="N249" s="9">
        <f t="shared" si="99"/>
        <v>0</v>
      </c>
      <c r="O249" s="9">
        <f t="shared" si="99"/>
        <v>0</v>
      </c>
      <c r="P249" s="9">
        <f t="shared" si="99"/>
        <v>0</v>
      </c>
      <c r="Q249" s="9">
        <f t="shared" si="99"/>
        <v>0</v>
      </c>
      <c r="R249" s="9">
        <f t="shared" si="99"/>
        <v>-8.6153846153846914E-4</v>
      </c>
    </row>
    <row r="250" spans="3:18" x14ac:dyDescent="0.3">
      <c r="C250" s="18"/>
      <c r="D250" s="4" t="s">
        <v>20</v>
      </c>
      <c r="E250" s="9">
        <f t="shared" ref="E250:R250" si="100">IF(E249="","",E249/3%*1%)</f>
        <v>6.0000000000000797E-4</v>
      </c>
      <c r="F250" s="9">
        <f t="shared" si="100"/>
        <v>0</v>
      </c>
      <c r="G250" s="9">
        <f t="shared" si="100"/>
        <v>0</v>
      </c>
      <c r="H250" s="9">
        <f t="shared" si="100"/>
        <v>6.666666666666674E-4</v>
      </c>
      <c r="I250" s="9">
        <f t="shared" si="100"/>
        <v>6.666666666666674E-4</v>
      </c>
      <c r="J250" s="9">
        <f t="shared" si="100"/>
        <v>3.333333333333337E-4</v>
      </c>
      <c r="K250" s="9">
        <f t="shared" si="100"/>
        <v>3.333333333333337E-4</v>
      </c>
      <c r="L250" s="9">
        <f t="shared" si="100"/>
        <v>3.333333333333337E-4</v>
      </c>
      <c r="M250" s="9">
        <f t="shared" si="100"/>
        <v>-6.6666666666666732E-3</v>
      </c>
      <c r="N250" s="9">
        <f t="shared" si="100"/>
        <v>0</v>
      </c>
      <c r="O250" s="9">
        <f t="shared" si="100"/>
        <v>0</v>
      </c>
      <c r="P250" s="9">
        <f t="shared" si="100"/>
        <v>0</v>
      </c>
      <c r="Q250" s="9">
        <f t="shared" si="100"/>
        <v>0</v>
      </c>
      <c r="R250" s="9">
        <f t="shared" si="100"/>
        <v>-2.8717948717948971E-4</v>
      </c>
    </row>
    <row r="251" spans="3:18" x14ac:dyDescent="0.3">
      <c r="C251" s="19"/>
      <c r="D251" s="10" t="s">
        <v>21</v>
      </c>
      <c r="E251" s="11">
        <f t="shared" ref="E251:Q251" si="101">IF(OR(E246="",E250=""),"",E246*E250)</f>
        <v>6873.1141500000795</v>
      </c>
      <c r="F251" s="11">
        <f t="shared" si="101"/>
        <v>0</v>
      </c>
      <c r="G251" s="11">
        <f t="shared" si="101"/>
        <v>0</v>
      </c>
      <c r="H251" s="11">
        <f t="shared" si="101"/>
        <v>9477.4015733333435</v>
      </c>
      <c r="I251" s="11">
        <f t="shared" si="101"/>
        <v>6000.8186933333445</v>
      </c>
      <c r="J251" s="11">
        <f t="shared" si="101"/>
        <v>10925.954770000038</v>
      </c>
      <c r="K251" s="11">
        <f t="shared" si="101"/>
        <v>811.43598000000088</v>
      </c>
      <c r="L251" s="11">
        <f t="shared" si="101"/>
        <v>943.70017000000098</v>
      </c>
      <c r="M251" s="11">
        <f t="shared" si="101"/>
        <v>-83034.601666666742</v>
      </c>
      <c r="N251" s="11">
        <f t="shared" si="101"/>
        <v>0</v>
      </c>
      <c r="O251" s="11">
        <f t="shared" si="101"/>
        <v>0</v>
      </c>
      <c r="P251" s="11">
        <f t="shared" si="101"/>
        <v>0</v>
      </c>
      <c r="Q251" s="11">
        <f t="shared" si="101"/>
        <v>0</v>
      </c>
      <c r="R251" s="11">
        <f>IF(COUNT(E251:Q251)=0,"",SUM(E251:Q251))</f>
        <v>-48002.176329999929</v>
      </c>
    </row>
    <row r="252" spans="3:18" x14ac:dyDescent="0.3">
      <c r="C252" s="4"/>
      <c r="D252" s="4"/>
      <c r="E252" s="5" t="s">
        <v>1</v>
      </c>
      <c r="F252" s="5" t="s">
        <v>2</v>
      </c>
      <c r="G252" s="5" t="s">
        <v>3</v>
      </c>
      <c r="H252" s="5" t="s">
        <v>4</v>
      </c>
      <c r="I252" s="5" t="s">
        <v>5</v>
      </c>
      <c r="J252" s="5" t="s">
        <v>6</v>
      </c>
      <c r="K252" s="5" t="s">
        <v>7</v>
      </c>
      <c r="L252" s="5" t="s">
        <v>8</v>
      </c>
      <c r="M252" s="5" t="s">
        <v>9</v>
      </c>
      <c r="N252" s="5" t="s">
        <v>10</v>
      </c>
      <c r="O252" s="5" t="s">
        <v>11</v>
      </c>
      <c r="P252" s="5" t="s">
        <v>12</v>
      </c>
      <c r="Q252" s="5" t="s">
        <v>13</v>
      </c>
      <c r="R252" s="5" t="s">
        <v>14</v>
      </c>
    </row>
    <row r="253" spans="3:18" x14ac:dyDescent="0.3">
      <c r="C253" s="17" t="s">
        <v>15</v>
      </c>
      <c r="D253" s="4" t="s">
        <v>16</v>
      </c>
      <c r="E253" s="6">
        <v>1325353.99999999</v>
      </c>
      <c r="F253" s="6">
        <v>1578542.22999999</v>
      </c>
      <c r="G253" s="6">
        <v>1970023.22999999</v>
      </c>
      <c r="H253" s="6">
        <v>1437012.8699999901</v>
      </c>
      <c r="I253" s="6">
        <v>1960736.96</v>
      </c>
      <c r="J253" s="6">
        <v>2062970.96999999</v>
      </c>
      <c r="K253" s="6">
        <v>1785244.7520000001</v>
      </c>
      <c r="L253" s="6">
        <v>2217927.7699999898</v>
      </c>
      <c r="M253" s="6">
        <v>1779404.4509999999</v>
      </c>
      <c r="N253" s="6">
        <v>2045098.2949999999</v>
      </c>
      <c r="O253" s="6">
        <v>1694944.7350000001</v>
      </c>
      <c r="P253" s="6">
        <v>2095925.821</v>
      </c>
      <c r="Q253" s="6">
        <v>2140832.409</v>
      </c>
      <c r="R253" s="7">
        <f>IF(COUNT(E253:Q253)=0,"",SUM(E253:Q253))</f>
        <v>24094018.492999934</v>
      </c>
    </row>
    <row r="254" spans="3:18" x14ac:dyDescent="0.3">
      <c r="C254" s="18"/>
      <c r="D254" s="4" t="s">
        <v>17</v>
      </c>
      <c r="E254" s="8">
        <v>0.87150000000000005</v>
      </c>
      <c r="F254" s="8">
        <v>0.85899999999999999</v>
      </c>
      <c r="G254" s="8">
        <v>0.90259999999999996</v>
      </c>
      <c r="H254" s="8">
        <v>0.93769999999999998</v>
      </c>
      <c r="I254" s="8">
        <v>0.9335</v>
      </c>
      <c r="J254" s="8">
        <v>0.93520000000000003</v>
      </c>
      <c r="K254" s="8">
        <v>0.94579999999999997</v>
      </c>
      <c r="L254" s="8">
        <v>0.95150000000000001</v>
      </c>
      <c r="M254" s="8">
        <v>0.92320000000000002</v>
      </c>
      <c r="N254" s="9">
        <v>0.92359999999999998</v>
      </c>
      <c r="O254" s="9">
        <v>0.92430000000000001</v>
      </c>
      <c r="P254" s="9">
        <v>0.92469999999999997</v>
      </c>
      <c r="Q254" s="9">
        <v>0.92569999999999997</v>
      </c>
      <c r="R254" s="8">
        <f>IF(COUNT(E254:Q254)=0,"",AVERAGE(E254:Q254))</f>
        <v>0.91986923076923088</v>
      </c>
    </row>
    <row r="255" spans="3:18" x14ac:dyDescent="0.3">
      <c r="C255" s="18"/>
      <c r="D255" s="4" t="s">
        <v>18</v>
      </c>
      <c r="E255" s="9">
        <v>0.87360000000000004</v>
      </c>
      <c r="F255" s="9">
        <v>0.86360000000000003</v>
      </c>
      <c r="G255" s="9">
        <v>0.90259999999999996</v>
      </c>
      <c r="H255" s="9">
        <v>0.93779999999999997</v>
      </c>
      <c r="I255" s="9">
        <v>0.9355</v>
      </c>
      <c r="J255" s="9">
        <v>0.93720000000000003</v>
      </c>
      <c r="K255" s="9">
        <v>0.94630000000000003</v>
      </c>
      <c r="L255" s="9">
        <v>0.95150000000000001</v>
      </c>
      <c r="M255" s="9">
        <v>0.92520000000000002</v>
      </c>
      <c r="N255" s="9">
        <v>0.92559999999999998</v>
      </c>
      <c r="O255" s="9">
        <v>0.92630000000000001</v>
      </c>
      <c r="P255" s="9">
        <v>0.92669999999999997</v>
      </c>
      <c r="Q255" s="9">
        <v>0.92769999999999997</v>
      </c>
      <c r="R255" s="9">
        <f>IF(COUNT(E255:Q255)=0,"",AVERAGE(E255:Q255))</f>
        <v>0.92150769230769225</v>
      </c>
    </row>
    <row r="256" spans="3:18" x14ac:dyDescent="0.3">
      <c r="C256" s="18"/>
      <c r="D256" s="4" t="s">
        <v>19</v>
      </c>
      <c r="E256" s="9">
        <f t="shared" ref="E256:R256" si="102">IF(OR(E254="",E255=""),"",E255-E254)</f>
        <v>2.0999999999999908E-3</v>
      </c>
      <c r="F256" s="9">
        <f t="shared" si="102"/>
        <v>4.6000000000000485E-3</v>
      </c>
      <c r="G256" s="9">
        <f t="shared" si="102"/>
        <v>0</v>
      </c>
      <c r="H256" s="9">
        <f t="shared" si="102"/>
        <v>9.9999999999988987E-5</v>
      </c>
      <c r="I256" s="9">
        <f t="shared" si="102"/>
        <v>2.0000000000000018E-3</v>
      </c>
      <c r="J256" s="9">
        <f t="shared" si="102"/>
        <v>2.0000000000000018E-3</v>
      </c>
      <c r="K256" s="9">
        <f t="shared" si="102"/>
        <v>5.0000000000005596E-4</v>
      </c>
      <c r="L256" s="9">
        <f t="shared" si="102"/>
        <v>0</v>
      </c>
      <c r="M256" s="9">
        <f t="shared" si="102"/>
        <v>2.0000000000000018E-3</v>
      </c>
      <c r="N256" s="9">
        <f t="shared" si="102"/>
        <v>2.0000000000000018E-3</v>
      </c>
      <c r="O256" s="9">
        <f t="shared" si="102"/>
        <v>2.0000000000000018E-3</v>
      </c>
      <c r="P256" s="9">
        <f t="shared" si="102"/>
        <v>2.0000000000000018E-3</v>
      </c>
      <c r="Q256" s="9">
        <f t="shared" si="102"/>
        <v>2.0000000000000018E-3</v>
      </c>
      <c r="R256" s="9">
        <f t="shared" si="102"/>
        <v>1.6384615384613666E-3</v>
      </c>
    </row>
    <row r="257" spans="3:18" x14ac:dyDescent="0.3">
      <c r="C257" s="18"/>
      <c r="D257" s="4" t="s">
        <v>20</v>
      </c>
      <c r="E257" s="9">
        <f t="shared" ref="E257:R257" si="103">IF(E256="","",E256/3%*1%)</f>
        <v>6.9999999999999707E-4</v>
      </c>
      <c r="F257" s="9">
        <f t="shared" si="103"/>
        <v>1.5333333333333496E-3</v>
      </c>
      <c r="G257" s="9">
        <f t="shared" si="103"/>
        <v>0</v>
      </c>
      <c r="H257" s="9">
        <f t="shared" si="103"/>
        <v>3.3333333333329662E-5</v>
      </c>
      <c r="I257" s="9">
        <f t="shared" si="103"/>
        <v>6.666666666666674E-4</v>
      </c>
      <c r="J257" s="9">
        <f t="shared" si="103"/>
        <v>6.666666666666674E-4</v>
      </c>
      <c r="K257" s="9">
        <f t="shared" si="103"/>
        <v>1.6666666666668534E-4</v>
      </c>
      <c r="L257" s="9">
        <f t="shared" si="103"/>
        <v>0</v>
      </c>
      <c r="M257" s="9">
        <f t="shared" si="103"/>
        <v>6.666666666666674E-4</v>
      </c>
      <c r="N257" s="9">
        <f t="shared" si="103"/>
        <v>6.666666666666674E-4</v>
      </c>
      <c r="O257" s="9">
        <f t="shared" si="103"/>
        <v>6.666666666666674E-4</v>
      </c>
      <c r="P257" s="9">
        <f t="shared" si="103"/>
        <v>6.666666666666674E-4</v>
      </c>
      <c r="Q257" s="9">
        <f t="shared" si="103"/>
        <v>6.666666666666674E-4</v>
      </c>
      <c r="R257" s="9">
        <f t="shared" si="103"/>
        <v>5.4615384615378892E-4</v>
      </c>
    </row>
    <row r="258" spans="3:18" x14ac:dyDescent="0.3">
      <c r="C258" s="19"/>
      <c r="D258" s="10" t="s">
        <v>21</v>
      </c>
      <c r="E258" s="11">
        <f t="shared" ref="E258:Q258" si="104">IF(OR(E253="",E257=""),"",E253*E257)</f>
        <v>927.74779999998907</v>
      </c>
      <c r="F258" s="11">
        <f t="shared" si="104"/>
        <v>2420.4314193333439</v>
      </c>
      <c r="G258" s="11">
        <f t="shared" si="104"/>
        <v>0</v>
      </c>
      <c r="H258" s="11">
        <f t="shared" si="104"/>
        <v>47.900428999994396</v>
      </c>
      <c r="I258" s="11">
        <f t="shared" si="104"/>
        <v>1307.1579733333347</v>
      </c>
      <c r="J258" s="11">
        <f t="shared" si="104"/>
        <v>1375.3139799999949</v>
      </c>
      <c r="K258" s="11">
        <f t="shared" si="104"/>
        <v>297.54079200003332</v>
      </c>
      <c r="L258" s="11">
        <f t="shared" si="104"/>
        <v>0</v>
      </c>
      <c r="M258" s="11">
        <f t="shared" si="104"/>
        <v>1186.2696340000011</v>
      </c>
      <c r="N258" s="11">
        <f t="shared" si="104"/>
        <v>1363.3988633333347</v>
      </c>
      <c r="O258" s="11">
        <f t="shared" si="104"/>
        <v>1129.9631566666681</v>
      </c>
      <c r="P258" s="11">
        <f t="shared" si="104"/>
        <v>1397.2838806666682</v>
      </c>
      <c r="Q258" s="11">
        <f t="shared" si="104"/>
        <v>1427.2216060000017</v>
      </c>
      <c r="R258" s="11">
        <f>IF(COUNT(E258:Q258)=0,"",SUM(E258:Q258))</f>
        <v>12880.229534333364</v>
      </c>
    </row>
    <row r="259" spans="3:18" x14ac:dyDescent="0.3">
      <c r="C259" s="4"/>
      <c r="D259" s="4"/>
      <c r="E259" s="5" t="s">
        <v>1</v>
      </c>
      <c r="F259" s="5" t="s">
        <v>2</v>
      </c>
      <c r="G259" s="5" t="s">
        <v>3</v>
      </c>
      <c r="H259" s="5" t="s">
        <v>4</v>
      </c>
      <c r="I259" s="5" t="s">
        <v>5</v>
      </c>
      <c r="J259" s="5" t="s">
        <v>6</v>
      </c>
      <c r="K259" s="5" t="s">
        <v>7</v>
      </c>
      <c r="L259" s="5" t="s">
        <v>8</v>
      </c>
      <c r="M259" s="5" t="s">
        <v>9</v>
      </c>
      <c r="N259" s="5" t="s">
        <v>10</v>
      </c>
      <c r="O259" s="5" t="s">
        <v>11</v>
      </c>
      <c r="P259" s="5" t="s">
        <v>12</v>
      </c>
      <c r="Q259" s="5" t="s">
        <v>13</v>
      </c>
      <c r="R259" s="5" t="s">
        <v>14</v>
      </c>
    </row>
    <row r="260" spans="3:18" x14ac:dyDescent="0.3">
      <c r="C260" s="17" t="s">
        <v>43</v>
      </c>
      <c r="D260" s="4" t="s">
        <v>16</v>
      </c>
      <c r="E260" s="6">
        <v>29569196.190001041</v>
      </c>
      <c r="F260" s="6">
        <v>32681295.57999919</v>
      </c>
      <c r="G260" s="6">
        <v>35179164.919996679</v>
      </c>
      <c r="H260" s="6">
        <v>40469003.149997801</v>
      </c>
      <c r="I260" s="6">
        <v>39017390.349997088</v>
      </c>
      <c r="J260" s="6">
        <v>37292937.299995869</v>
      </c>
      <c r="K260" s="6">
        <v>40595467.749999449</v>
      </c>
      <c r="L260" s="6">
        <v>38683537.049999259</v>
      </c>
      <c r="M260" s="6">
        <v>36266505.530526534</v>
      </c>
      <c r="N260" s="6">
        <v>35861785.795535073</v>
      </c>
      <c r="O260" s="6">
        <v>35582112.67861975</v>
      </c>
      <c r="P260" s="6">
        <v>35464023.257206917</v>
      </c>
      <c r="Q260" s="6">
        <v>38571892.205067128</v>
      </c>
      <c r="R260" s="7">
        <f>IF(COUNT(E260:Q260)=0,"",SUM(E260:Q260))</f>
        <v>475234311.7569418</v>
      </c>
    </row>
    <row r="261" spans="3:18" x14ac:dyDescent="0.3">
      <c r="C261" s="18"/>
      <c r="D261" s="4" t="s">
        <v>17</v>
      </c>
      <c r="E261" s="8">
        <v>0.90510000000000002</v>
      </c>
      <c r="F261" s="8">
        <v>0.90669999999999995</v>
      </c>
      <c r="G261" s="8">
        <v>0.9012</v>
      </c>
      <c r="H261" s="8">
        <v>0.92369999999999997</v>
      </c>
      <c r="I261" s="8">
        <v>0.91669999999999996</v>
      </c>
      <c r="J261" s="8">
        <v>0.92910000000000004</v>
      </c>
      <c r="K261" s="8">
        <v>0.93810000000000004</v>
      </c>
      <c r="L261" s="8">
        <v>0.94710000000000005</v>
      </c>
      <c r="M261" s="8">
        <v>1</v>
      </c>
      <c r="N261" s="9">
        <v>0.98</v>
      </c>
      <c r="O261" s="9">
        <v>0.98</v>
      </c>
      <c r="P261" s="9">
        <v>0.98</v>
      </c>
      <c r="Q261" s="9">
        <v>0.98</v>
      </c>
      <c r="R261" s="8">
        <f>IF(COUNT(E261:Q261)=0,"",AVERAGE(E261:Q261))</f>
        <v>0.94520769230769242</v>
      </c>
    </row>
    <row r="262" spans="3:18" x14ac:dyDescent="0.3">
      <c r="C262" s="18"/>
      <c r="D262" s="4" t="s">
        <v>18</v>
      </c>
      <c r="E262" s="9">
        <v>0.90590000000000004</v>
      </c>
      <c r="F262" s="9">
        <v>0.90900000000000003</v>
      </c>
      <c r="G262" s="9">
        <v>0.9042</v>
      </c>
      <c r="H262" s="9">
        <v>0.92390000000000005</v>
      </c>
      <c r="I262" s="9">
        <v>0.9194</v>
      </c>
      <c r="J262" s="9">
        <v>0.93110000000000004</v>
      </c>
      <c r="K262" s="9">
        <v>0.94010000000000005</v>
      </c>
      <c r="L262" s="9">
        <v>0.94910000000000005</v>
      </c>
      <c r="M262" s="9">
        <v>0.98</v>
      </c>
      <c r="N262" s="9">
        <v>0.98</v>
      </c>
      <c r="O262" s="9">
        <v>0.98</v>
      </c>
      <c r="P262" s="9">
        <v>0.98</v>
      </c>
      <c r="Q262" s="9">
        <v>0.98</v>
      </c>
      <c r="R262" s="9">
        <f>IF(COUNT(E262:Q262)=0,"",AVERAGE(E262:Q262))</f>
        <v>0.9448230769230771</v>
      </c>
    </row>
    <row r="263" spans="3:18" x14ac:dyDescent="0.3">
      <c r="C263" s="18"/>
      <c r="D263" s="4" t="s">
        <v>19</v>
      </c>
      <c r="E263" s="9">
        <f t="shared" ref="E263:R263" si="105">IF(OR(E261="",E262=""),"",E262-E261)</f>
        <v>8.0000000000002292E-4</v>
      </c>
      <c r="F263" s="9">
        <f t="shared" si="105"/>
        <v>2.3000000000000798E-3</v>
      </c>
      <c r="G263" s="9">
        <f t="shared" si="105"/>
        <v>3.0000000000000027E-3</v>
      </c>
      <c r="H263" s="9">
        <f t="shared" si="105"/>
        <v>2.00000000000089E-4</v>
      </c>
      <c r="I263" s="9">
        <f t="shared" si="105"/>
        <v>2.7000000000000357E-3</v>
      </c>
      <c r="J263" s="9">
        <f t="shared" si="105"/>
        <v>2.0000000000000018E-3</v>
      </c>
      <c r="K263" s="9">
        <f t="shared" si="105"/>
        <v>2.0000000000000018E-3</v>
      </c>
      <c r="L263" s="9">
        <f t="shared" si="105"/>
        <v>2.0000000000000018E-3</v>
      </c>
      <c r="M263" s="9">
        <f t="shared" si="105"/>
        <v>-2.0000000000000018E-2</v>
      </c>
      <c r="N263" s="9">
        <f t="shared" si="105"/>
        <v>0</v>
      </c>
      <c r="O263" s="9">
        <f t="shared" si="105"/>
        <v>0</v>
      </c>
      <c r="P263" s="9">
        <f t="shared" si="105"/>
        <v>0</v>
      </c>
      <c r="Q263" s="9">
        <f t="shared" si="105"/>
        <v>0</v>
      </c>
      <c r="R263" s="9">
        <f t="shared" si="105"/>
        <v>-3.8461538461531664E-4</v>
      </c>
    </row>
    <row r="264" spans="3:18" x14ac:dyDescent="0.3">
      <c r="C264" s="18"/>
      <c r="D264" s="4" t="s">
        <v>20</v>
      </c>
      <c r="E264" s="9">
        <f t="shared" ref="E264:R264" si="106">IF(E263="","",E263/3%*1%)</f>
        <v>2.6666666666667432E-4</v>
      </c>
      <c r="F264" s="9">
        <f t="shared" si="106"/>
        <v>7.6666666666669325E-4</v>
      </c>
      <c r="G264" s="9">
        <f t="shared" si="106"/>
        <v>1.0000000000000009E-3</v>
      </c>
      <c r="H264" s="9">
        <f t="shared" si="106"/>
        <v>6.6666666666696336E-5</v>
      </c>
      <c r="I264" s="9">
        <f t="shared" si="106"/>
        <v>9.000000000000119E-4</v>
      </c>
      <c r="J264" s="9">
        <f t="shared" si="106"/>
        <v>6.666666666666674E-4</v>
      </c>
      <c r="K264" s="9">
        <f t="shared" si="106"/>
        <v>6.666666666666674E-4</v>
      </c>
      <c r="L264" s="9">
        <f t="shared" si="106"/>
        <v>6.666666666666674E-4</v>
      </c>
      <c r="M264" s="9">
        <f t="shared" si="106"/>
        <v>-6.6666666666666732E-3</v>
      </c>
      <c r="N264" s="9">
        <f t="shared" si="106"/>
        <v>0</v>
      </c>
      <c r="O264" s="9">
        <f t="shared" si="106"/>
        <v>0</v>
      </c>
      <c r="P264" s="9">
        <f t="shared" si="106"/>
        <v>0</v>
      </c>
      <c r="Q264" s="9">
        <f t="shared" si="106"/>
        <v>0</v>
      </c>
      <c r="R264" s="9">
        <f t="shared" si="106"/>
        <v>-1.2820512820510555E-4</v>
      </c>
    </row>
    <row r="265" spans="3:18" x14ac:dyDescent="0.3">
      <c r="C265" s="19"/>
      <c r="D265" s="10" t="s">
        <v>21</v>
      </c>
      <c r="E265" s="11">
        <f t="shared" ref="E265:Q265" si="107">IF(OR(E260="",E264=""),"",E260*E264)</f>
        <v>7885.1189840005036</v>
      </c>
      <c r="F265" s="11">
        <f t="shared" si="107"/>
        <v>25055.659944666913</v>
      </c>
      <c r="G265" s="11">
        <f t="shared" si="107"/>
        <v>35179.164919996707</v>
      </c>
      <c r="H265" s="11">
        <f t="shared" si="107"/>
        <v>2697.9335433343872</v>
      </c>
      <c r="I265" s="11">
        <f t="shared" si="107"/>
        <v>35115.651314997842</v>
      </c>
      <c r="J265" s="11">
        <f t="shared" si="107"/>
        <v>24861.958199997272</v>
      </c>
      <c r="K265" s="11">
        <f t="shared" si="107"/>
        <v>27063.645166666331</v>
      </c>
      <c r="L265" s="11">
        <f t="shared" si="107"/>
        <v>25789.024699999536</v>
      </c>
      <c r="M265" s="11">
        <f t="shared" si="107"/>
        <v>-241776.70353684379</v>
      </c>
      <c r="N265" s="11">
        <f t="shared" si="107"/>
        <v>0</v>
      </c>
      <c r="O265" s="11">
        <f t="shared" si="107"/>
        <v>0</v>
      </c>
      <c r="P265" s="11">
        <f t="shared" si="107"/>
        <v>0</v>
      </c>
      <c r="Q265" s="11">
        <f t="shared" si="107"/>
        <v>0</v>
      </c>
      <c r="R265" s="11">
        <f>IF(COUNT(E265:Q265)=0,"",SUM(E265:Q265))</f>
        <v>-58128.546763184306</v>
      </c>
    </row>
    <row r="266" spans="3:18" x14ac:dyDescent="0.3">
      <c r="C266" s="4"/>
      <c r="D266" s="4"/>
      <c r="E266" s="5" t="s">
        <v>1</v>
      </c>
      <c r="F266" s="5" t="s">
        <v>2</v>
      </c>
      <c r="G266" s="5" t="s">
        <v>3</v>
      </c>
      <c r="H266" s="5" t="s">
        <v>4</v>
      </c>
      <c r="I266" s="5" t="s">
        <v>5</v>
      </c>
      <c r="J266" s="5" t="s">
        <v>6</v>
      </c>
      <c r="K266" s="5" t="s">
        <v>7</v>
      </c>
      <c r="L266" s="5" t="s">
        <v>8</v>
      </c>
      <c r="M266" s="5" t="s">
        <v>9</v>
      </c>
      <c r="N266" s="5" t="s">
        <v>10</v>
      </c>
      <c r="O266" s="5" t="s">
        <v>11</v>
      </c>
      <c r="P266" s="5" t="s">
        <v>12</v>
      </c>
      <c r="Q266" s="5" t="s">
        <v>13</v>
      </c>
      <c r="R266" s="5" t="s">
        <v>14</v>
      </c>
    </row>
    <row r="267" spans="3:18" x14ac:dyDescent="0.3">
      <c r="C267" s="17" t="s">
        <v>38</v>
      </c>
      <c r="D267" s="4" t="s">
        <v>16</v>
      </c>
      <c r="E267" s="6">
        <v>14422302.580959899</v>
      </c>
      <c r="F267" s="6">
        <v>16100614.52</v>
      </c>
      <c r="G267" s="6">
        <v>11435649.5257199</v>
      </c>
      <c r="H267" s="6">
        <v>15110665.199999999</v>
      </c>
      <c r="I267" s="6">
        <v>21787710.18248</v>
      </c>
      <c r="J267" s="6">
        <v>13939242.815239901</v>
      </c>
      <c r="K267" s="6">
        <v>8500494.3899999894</v>
      </c>
      <c r="L267" s="6">
        <v>13489431.499999899</v>
      </c>
      <c r="M267" s="6">
        <v>15000000</v>
      </c>
      <c r="N267" s="6">
        <v>18000000</v>
      </c>
      <c r="O267" s="6">
        <v>18800000</v>
      </c>
      <c r="P267" s="6">
        <v>13700000</v>
      </c>
      <c r="Q267" s="6">
        <v>14800000</v>
      </c>
      <c r="R267" s="7">
        <f>IF(COUNT(E267:Q267)=0,"",SUM(E267:Q267))</f>
        <v>195086110.71439958</v>
      </c>
    </row>
    <row r="268" spans="3:18" x14ac:dyDescent="0.3">
      <c r="C268" s="18"/>
      <c r="D268" s="4" t="s">
        <v>17</v>
      </c>
      <c r="E268" s="8">
        <v>0.95469999999999999</v>
      </c>
      <c r="F268" s="8">
        <v>0.96830000000000005</v>
      </c>
      <c r="G268" s="8">
        <v>0.9889</v>
      </c>
      <c r="H268" s="8">
        <v>0.98809999999999998</v>
      </c>
      <c r="I268" s="8">
        <v>0.98380000000000001</v>
      </c>
      <c r="J268" s="8">
        <v>0.96299999999999997</v>
      </c>
      <c r="K268" s="8">
        <v>0.98450000000000004</v>
      </c>
      <c r="L268" s="8">
        <v>0.97940000000000005</v>
      </c>
      <c r="M268" s="8">
        <v>0.95040000000000002</v>
      </c>
      <c r="N268" s="9">
        <v>0.95040000000000002</v>
      </c>
      <c r="O268" s="9">
        <v>0.95140000000000002</v>
      </c>
      <c r="P268" s="9">
        <v>0.95169999999999999</v>
      </c>
      <c r="Q268" s="9">
        <v>0.95269999999999999</v>
      </c>
      <c r="R268" s="8">
        <f>IF(COUNT(E268:Q268)=0,"",AVERAGE(E268:Q268))</f>
        <v>0.96671538461538475</v>
      </c>
    </row>
    <row r="269" spans="3:18" x14ac:dyDescent="0.3">
      <c r="C269" s="18"/>
      <c r="D269" s="4" t="s">
        <v>18</v>
      </c>
      <c r="E269" s="9">
        <v>0.95469999999999999</v>
      </c>
      <c r="F269" s="9">
        <v>0.96930000000000005</v>
      </c>
      <c r="G269" s="9">
        <v>0.98</v>
      </c>
      <c r="H269" s="9">
        <v>0.98</v>
      </c>
      <c r="I269" s="9">
        <v>0.98</v>
      </c>
      <c r="J269" s="9">
        <v>0.96299999999999997</v>
      </c>
      <c r="K269" s="9">
        <v>0.98</v>
      </c>
      <c r="L269" s="9">
        <v>0.97940000000000005</v>
      </c>
      <c r="M269" s="9">
        <v>0.95140000000000002</v>
      </c>
      <c r="N269" s="9">
        <v>0.95140000000000002</v>
      </c>
      <c r="O269" s="9">
        <v>0.95240000000000002</v>
      </c>
      <c r="P269" s="9">
        <v>0.95269999999999999</v>
      </c>
      <c r="Q269" s="9">
        <v>0.9536</v>
      </c>
      <c r="R269" s="9">
        <f>IF(COUNT(E269:Q269)=0,"",AVERAGE(E269:Q269))</f>
        <v>0.96522307692307696</v>
      </c>
    </row>
    <row r="270" spans="3:18" x14ac:dyDescent="0.3">
      <c r="C270" s="18"/>
      <c r="D270" s="4" t="s">
        <v>19</v>
      </c>
      <c r="E270" s="9">
        <f t="shared" ref="E270:R270" si="108">IF(OR(E268="",E269=""),"",E269-E268)</f>
        <v>0</v>
      </c>
      <c r="F270" s="9">
        <f t="shared" si="108"/>
        <v>1.0000000000000009E-3</v>
      </c>
      <c r="G270" s="9">
        <f t="shared" si="108"/>
        <v>-8.900000000000019E-3</v>
      </c>
      <c r="H270" s="9">
        <f t="shared" si="108"/>
        <v>-8.0999999999999961E-3</v>
      </c>
      <c r="I270" s="9">
        <f t="shared" si="108"/>
        <v>-3.8000000000000256E-3</v>
      </c>
      <c r="J270" s="9">
        <f t="shared" si="108"/>
        <v>0</v>
      </c>
      <c r="K270" s="9">
        <f t="shared" si="108"/>
        <v>-4.5000000000000595E-3</v>
      </c>
      <c r="L270" s="9">
        <f t="shared" si="108"/>
        <v>0</v>
      </c>
      <c r="M270" s="9">
        <f t="shared" si="108"/>
        <v>1.0000000000000009E-3</v>
      </c>
      <c r="N270" s="9">
        <f t="shared" si="108"/>
        <v>1.0000000000000009E-3</v>
      </c>
      <c r="O270" s="9">
        <f t="shared" si="108"/>
        <v>1.0000000000000009E-3</v>
      </c>
      <c r="P270" s="9">
        <f t="shared" si="108"/>
        <v>1.0000000000000009E-3</v>
      </c>
      <c r="Q270" s="9">
        <f t="shared" si="108"/>
        <v>9.000000000000119E-4</v>
      </c>
      <c r="R270" s="9">
        <f t="shared" si="108"/>
        <v>-1.4923076923077927E-3</v>
      </c>
    </row>
    <row r="271" spans="3:18" x14ac:dyDescent="0.3">
      <c r="C271" s="18"/>
      <c r="D271" s="4" t="s">
        <v>20</v>
      </c>
      <c r="E271" s="9">
        <f t="shared" ref="E271:R271" si="109">IF(E270="","",E270/3%*1%)</f>
        <v>0</v>
      </c>
      <c r="F271" s="9">
        <f t="shared" si="109"/>
        <v>3.333333333333337E-4</v>
      </c>
      <c r="G271" s="9">
        <f t="shared" si="109"/>
        <v>-2.966666666666673E-3</v>
      </c>
      <c r="H271" s="9">
        <f t="shared" si="109"/>
        <v>-2.6999999999999993E-3</v>
      </c>
      <c r="I271" s="9">
        <f t="shared" si="109"/>
        <v>-1.2666666666666755E-3</v>
      </c>
      <c r="J271" s="9">
        <f t="shared" si="109"/>
        <v>0</v>
      </c>
      <c r="K271" s="9">
        <f t="shared" si="109"/>
        <v>-1.50000000000002E-3</v>
      </c>
      <c r="L271" s="9">
        <f t="shared" si="109"/>
        <v>0</v>
      </c>
      <c r="M271" s="9">
        <f t="shared" si="109"/>
        <v>3.333333333333337E-4</v>
      </c>
      <c r="N271" s="9">
        <f t="shared" si="109"/>
        <v>3.333333333333337E-4</v>
      </c>
      <c r="O271" s="9">
        <f t="shared" si="109"/>
        <v>3.333333333333337E-4</v>
      </c>
      <c r="P271" s="9">
        <f t="shared" si="109"/>
        <v>3.333333333333337E-4</v>
      </c>
      <c r="Q271" s="9">
        <f t="shared" si="109"/>
        <v>3.0000000000000399E-4</v>
      </c>
      <c r="R271" s="9">
        <f t="shared" si="109"/>
        <v>-4.9743589743593097E-4</v>
      </c>
    </row>
    <row r="272" spans="3:18" x14ac:dyDescent="0.3">
      <c r="C272" s="19"/>
      <c r="D272" s="10" t="s">
        <v>21</v>
      </c>
      <c r="E272" s="11">
        <f t="shared" ref="E272:Q272" si="110">IF(OR(E267="",E271=""),"",E267*E271)</f>
        <v>0</v>
      </c>
      <c r="F272" s="11">
        <f t="shared" si="110"/>
        <v>5366.8715066666728</v>
      </c>
      <c r="G272" s="11">
        <f t="shared" si="110"/>
        <v>-33925.760259635776</v>
      </c>
      <c r="H272" s="11">
        <f t="shared" si="110"/>
        <v>-40798.796039999987</v>
      </c>
      <c r="I272" s="11">
        <f t="shared" si="110"/>
        <v>-27597.766231141526</v>
      </c>
      <c r="J272" s="11">
        <f t="shared" si="110"/>
        <v>0</v>
      </c>
      <c r="K272" s="11">
        <f t="shared" si="110"/>
        <v>-12750.741585000154</v>
      </c>
      <c r="L272" s="11">
        <f t="shared" si="110"/>
        <v>0</v>
      </c>
      <c r="M272" s="11">
        <f t="shared" si="110"/>
        <v>5000.0000000000055</v>
      </c>
      <c r="N272" s="11">
        <f t="shared" si="110"/>
        <v>6000.0000000000064</v>
      </c>
      <c r="O272" s="11">
        <f t="shared" si="110"/>
        <v>6266.6666666666733</v>
      </c>
      <c r="P272" s="11">
        <f t="shared" si="110"/>
        <v>4566.6666666666715</v>
      </c>
      <c r="Q272" s="11">
        <f t="shared" si="110"/>
        <v>4440.0000000000591</v>
      </c>
      <c r="R272" s="11">
        <f>IF(COUNT(E272:Q272)=0,"",SUM(E272:Q272))</f>
        <v>-83432.859275777359</v>
      </c>
    </row>
    <row r="273" spans="3:18" x14ac:dyDescent="0.3">
      <c r="C273" s="4"/>
      <c r="D273" s="4"/>
      <c r="E273" s="5" t="s">
        <v>1</v>
      </c>
      <c r="F273" s="5" t="s">
        <v>2</v>
      </c>
      <c r="G273" s="5" t="s">
        <v>3</v>
      </c>
      <c r="H273" s="5" t="s">
        <v>4</v>
      </c>
      <c r="I273" s="5" t="s">
        <v>5</v>
      </c>
      <c r="J273" s="5" t="s">
        <v>6</v>
      </c>
      <c r="K273" s="5" t="s">
        <v>7</v>
      </c>
      <c r="L273" s="5" t="s">
        <v>8</v>
      </c>
      <c r="M273" s="5" t="s">
        <v>9</v>
      </c>
      <c r="N273" s="5" t="s">
        <v>10</v>
      </c>
      <c r="O273" s="5" t="s">
        <v>11</v>
      </c>
      <c r="P273" s="5" t="s">
        <v>12</v>
      </c>
      <c r="Q273" s="5" t="s">
        <v>13</v>
      </c>
      <c r="R273" s="5" t="s">
        <v>14</v>
      </c>
    </row>
    <row r="274" spans="3:18" x14ac:dyDescent="0.3">
      <c r="C274" s="17" t="s">
        <v>24</v>
      </c>
      <c r="D274" s="4" t="s">
        <v>16</v>
      </c>
      <c r="E274" s="6">
        <v>2782132.1976899998</v>
      </c>
      <c r="F274" s="6">
        <v>2635118.904550001</v>
      </c>
      <c r="G274" s="6">
        <v>3509226.1457600002</v>
      </c>
      <c r="H274" s="6">
        <v>2390723.91</v>
      </c>
      <c r="I274" s="6">
        <v>4563028.1699999981</v>
      </c>
      <c r="J274" s="6">
        <v>2942846.5999999992</v>
      </c>
      <c r="K274" s="6">
        <v>2510036.5100000012</v>
      </c>
      <c r="L274" s="6">
        <v>2824807.21</v>
      </c>
      <c r="M274" s="6">
        <v>2000000</v>
      </c>
      <c r="N274" s="6">
        <v>2569422.58</v>
      </c>
      <c r="O274" s="6">
        <v>2569422.58</v>
      </c>
      <c r="P274" s="6">
        <v>2569422.58</v>
      </c>
      <c r="Q274" s="6">
        <v>2569422.58</v>
      </c>
      <c r="R274" s="7">
        <f>IF(COUNT(E274:Q274)=0,"",SUM(E274:Q274))</f>
        <v>36435609.967999995</v>
      </c>
    </row>
    <row r="275" spans="3:18" x14ac:dyDescent="0.3">
      <c r="C275" s="18"/>
      <c r="D275" s="4" t="s">
        <v>17</v>
      </c>
      <c r="E275" s="8">
        <v>0.81840000000000002</v>
      </c>
      <c r="F275" s="8">
        <v>0.69550000000000001</v>
      </c>
      <c r="G275" s="8">
        <v>0.7782</v>
      </c>
      <c r="H275" s="8">
        <v>0.85340000000000005</v>
      </c>
      <c r="I275" s="8">
        <v>0.87760000000000005</v>
      </c>
      <c r="J275" s="8">
        <v>0.87580000000000002</v>
      </c>
      <c r="K275" s="8">
        <v>0.86739999999999995</v>
      </c>
      <c r="L275" s="8">
        <v>0.88700000000000001</v>
      </c>
      <c r="M275" s="9">
        <v>0.88700000000000001</v>
      </c>
      <c r="N275" s="9">
        <v>0.88839999999999997</v>
      </c>
      <c r="O275" s="9">
        <v>0.88839999999999997</v>
      </c>
      <c r="P275" s="9">
        <v>0.89059999999999995</v>
      </c>
      <c r="Q275" s="9">
        <v>0.89090000000000003</v>
      </c>
      <c r="R275" s="8">
        <f>IF(COUNT(E275:Q275)=0,"",AVERAGE(E275:Q275))</f>
        <v>0.85373846153846167</v>
      </c>
    </row>
    <row r="276" spans="3:18" x14ac:dyDescent="0.3">
      <c r="C276" s="18"/>
      <c r="D276" s="4" t="s">
        <v>18</v>
      </c>
      <c r="E276" s="9">
        <v>0.82069999999999999</v>
      </c>
      <c r="F276" s="9">
        <v>0.70130000000000003</v>
      </c>
      <c r="G276" s="9">
        <v>0.7782</v>
      </c>
      <c r="H276" s="9">
        <v>0.85340000000000005</v>
      </c>
      <c r="I276" s="9">
        <v>0.87760000000000005</v>
      </c>
      <c r="J276" s="9">
        <v>0.87809999999999999</v>
      </c>
      <c r="K276" s="9">
        <v>0.86919999999999997</v>
      </c>
      <c r="L276" s="9">
        <v>0.89090000000000003</v>
      </c>
      <c r="M276" s="9">
        <v>0.89200000000000002</v>
      </c>
      <c r="N276" s="9">
        <v>0.89339999999999997</v>
      </c>
      <c r="O276" s="9">
        <v>0.89339999999999997</v>
      </c>
      <c r="P276" s="9">
        <v>0.89559999999999995</v>
      </c>
      <c r="Q276" s="9">
        <v>0.89590000000000003</v>
      </c>
      <c r="R276" s="9">
        <f>IF(COUNT(E276:Q276)=0,"",AVERAGE(E276:Q276))</f>
        <v>0.8569</v>
      </c>
    </row>
    <row r="277" spans="3:18" x14ac:dyDescent="0.3">
      <c r="C277" s="18"/>
      <c r="D277" s="4" t="s">
        <v>19</v>
      </c>
      <c r="E277" s="9">
        <f t="shared" ref="E277:R277" si="111">IF(OR(E275="",E276=""),"",E276-E275)</f>
        <v>2.2999999999999687E-3</v>
      </c>
      <c r="F277" s="9">
        <f t="shared" si="111"/>
        <v>5.8000000000000274E-3</v>
      </c>
      <c r="G277" s="9">
        <f t="shared" si="111"/>
        <v>0</v>
      </c>
      <c r="H277" s="9">
        <f t="shared" si="111"/>
        <v>0</v>
      </c>
      <c r="I277" s="9">
        <f t="shared" si="111"/>
        <v>0</v>
      </c>
      <c r="J277" s="9">
        <f t="shared" si="111"/>
        <v>2.2999999999999687E-3</v>
      </c>
      <c r="K277" s="9">
        <f t="shared" si="111"/>
        <v>1.8000000000000238E-3</v>
      </c>
      <c r="L277" s="9">
        <f t="shared" si="111"/>
        <v>3.9000000000000146E-3</v>
      </c>
      <c r="M277" s="9">
        <f t="shared" si="111"/>
        <v>5.0000000000000044E-3</v>
      </c>
      <c r="N277" s="9">
        <f t="shared" si="111"/>
        <v>5.0000000000000044E-3</v>
      </c>
      <c r="O277" s="9">
        <f t="shared" si="111"/>
        <v>5.0000000000000044E-3</v>
      </c>
      <c r="P277" s="9">
        <f t="shared" si="111"/>
        <v>5.0000000000000044E-3</v>
      </c>
      <c r="Q277" s="9">
        <f t="shared" si="111"/>
        <v>5.0000000000000044E-3</v>
      </c>
      <c r="R277" s="9">
        <f t="shared" si="111"/>
        <v>3.1615384615383268E-3</v>
      </c>
    </row>
    <row r="278" spans="3:18" x14ac:dyDescent="0.3">
      <c r="C278" s="18"/>
      <c r="D278" s="4" t="s">
        <v>20</v>
      </c>
      <c r="E278" s="9">
        <f t="shared" ref="E278:R278" si="112">IF(E277="","",E277/3%*1%)</f>
        <v>7.6666666666665639E-4</v>
      </c>
      <c r="F278" s="9">
        <f t="shared" si="112"/>
        <v>1.9333333333333425E-3</v>
      </c>
      <c r="G278" s="9">
        <f t="shared" si="112"/>
        <v>0</v>
      </c>
      <c r="H278" s="9">
        <f t="shared" si="112"/>
        <v>0</v>
      </c>
      <c r="I278" s="9">
        <f t="shared" si="112"/>
        <v>0</v>
      </c>
      <c r="J278" s="9">
        <f t="shared" si="112"/>
        <v>7.6666666666665639E-4</v>
      </c>
      <c r="K278" s="9">
        <f t="shared" si="112"/>
        <v>6.0000000000000797E-4</v>
      </c>
      <c r="L278" s="9">
        <f t="shared" si="112"/>
        <v>1.3000000000000051E-3</v>
      </c>
      <c r="M278" s="9">
        <f t="shared" si="112"/>
        <v>1.6666666666666683E-3</v>
      </c>
      <c r="N278" s="9">
        <f t="shared" si="112"/>
        <v>1.6666666666666683E-3</v>
      </c>
      <c r="O278" s="9">
        <f t="shared" si="112"/>
        <v>1.6666666666666683E-3</v>
      </c>
      <c r="P278" s="9">
        <f t="shared" si="112"/>
        <v>1.6666666666666683E-3</v>
      </c>
      <c r="Q278" s="9">
        <f t="shared" si="112"/>
        <v>1.6666666666666683E-3</v>
      </c>
      <c r="R278" s="9">
        <f t="shared" si="112"/>
        <v>1.053846153846109E-3</v>
      </c>
    </row>
    <row r="279" spans="3:18" x14ac:dyDescent="0.3">
      <c r="C279" s="19"/>
      <c r="D279" s="10" t="s">
        <v>21</v>
      </c>
      <c r="E279" s="11">
        <f t="shared" ref="E279:Q279" si="113">IF(OR(E274="",E278=""),"",E274*E278)</f>
        <v>2132.9680182289712</v>
      </c>
      <c r="F279" s="11">
        <f t="shared" si="113"/>
        <v>5094.5632154633595</v>
      </c>
      <c r="G279" s="11">
        <f t="shared" si="113"/>
        <v>0</v>
      </c>
      <c r="H279" s="11">
        <f t="shared" si="113"/>
        <v>0</v>
      </c>
      <c r="I279" s="11">
        <f t="shared" si="113"/>
        <v>0</v>
      </c>
      <c r="J279" s="11">
        <f t="shared" si="113"/>
        <v>2256.1823933333026</v>
      </c>
      <c r="K279" s="11">
        <f t="shared" si="113"/>
        <v>1506.0219060000206</v>
      </c>
      <c r="L279" s="11">
        <f t="shared" si="113"/>
        <v>3672.2493730000147</v>
      </c>
      <c r="M279" s="11">
        <f t="shared" si="113"/>
        <v>3333.3333333333367</v>
      </c>
      <c r="N279" s="11">
        <f t="shared" si="113"/>
        <v>4282.3709666666709</v>
      </c>
      <c r="O279" s="11">
        <f t="shared" si="113"/>
        <v>4282.3709666666709</v>
      </c>
      <c r="P279" s="11">
        <f t="shared" si="113"/>
        <v>4282.3709666666709</v>
      </c>
      <c r="Q279" s="11">
        <f t="shared" si="113"/>
        <v>4282.3709666666709</v>
      </c>
      <c r="R279" s="11">
        <f>IF(COUNT(E279:Q279)=0,"",SUM(E279:Q279))</f>
        <v>35124.802106025687</v>
      </c>
    </row>
    <row r="280" spans="3:18" x14ac:dyDescent="0.3">
      <c r="C280" s="4"/>
      <c r="D280" s="4"/>
      <c r="E280" s="5" t="s">
        <v>1</v>
      </c>
      <c r="F280" s="5" t="s">
        <v>2</v>
      </c>
      <c r="G280" s="5" t="s">
        <v>3</v>
      </c>
      <c r="H280" s="5" t="s">
        <v>4</v>
      </c>
      <c r="I280" s="5" t="s">
        <v>5</v>
      </c>
      <c r="J280" s="5" t="s">
        <v>6</v>
      </c>
      <c r="K280" s="5" t="s">
        <v>7</v>
      </c>
      <c r="L280" s="5" t="s">
        <v>8</v>
      </c>
      <c r="M280" s="5" t="s">
        <v>9</v>
      </c>
      <c r="N280" s="5" t="s">
        <v>10</v>
      </c>
      <c r="O280" s="5" t="s">
        <v>11</v>
      </c>
      <c r="P280" s="5" t="s">
        <v>12</v>
      </c>
      <c r="Q280" s="5" t="s">
        <v>13</v>
      </c>
      <c r="R280" s="5" t="s">
        <v>14</v>
      </c>
    </row>
    <row r="281" spans="3:18" x14ac:dyDescent="0.3">
      <c r="C281" s="17" t="s">
        <v>44</v>
      </c>
      <c r="D281" s="4" t="s">
        <v>16</v>
      </c>
      <c r="E281" s="6">
        <v>1254532.740000006</v>
      </c>
      <c r="F281" s="6">
        <v>1955178.4300000139</v>
      </c>
      <c r="G281" s="6">
        <v>2362885.2899999269</v>
      </c>
      <c r="H281" s="6">
        <v>1975322.7700000079</v>
      </c>
      <c r="I281" s="6">
        <v>1921331.470000013</v>
      </c>
      <c r="J281" s="6">
        <v>1886941.74000002</v>
      </c>
      <c r="K281" s="6">
        <v>2414926.0700000338</v>
      </c>
      <c r="L281" s="6">
        <v>2695639.7699998659</v>
      </c>
      <c r="M281" s="6">
        <v>1931133.7806955669</v>
      </c>
      <c r="N281" s="6">
        <v>1993036.834775202</v>
      </c>
      <c r="O281" s="6">
        <v>2110638.471856216</v>
      </c>
      <c r="P281" s="6">
        <v>2049939.54440535</v>
      </c>
      <c r="Q281" s="6">
        <v>2379437.9894491108</v>
      </c>
      <c r="R281" s="7">
        <f>IF(COUNT(E281:Q281)=0,"",SUM(E281:Q281))</f>
        <v>26930944.901181329</v>
      </c>
    </row>
    <row r="282" spans="3:18" x14ac:dyDescent="0.3">
      <c r="C282" s="18"/>
      <c r="D282" s="4" t="s">
        <v>17</v>
      </c>
      <c r="E282" s="8">
        <v>0.96079999999999999</v>
      </c>
      <c r="F282" s="8">
        <v>0.98029999999999995</v>
      </c>
      <c r="G282" s="8">
        <v>0.97660000000000002</v>
      </c>
      <c r="H282" s="8">
        <v>0.98109999999999997</v>
      </c>
      <c r="I282" s="8">
        <v>0.96879999999999999</v>
      </c>
      <c r="J282" s="8">
        <v>0.98019999999999996</v>
      </c>
      <c r="K282" s="8">
        <v>0.96199999999999997</v>
      </c>
      <c r="L282" s="8">
        <v>0.92769999999999997</v>
      </c>
      <c r="M282" s="9">
        <v>0.92900000000000005</v>
      </c>
      <c r="N282" s="9">
        <v>0.92900000000000005</v>
      </c>
      <c r="O282" s="9">
        <v>0.92989999999999995</v>
      </c>
      <c r="P282" s="9">
        <v>0.92989999999999995</v>
      </c>
      <c r="Q282" s="9">
        <v>0.93069999999999997</v>
      </c>
      <c r="R282" s="8">
        <f>IF(COUNT(E282:Q282)=0,"",AVERAGE(E282:Q282))</f>
        <v>0.9527692307692307</v>
      </c>
    </row>
    <row r="283" spans="3:18" x14ac:dyDescent="0.3">
      <c r="C283" s="18"/>
      <c r="D283" s="4" t="s">
        <v>18</v>
      </c>
      <c r="E283" s="9">
        <v>0.96179999999999999</v>
      </c>
      <c r="F283" s="9">
        <v>0.98</v>
      </c>
      <c r="G283" s="9">
        <v>0.97760000000000002</v>
      </c>
      <c r="H283" s="9">
        <v>0.98</v>
      </c>
      <c r="I283" s="9">
        <v>0.9698</v>
      </c>
      <c r="J283" s="9">
        <v>0.98</v>
      </c>
      <c r="K283" s="9">
        <v>0.96299999999999997</v>
      </c>
      <c r="L283" s="9">
        <v>0.92969999999999997</v>
      </c>
      <c r="M283" s="9">
        <v>0.93100000000000005</v>
      </c>
      <c r="N283" s="9">
        <v>0.93100000000000005</v>
      </c>
      <c r="O283" s="9">
        <v>0.93189999999999995</v>
      </c>
      <c r="P283" s="9">
        <v>0.93189999999999995</v>
      </c>
      <c r="Q283" s="9">
        <v>0.93269999999999997</v>
      </c>
      <c r="R283" s="9">
        <f>IF(COUNT(E283:Q283)=0,"",AVERAGE(E283:Q283))</f>
        <v>0.95387692307692318</v>
      </c>
    </row>
    <row r="284" spans="3:18" x14ac:dyDescent="0.3">
      <c r="C284" s="18"/>
      <c r="D284" s="4" t="s">
        <v>19</v>
      </c>
      <c r="E284" s="9">
        <f t="shared" ref="E284:R284" si="114">IF(OR(E282="",E283=""),"",E283-E282)</f>
        <v>1.0000000000000009E-3</v>
      </c>
      <c r="F284" s="9">
        <f t="shared" si="114"/>
        <v>-2.9999999999996696E-4</v>
      </c>
      <c r="G284" s="9">
        <f t="shared" si="114"/>
        <v>1.0000000000000009E-3</v>
      </c>
      <c r="H284" s="9">
        <f t="shared" si="114"/>
        <v>-1.0999999999999899E-3</v>
      </c>
      <c r="I284" s="9">
        <f t="shared" si="114"/>
        <v>1.0000000000000009E-3</v>
      </c>
      <c r="J284" s="9">
        <f t="shared" si="114"/>
        <v>-1.9999999999997797E-4</v>
      </c>
      <c r="K284" s="9">
        <f t="shared" si="114"/>
        <v>1.0000000000000009E-3</v>
      </c>
      <c r="L284" s="9">
        <f t="shared" si="114"/>
        <v>2.0000000000000018E-3</v>
      </c>
      <c r="M284" s="9">
        <f t="shared" si="114"/>
        <v>2.0000000000000018E-3</v>
      </c>
      <c r="N284" s="9">
        <f t="shared" si="114"/>
        <v>2.0000000000000018E-3</v>
      </c>
      <c r="O284" s="9">
        <f t="shared" si="114"/>
        <v>2.0000000000000018E-3</v>
      </c>
      <c r="P284" s="9">
        <f t="shared" si="114"/>
        <v>2.0000000000000018E-3</v>
      </c>
      <c r="Q284" s="9">
        <f t="shared" si="114"/>
        <v>2.0000000000000018E-3</v>
      </c>
      <c r="R284" s="9">
        <f t="shared" si="114"/>
        <v>1.1076923076924761E-3</v>
      </c>
    </row>
    <row r="285" spans="3:18" x14ac:dyDescent="0.3">
      <c r="C285" s="18"/>
      <c r="D285" s="4" t="s">
        <v>20</v>
      </c>
      <c r="E285" s="9">
        <f t="shared" ref="E285:R285" si="115">IF(E284="","",E284/3%*1%)</f>
        <v>3.333333333333337E-4</v>
      </c>
      <c r="F285" s="9">
        <f t="shared" si="115"/>
        <v>-9.9999999999988987E-5</v>
      </c>
      <c r="G285" s="9">
        <f t="shared" si="115"/>
        <v>3.333333333333337E-4</v>
      </c>
      <c r="H285" s="9">
        <f t="shared" si="115"/>
        <v>-3.6666666666666336E-4</v>
      </c>
      <c r="I285" s="9">
        <f t="shared" si="115"/>
        <v>3.333333333333337E-4</v>
      </c>
      <c r="J285" s="9">
        <f t="shared" si="115"/>
        <v>-6.6666666666659324E-5</v>
      </c>
      <c r="K285" s="9">
        <f t="shared" si="115"/>
        <v>3.333333333333337E-4</v>
      </c>
      <c r="L285" s="9">
        <f t="shared" si="115"/>
        <v>6.666666666666674E-4</v>
      </c>
      <c r="M285" s="9">
        <f t="shared" si="115"/>
        <v>6.666666666666674E-4</v>
      </c>
      <c r="N285" s="9">
        <f t="shared" si="115"/>
        <v>6.666666666666674E-4</v>
      </c>
      <c r="O285" s="9">
        <f t="shared" si="115"/>
        <v>6.666666666666674E-4</v>
      </c>
      <c r="P285" s="9">
        <f t="shared" si="115"/>
        <v>6.666666666666674E-4</v>
      </c>
      <c r="Q285" s="9">
        <f t="shared" si="115"/>
        <v>6.666666666666674E-4</v>
      </c>
      <c r="R285" s="9">
        <f t="shared" si="115"/>
        <v>3.6923076923082543E-4</v>
      </c>
    </row>
    <row r="286" spans="3:18" x14ac:dyDescent="0.3">
      <c r="C286" s="19"/>
      <c r="D286" s="10" t="s">
        <v>21</v>
      </c>
      <c r="E286" s="11">
        <f t="shared" ref="E286:Q286" si="116">IF(OR(E281="",E285=""),"",E281*E285)</f>
        <v>418.17758000000248</v>
      </c>
      <c r="F286" s="11">
        <f t="shared" si="116"/>
        <v>-195.51784299997985</v>
      </c>
      <c r="G286" s="11">
        <f t="shared" si="116"/>
        <v>787.62842999997656</v>
      </c>
      <c r="H286" s="11">
        <f t="shared" si="116"/>
        <v>-724.28501566666307</v>
      </c>
      <c r="I286" s="11">
        <f t="shared" si="116"/>
        <v>640.4438233333384</v>
      </c>
      <c r="J286" s="11">
        <f t="shared" si="116"/>
        <v>-125.79611599998748</v>
      </c>
      <c r="K286" s="11">
        <f t="shared" si="116"/>
        <v>804.97535666667886</v>
      </c>
      <c r="L286" s="11">
        <f t="shared" si="116"/>
        <v>1797.0931799999125</v>
      </c>
      <c r="M286" s="11">
        <f t="shared" si="116"/>
        <v>1287.4225204637128</v>
      </c>
      <c r="N286" s="11">
        <f t="shared" si="116"/>
        <v>1328.6912231834694</v>
      </c>
      <c r="O286" s="11">
        <f t="shared" si="116"/>
        <v>1407.0923145708123</v>
      </c>
      <c r="P286" s="11">
        <f t="shared" si="116"/>
        <v>1366.6263629369016</v>
      </c>
      <c r="Q286" s="11">
        <f t="shared" si="116"/>
        <v>1586.2919929660757</v>
      </c>
      <c r="R286" s="11">
        <f>IF(COUNT(E286:Q286)=0,"",SUM(E286:Q286))</f>
        <v>10378.843809454251</v>
      </c>
    </row>
    <row r="287" spans="3:18" x14ac:dyDescent="0.3">
      <c r="C287" s="4"/>
      <c r="D287" s="4"/>
      <c r="E287" s="5" t="s">
        <v>1</v>
      </c>
      <c r="F287" s="5" t="s">
        <v>2</v>
      </c>
      <c r="G287" s="5" t="s">
        <v>3</v>
      </c>
      <c r="H287" s="5" t="s">
        <v>4</v>
      </c>
      <c r="I287" s="5" t="s">
        <v>5</v>
      </c>
      <c r="J287" s="5" t="s">
        <v>6</v>
      </c>
      <c r="K287" s="5" t="s">
        <v>7</v>
      </c>
      <c r="L287" s="5" t="s">
        <v>8</v>
      </c>
      <c r="M287" s="5" t="s">
        <v>9</v>
      </c>
      <c r="N287" s="5" t="s">
        <v>10</v>
      </c>
      <c r="O287" s="5" t="s">
        <v>11</v>
      </c>
      <c r="P287" s="5" t="s">
        <v>12</v>
      </c>
      <c r="Q287" s="5" t="s">
        <v>13</v>
      </c>
      <c r="R287" s="5" t="s">
        <v>14</v>
      </c>
    </row>
    <row r="288" spans="3:18" x14ac:dyDescent="0.3">
      <c r="C288" s="17" t="s">
        <v>45</v>
      </c>
      <c r="D288" s="4" t="s">
        <v>16</v>
      </c>
      <c r="E288" s="6">
        <v>18449905.730000202</v>
      </c>
      <c r="F288" s="6">
        <v>18766805.375000142</v>
      </c>
      <c r="G288" s="6">
        <v>21880158.482001029</v>
      </c>
      <c r="H288" s="6">
        <v>23178460.306500189</v>
      </c>
      <c r="I288" s="6">
        <v>20566080.590000499</v>
      </c>
      <c r="J288" s="6">
        <v>24107938.97000096</v>
      </c>
      <c r="K288" s="6">
        <v>23593345.43999999</v>
      </c>
      <c r="L288" s="6">
        <v>20460461.72000074</v>
      </c>
      <c r="M288" s="6">
        <v>21718041.042191211</v>
      </c>
      <c r="N288" s="6">
        <v>22147469.250480831</v>
      </c>
      <c r="O288" s="6">
        <v>22294873.605519231</v>
      </c>
      <c r="P288" s="6">
        <v>23047085.740084231</v>
      </c>
      <c r="Q288" s="6">
        <v>24238092.719342779</v>
      </c>
      <c r="R288" s="7">
        <f>IF(COUNT(E288:Q288)=0,"",SUM(E288:Q288))</f>
        <v>284448718.97112203</v>
      </c>
    </row>
    <row r="289" spans="3:18" x14ac:dyDescent="0.3">
      <c r="C289" s="18"/>
      <c r="D289" s="4" t="s">
        <v>17</v>
      </c>
      <c r="E289" s="8">
        <v>0.83809999999999996</v>
      </c>
      <c r="F289" s="8">
        <v>0.85840000000000005</v>
      </c>
      <c r="G289" s="8">
        <v>0.89390000000000003</v>
      </c>
      <c r="H289" s="8">
        <v>0.91220000000000001</v>
      </c>
      <c r="I289" s="8">
        <v>0.91269999999999996</v>
      </c>
      <c r="J289" s="8">
        <v>0.9355</v>
      </c>
      <c r="K289" s="8">
        <v>0.93630000000000002</v>
      </c>
      <c r="L289" s="8">
        <v>0.9294</v>
      </c>
      <c r="M289" s="9">
        <v>0.93069999999999997</v>
      </c>
      <c r="N289" s="9">
        <v>0.93269999999999997</v>
      </c>
      <c r="O289" s="9">
        <v>0.93269999999999997</v>
      </c>
      <c r="P289" s="9">
        <v>0.93269999999999997</v>
      </c>
      <c r="Q289" s="9">
        <v>0.93269999999999997</v>
      </c>
      <c r="R289" s="8">
        <f>IF(COUNT(E289:Q289)=0,"",AVERAGE(E289:Q289))</f>
        <v>0.9136923076923078</v>
      </c>
    </row>
    <row r="290" spans="3:18" x14ac:dyDescent="0.3">
      <c r="C290" s="18"/>
      <c r="D290" s="4" t="s">
        <v>18</v>
      </c>
      <c r="E290" s="9">
        <v>0.84050000000000002</v>
      </c>
      <c r="F290" s="9">
        <v>0.86339999999999995</v>
      </c>
      <c r="G290" s="9">
        <v>0.89390000000000003</v>
      </c>
      <c r="H290" s="9">
        <v>0.91439999999999999</v>
      </c>
      <c r="I290" s="9">
        <v>0.91500000000000004</v>
      </c>
      <c r="J290" s="9">
        <v>0.9355</v>
      </c>
      <c r="K290" s="9">
        <v>0.93830000000000002</v>
      </c>
      <c r="L290" s="9">
        <v>0.93140000000000001</v>
      </c>
      <c r="M290" s="9">
        <v>0.93269999999999997</v>
      </c>
      <c r="N290" s="9">
        <v>0.93469999999999998</v>
      </c>
      <c r="O290" s="9">
        <v>0.93469999999999998</v>
      </c>
      <c r="P290" s="9">
        <v>0.93469999999999998</v>
      </c>
      <c r="Q290" s="9">
        <v>0.93469999999999998</v>
      </c>
      <c r="R290" s="9">
        <f>IF(COUNT(E290:Q290)=0,"",AVERAGE(E290:Q290))</f>
        <v>0.91568461538461521</v>
      </c>
    </row>
    <row r="291" spans="3:18" x14ac:dyDescent="0.3">
      <c r="C291" s="18"/>
      <c r="D291" s="4" t="s">
        <v>19</v>
      </c>
      <c r="E291" s="9">
        <f t="shared" ref="E291:R291" si="117">IF(OR(E289="",E290=""),"",E290-E289)</f>
        <v>2.4000000000000687E-3</v>
      </c>
      <c r="F291" s="9">
        <f t="shared" si="117"/>
        <v>4.9999999999998934E-3</v>
      </c>
      <c r="G291" s="9">
        <f t="shared" si="117"/>
        <v>0</v>
      </c>
      <c r="H291" s="9">
        <f t="shared" si="117"/>
        <v>2.1999999999999797E-3</v>
      </c>
      <c r="I291" s="9">
        <f t="shared" si="117"/>
        <v>2.3000000000000798E-3</v>
      </c>
      <c r="J291" s="9">
        <f t="shared" si="117"/>
        <v>0</v>
      </c>
      <c r="K291" s="9">
        <f t="shared" si="117"/>
        <v>2.0000000000000018E-3</v>
      </c>
      <c r="L291" s="9">
        <f t="shared" si="117"/>
        <v>2.0000000000000018E-3</v>
      </c>
      <c r="M291" s="9">
        <f t="shared" si="117"/>
        <v>2.0000000000000018E-3</v>
      </c>
      <c r="N291" s="9">
        <f t="shared" si="117"/>
        <v>2.0000000000000018E-3</v>
      </c>
      <c r="O291" s="9">
        <f t="shared" si="117"/>
        <v>2.0000000000000018E-3</v>
      </c>
      <c r="P291" s="9">
        <f t="shared" si="117"/>
        <v>2.0000000000000018E-3</v>
      </c>
      <c r="Q291" s="9">
        <f t="shared" si="117"/>
        <v>2.0000000000000018E-3</v>
      </c>
      <c r="R291" s="9">
        <f t="shared" si="117"/>
        <v>1.9923076923074046E-3</v>
      </c>
    </row>
    <row r="292" spans="3:18" x14ac:dyDescent="0.3">
      <c r="C292" s="18"/>
      <c r="D292" s="4" t="s">
        <v>20</v>
      </c>
      <c r="E292" s="9">
        <f t="shared" ref="E292:R292" si="118">IF(E291="","",E291/3%*1%)</f>
        <v>8.0000000000002292E-4</v>
      </c>
      <c r="F292" s="9">
        <f t="shared" si="118"/>
        <v>1.6666666666666314E-3</v>
      </c>
      <c r="G292" s="9">
        <f t="shared" si="118"/>
        <v>0</v>
      </c>
      <c r="H292" s="9">
        <f t="shared" si="118"/>
        <v>7.3333333333332673E-4</v>
      </c>
      <c r="I292" s="9">
        <f t="shared" si="118"/>
        <v>7.6666666666669325E-4</v>
      </c>
      <c r="J292" s="9">
        <f t="shared" si="118"/>
        <v>0</v>
      </c>
      <c r="K292" s="9">
        <f t="shared" si="118"/>
        <v>6.666666666666674E-4</v>
      </c>
      <c r="L292" s="9">
        <f t="shared" si="118"/>
        <v>6.666666666666674E-4</v>
      </c>
      <c r="M292" s="9">
        <f t="shared" si="118"/>
        <v>6.666666666666674E-4</v>
      </c>
      <c r="N292" s="9">
        <f t="shared" si="118"/>
        <v>6.666666666666674E-4</v>
      </c>
      <c r="O292" s="9">
        <f t="shared" si="118"/>
        <v>6.666666666666674E-4</v>
      </c>
      <c r="P292" s="9">
        <f t="shared" si="118"/>
        <v>6.666666666666674E-4</v>
      </c>
      <c r="Q292" s="9">
        <f t="shared" si="118"/>
        <v>6.666666666666674E-4</v>
      </c>
      <c r="R292" s="9">
        <f t="shared" si="118"/>
        <v>6.6410256410246826E-4</v>
      </c>
    </row>
    <row r="293" spans="3:18" x14ac:dyDescent="0.3">
      <c r="C293" s="19"/>
      <c r="D293" s="10" t="s">
        <v>21</v>
      </c>
      <c r="E293" s="11">
        <f t="shared" ref="E293:Q293" si="119">IF(OR(E288="",E292=""),"",E288*E292)</f>
        <v>14759.924584000584</v>
      </c>
      <c r="F293" s="11">
        <f t="shared" si="119"/>
        <v>31278.008958332906</v>
      </c>
      <c r="G293" s="11">
        <f t="shared" si="119"/>
        <v>0</v>
      </c>
      <c r="H293" s="11">
        <f t="shared" si="119"/>
        <v>16997.537558099986</v>
      </c>
      <c r="I293" s="11">
        <f t="shared" si="119"/>
        <v>15767.328452334263</v>
      </c>
      <c r="J293" s="11">
        <f t="shared" si="119"/>
        <v>0</v>
      </c>
      <c r="K293" s="11">
        <f t="shared" si="119"/>
        <v>15728.896960000011</v>
      </c>
      <c r="L293" s="11">
        <f t="shared" si="119"/>
        <v>13640.307813333842</v>
      </c>
      <c r="M293" s="11">
        <f t="shared" si="119"/>
        <v>14478.694028127489</v>
      </c>
      <c r="N293" s="11">
        <f t="shared" si="119"/>
        <v>14764.979500320571</v>
      </c>
      <c r="O293" s="11">
        <f t="shared" si="119"/>
        <v>14863.24907034617</v>
      </c>
      <c r="P293" s="11">
        <f t="shared" si="119"/>
        <v>15364.723826722837</v>
      </c>
      <c r="Q293" s="11">
        <f t="shared" si="119"/>
        <v>16158.728479561871</v>
      </c>
      <c r="R293" s="11">
        <f>IF(COUNT(E293:Q293)=0,"",SUM(E293:Q293))</f>
        <v>183802.37923118053</v>
      </c>
    </row>
    <row r="294" spans="3:18" x14ac:dyDescent="0.3">
      <c r="C294" s="4"/>
      <c r="D294" s="4"/>
      <c r="E294" s="5" t="s">
        <v>1</v>
      </c>
      <c r="F294" s="5" t="s">
        <v>2</v>
      </c>
      <c r="G294" s="5" t="s">
        <v>3</v>
      </c>
      <c r="H294" s="5" t="s">
        <v>4</v>
      </c>
      <c r="I294" s="5" t="s">
        <v>5</v>
      </c>
      <c r="J294" s="5" t="s">
        <v>6</v>
      </c>
      <c r="K294" s="5" t="s">
        <v>7</v>
      </c>
      <c r="L294" s="5" t="s">
        <v>8</v>
      </c>
      <c r="M294" s="5" t="s">
        <v>9</v>
      </c>
      <c r="N294" s="5" t="s">
        <v>10</v>
      </c>
      <c r="O294" s="5" t="s">
        <v>11</v>
      </c>
      <c r="P294" s="5" t="s">
        <v>12</v>
      </c>
      <c r="Q294" s="5" t="s">
        <v>13</v>
      </c>
      <c r="R294" s="5" t="s">
        <v>14</v>
      </c>
    </row>
    <row r="295" spans="3:18" x14ac:dyDescent="0.3">
      <c r="C295" s="17" t="s">
        <v>46</v>
      </c>
      <c r="D295" s="4" t="s">
        <v>16</v>
      </c>
      <c r="E295" s="6">
        <v>18138832.54999993</v>
      </c>
      <c r="F295" s="6">
        <v>22874277.28000018</v>
      </c>
      <c r="G295" s="6">
        <v>20861621.9800005</v>
      </c>
      <c r="H295" s="6">
        <v>18858655.849999908</v>
      </c>
      <c r="I295" s="6">
        <v>20035393.83000049</v>
      </c>
      <c r="J295" s="6">
        <v>22238039.109999988</v>
      </c>
      <c r="K295" s="6">
        <v>20152442.549999978</v>
      </c>
      <c r="L295" s="6">
        <v>28571901.54999923</v>
      </c>
      <c r="M295" s="6">
        <v>22020816.459045269</v>
      </c>
      <c r="N295" s="6">
        <v>23728548.259518649</v>
      </c>
      <c r="O295" s="6">
        <v>23571426.545521099</v>
      </c>
      <c r="P295" s="6">
        <v>23475779.872360978</v>
      </c>
      <c r="Q295" s="6">
        <v>26290501.593275812</v>
      </c>
      <c r="R295" s="7">
        <f>IF(COUNT(E295:Q295)=0,"",SUM(E295:Q295))</f>
        <v>290818237.42972201</v>
      </c>
    </row>
    <row r="296" spans="3:18" x14ac:dyDescent="0.3">
      <c r="C296" s="18"/>
      <c r="D296" s="4" t="s">
        <v>17</v>
      </c>
      <c r="E296" s="8">
        <v>0.92469999999999997</v>
      </c>
      <c r="F296" s="8">
        <v>0.94130000000000003</v>
      </c>
      <c r="G296" s="8">
        <v>0.9536</v>
      </c>
      <c r="H296" s="8">
        <v>0.97009999999999996</v>
      </c>
      <c r="I296" s="8">
        <v>0.96199999999999997</v>
      </c>
      <c r="J296" s="8">
        <v>0.95640000000000003</v>
      </c>
      <c r="K296" s="8">
        <v>0.9506</v>
      </c>
      <c r="L296" s="8">
        <v>0.96630000000000005</v>
      </c>
      <c r="M296" s="8">
        <v>0.98699999999999999</v>
      </c>
      <c r="N296" s="9">
        <v>0.98</v>
      </c>
      <c r="O296" s="9">
        <v>0.98</v>
      </c>
      <c r="P296" s="9">
        <v>0.98</v>
      </c>
      <c r="Q296" s="9">
        <v>0.98</v>
      </c>
      <c r="R296" s="8">
        <f>IF(COUNT(E296:Q296)=0,"",AVERAGE(E296:Q296))</f>
        <v>0.96400000000000019</v>
      </c>
    </row>
    <row r="297" spans="3:18" x14ac:dyDescent="0.3">
      <c r="C297" s="18"/>
      <c r="D297" s="4" t="s">
        <v>18</v>
      </c>
      <c r="E297" s="9">
        <v>0.92669999999999997</v>
      </c>
      <c r="F297" s="9">
        <v>0.94130000000000003</v>
      </c>
      <c r="G297" s="9">
        <v>0.9546</v>
      </c>
      <c r="H297" s="9">
        <v>0.97109999999999996</v>
      </c>
      <c r="I297" s="9">
        <v>0.96299999999999997</v>
      </c>
      <c r="J297" s="9">
        <v>0.95740000000000003</v>
      </c>
      <c r="K297" s="9">
        <v>0.9516</v>
      </c>
      <c r="L297" s="9">
        <v>0.96719999999999995</v>
      </c>
      <c r="M297" s="9">
        <v>0.98</v>
      </c>
      <c r="N297" s="9">
        <v>0.98</v>
      </c>
      <c r="O297" s="9">
        <v>0.98</v>
      </c>
      <c r="P297" s="9">
        <v>0.98</v>
      </c>
      <c r="Q297" s="9">
        <v>0.98</v>
      </c>
      <c r="R297" s="9">
        <f>IF(COUNT(E297:Q297)=0,"",AVERAGE(E297:Q297))</f>
        <v>0.9640692307692309</v>
      </c>
    </row>
    <row r="298" spans="3:18" x14ac:dyDescent="0.3">
      <c r="C298" s="18"/>
      <c r="D298" s="4" t="s">
        <v>19</v>
      </c>
      <c r="E298" s="9">
        <f t="shared" ref="E298:R298" si="120">IF(OR(E296="",E297=""),"",E297-E296)</f>
        <v>2.0000000000000018E-3</v>
      </c>
      <c r="F298" s="9">
        <f t="shared" si="120"/>
        <v>0</v>
      </c>
      <c r="G298" s="9">
        <f t="shared" si="120"/>
        <v>1.0000000000000009E-3</v>
      </c>
      <c r="H298" s="9">
        <f t="shared" si="120"/>
        <v>1.0000000000000009E-3</v>
      </c>
      <c r="I298" s="9">
        <f t="shared" si="120"/>
        <v>1.0000000000000009E-3</v>
      </c>
      <c r="J298" s="9">
        <f t="shared" si="120"/>
        <v>1.0000000000000009E-3</v>
      </c>
      <c r="K298" s="9">
        <f t="shared" si="120"/>
        <v>1.0000000000000009E-3</v>
      </c>
      <c r="L298" s="9">
        <f t="shared" si="120"/>
        <v>8.9999999999990088E-4</v>
      </c>
      <c r="M298" s="9">
        <f t="shared" si="120"/>
        <v>-7.0000000000000062E-3</v>
      </c>
      <c r="N298" s="9">
        <f t="shared" si="120"/>
        <v>0</v>
      </c>
      <c r="O298" s="9">
        <f t="shared" si="120"/>
        <v>0</v>
      </c>
      <c r="P298" s="9">
        <f t="shared" si="120"/>
        <v>0</v>
      </c>
      <c r="Q298" s="9">
        <f t="shared" si="120"/>
        <v>0</v>
      </c>
      <c r="R298" s="9">
        <f t="shared" si="120"/>
        <v>6.9230769230710365E-5</v>
      </c>
    </row>
    <row r="299" spans="3:18" x14ac:dyDescent="0.3">
      <c r="C299" s="18"/>
      <c r="D299" s="4" t="s">
        <v>20</v>
      </c>
      <c r="E299" s="9">
        <f t="shared" ref="E299:R299" si="121">IF(E298="","",E298/3%*1%)</f>
        <v>6.666666666666674E-4</v>
      </c>
      <c r="F299" s="9">
        <f t="shared" si="121"/>
        <v>0</v>
      </c>
      <c r="G299" s="9">
        <f t="shared" si="121"/>
        <v>3.333333333333337E-4</v>
      </c>
      <c r="H299" s="9">
        <f t="shared" si="121"/>
        <v>3.333333333333337E-4</v>
      </c>
      <c r="I299" s="9">
        <f t="shared" si="121"/>
        <v>3.333333333333337E-4</v>
      </c>
      <c r="J299" s="9">
        <f t="shared" si="121"/>
        <v>3.333333333333337E-4</v>
      </c>
      <c r="K299" s="9">
        <f t="shared" si="121"/>
        <v>3.333333333333337E-4</v>
      </c>
      <c r="L299" s="9">
        <f t="shared" si="121"/>
        <v>2.9999999999996696E-4</v>
      </c>
      <c r="M299" s="9">
        <f t="shared" si="121"/>
        <v>-2.3333333333333357E-3</v>
      </c>
      <c r="N299" s="9">
        <f t="shared" si="121"/>
        <v>0</v>
      </c>
      <c r="O299" s="9">
        <f t="shared" si="121"/>
        <v>0</v>
      </c>
      <c r="P299" s="9">
        <f t="shared" si="121"/>
        <v>0</v>
      </c>
      <c r="Q299" s="9">
        <f t="shared" si="121"/>
        <v>0</v>
      </c>
      <c r="R299" s="9">
        <f t="shared" si="121"/>
        <v>2.3076923076903455E-5</v>
      </c>
    </row>
    <row r="300" spans="3:18" x14ac:dyDescent="0.3">
      <c r="C300" s="19"/>
      <c r="D300" s="10" t="s">
        <v>21</v>
      </c>
      <c r="E300" s="11">
        <f t="shared" ref="E300:Q300" si="122">IF(OR(E295="",E299=""),"",E295*E299)</f>
        <v>12092.555033333299</v>
      </c>
      <c r="F300" s="11">
        <f t="shared" si="122"/>
        <v>0</v>
      </c>
      <c r="G300" s="11">
        <f t="shared" si="122"/>
        <v>6953.8739933335073</v>
      </c>
      <c r="H300" s="11">
        <f t="shared" si="122"/>
        <v>6286.2186166666434</v>
      </c>
      <c r="I300" s="11">
        <f t="shared" si="122"/>
        <v>6678.464610000171</v>
      </c>
      <c r="J300" s="11">
        <f t="shared" si="122"/>
        <v>7412.6797033333378</v>
      </c>
      <c r="K300" s="11">
        <f t="shared" si="122"/>
        <v>6717.4808499999999</v>
      </c>
      <c r="L300" s="11">
        <f t="shared" si="122"/>
        <v>8571.5704649988256</v>
      </c>
      <c r="M300" s="11">
        <f t="shared" si="122"/>
        <v>-51381.905071105677</v>
      </c>
      <c r="N300" s="11">
        <f t="shared" si="122"/>
        <v>0</v>
      </c>
      <c r="O300" s="11">
        <f t="shared" si="122"/>
        <v>0</v>
      </c>
      <c r="P300" s="11">
        <f t="shared" si="122"/>
        <v>0</v>
      </c>
      <c r="Q300" s="11">
        <f t="shared" si="122"/>
        <v>0</v>
      </c>
      <c r="R300" s="11">
        <f>IF(COUNT(E300:Q300)=0,"",SUM(E300:Q300))</f>
        <v>3330.9382005601074</v>
      </c>
    </row>
    <row r="301" spans="3:18" x14ac:dyDescent="0.3">
      <c r="C301" s="4"/>
      <c r="D301" s="4"/>
      <c r="E301" s="5" t="s">
        <v>1</v>
      </c>
      <c r="F301" s="5" t="s">
        <v>2</v>
      </c>
      <c r="G301" s="5" t="s">
        <v>3</v>
      </c>
      <c r="H301" s="5" t="s">
        <v>4</v>
      </c>
      <c r="I301" s="5" t="s">
        <v>5</v>
      </c>
      <c r="J301" s="5" t="s">
        <v>6</v>
      </c>
      <c r="K301" s="5" t="s">
        <v>7</v>
      </c>
      <c r="L301" s="5" t="s">
        <v>8</v>
      </c>
      <c r="M301" s="5" t="s">
        <v>9</v>
      </c>
      <c r="N301" s="5" t="s">
        <v>10</v>
      </c>
      <c r="O301" s="5" t="s">
        <v>11</v>
      </c>
      <c r="P301" s="5" t="s">
        <v>12</v>
      </c>
      <c r="Q301" s="5" t="s">
        <v>13</v>
      </c>
      <c r="R301" s="5" t="s">
        <v>14</v>
      </c>
    </row>
    <row r="302" spans="3:18" x14ac:dyDescent="0.3">
      <c r="C302" s="17" t="s">
        <v>40</v>
      </c>
      <c r="D302" s="4" t="s">
        <v>16</v>
      </c>
      <c r="E302" s="6">
        <v>26634010.16</v>
      </c>
      <c r="F302" s="6">
        <v>31703247.219999999</v>
      </c>
      <c r="G302" s="6">
        <v>25060531</v>
      </c>
      <c r="H302" s="6">
        <v>21513682.399999999</v>
      </c>
      <c r="I302" s="6">
        <v>29074440.1599999</v>
      </c>
      <c r="J302" s="6">
        <v>39870185.530000001</v>
      </c>
      <c r="K302" s="6">
        <v>23015349.8899999</v>
      </c>
      <c r="L302" s="6">
        <v>25929985.280000001</v>
      </c>
      <c r="M302" s="6">
        <v>24900000</v>
      </c>
      <c r="N302" s="6">
        <v>25200000</v>
      </c>
      <c r="O302" s="6">
        <v>29800000</v>
      </c>
      <c r="P302" s="6">
        <v>27500000</v>
      </c>
      <c r="Q302" s="6">
        <v>26000000</v>
      </c>
      <c r="R302" s="7">
        <f>IF(COUNT(E302:Q302)=0,"",SUM(E302:Q302))</f>
        <v>356201431.63999981</v>
      </c>
    </row>
    <row r="303" spans="3:18" x14ac:dyDescent="0.3">
      <c r="C303" s="18"/>
      <c r="D303" s="4" t="s">
        <v>17</v>
      </c>
      <c r="E303" s="8">
        <v>0.92589999999999995</v>
      </c>
      <c r="F303" s="8">
        <v>0.94889999999999997</v>
      </c>
      <c r="G303" s="8">
        <v>0.93110000000000004</v>
      </c>
      <c r="H303" s="8">
        <v>0.95069999999999999</v>
      </c>
      <c r="I303" s="8">
        <v>0.93679999999999997</v>
      </c>
      <c r="J303" s="8">
        <v>0.94620000000000004</v>
      </c>
      <c r="K303" s="8">
        <v>0.91359999999999997</v>
      </c>
      <c r="L303" s="8">
        <v>0.89849999999999997</v>
      </c>
      <c r="M303" s="9">
        <v>0.90229999999999999</v>
      </c>
      <c r="N303" s="9">
        <v>0.90229999999999999</v>
      </c>
      <c r="O303" s="9">
        <v>0.90229999999999999</v>
      </c>
      <c r="P303" s="9">
        <v>0.90469999999999995</v>
      </c>
      <c r="Q303" s="9">
        <v>0.90769999999999995</v>
      </c>
      <c r="R303" s="8">
        <f>IF(COUNT(E303:Q303)=0,"",AVERAGE(E303:Q303))</f>
        <v>0.92084615384615398</v>
      </c>
    </row>
    <row r="304" spans="3:18" x14ac:dyDescent="0.3">
      <c r="C304" s="18"/>
      <c r="D304" s="4" t="s">
        <v>18</v>
      </c>
      <c r="E304" s="9">
        <v>0.9264</v>
      </c>
      <c r="F304" s="9">
        <v>0.95089999999999997</v>
      </c>
      <c r="G304" s="9">
        <v>0.93200000000000005</v>
      </c>
      <c r="H304" s="9">
        <v>0.95169999999999999</v>
      </c>
      <c r="I304" s="9">
        <v>0.93879999999999997</v>
      </c>
      <c r="J304" s="9">
        <v>0.94820000000000004</v>
      </c>
      <c r="K304" s="9">
        <v>0.91659999999999997</v>
      </c>
      <c r="L304" s="9">
        <v>0.90280000000000005</v>
      </c>
      <c r="M304" s="9">
        <v>0.90529999999999999</v>
      </c>
      <c r="N304" s="9">
        <v>0.90529999999999999</v>
      </c>
      <c r="O304" s="9">
        <v>0.90529999999999999</v>
      </c>
      <c r="P304" s="9">
        <v>0.90769999999999995</v>
      </c>
      <c r="Q304" s="9">
        <v>0.90959999999999996</v>
      </c>
      <c r="R304" s="9">
        <f>IF(COUNT(E304:Q304)=0,"",AVERAGE(E304:Q304))</f>
        <v>0.92312307692307694</v>
      </c>
    </row>
    <row r="305" spans="3:18" x14ac:dyDescent="0.3">
      <c r="C305" s="18"/>
      <c r="D305" s="4" t="s">
        <v>19</v>
      </c>
      <c r="E305" s="9">
        <f t="shared" ref="E305:R305" si="123">IF(OR(E303="",E304=""),"",E304-E303)</f>
        <v>5.0000000000005596E-4</v>
      </c>
      <c r="F305" s="9">
        <f t="shared" si="123"/>
        <v>2.0000000000000018E-3</v>
      </c>
      <c r="G305" s="9">
        <f t="shared" si="123"/>
        <v>9.000000000000119E-4</v>
      </c>
      <c r="H305" s="9">
        <f t="shared" si="123"/>
        <v>1.0000000000000009E-3</v>
      </c>
      <c r="I305" s="9">
        <f t="shared" si="123"/>
        <v>2.0000000000000018E-3</v>
      </c>
      <c r="J305" s="9">
        <f t="shared" si="123"/>
        <v>2.0000000000000018E-3</v>
      </c>
      <c r="K305" s="9">
        <f t="shared" si="123"/>
        <v>3.0000000000000027E-3</v>
      </c>
      <c r="L305" s="9">
        <f t="shared" si="123"/>
        <v>4.3000000000000815E-3</v>
      </c>
      <c r="M305" s="9">
        <f t="shared" si="123"/>
        <v>3.0000000000000027E-3</v>
      </c>
      <c r="N305" s="9">
        <f t="shared" si="123"/>
        <v>3.0000000000000027E-3</v>
      </c>
      <c r="O305" s="9">
        <f t="shared" si="123"/>
        <v>3.0000000000000027E-3</v>
      </c>
      <c r="P305" s="9">
        <f t="shared" si="123"/>
        <v>3.0000000000000027E-3</v>
      </c>
      <c r="Q305" s="9">
        <f t="shared" si="123"/>
        <v>1.9000000000000128E-3</v>
      </c>
      <c r="R305" s="9">
        <f t="shared" si="123"/>
        <v>2.2769230769229543E-3</v>
      </c>
    </row>
    <row r="306" spans="3:18" x14ac:dyDescent="0.3">
      <c r="C306" s="18"/>
      <c r="D306" s="4" t="s">
        <v>20</v>
      </c>
      <c r="E306" s="9">
        <f t="shared" ref="E306:R306" si="124">IF(E305="","",E305/3%*1%)</f>
        <v>1.6666666666668534E-4</v>
      </c>
      <c r="F306" s="9">
        <f t="shared" si="124"/>
        <v>6.666666666666674E-4</v>
      </c>
      <c r="G306" s="9">
        <f t="shared" si="124"/>
        <v>3.0000000000000399E-4</v>
      </c>
      <c r="H306" s="9">
        <f t="shared" si="124"/>
        <v>3.333333333333337E-4</v>
      </c>
      <c r="I306" s="9">
        <f t="shared" si="124"/>
        <v>6.666666666666674E-4</v>
      </c>
      <c r="J306" s="9">
        <f t="shared" si="124"/>
        <v>6.666666666666674E-4</v>
      </c>
      <c r="K306" s="9">
        <f t="shared" si="124"/>
        <v>1.0000000000000009E-3</v>
      </c>
      <c r="L306" s="9">
        <f t="shared" si="124"/>
        <v>1.4333333333333607E-3</v>
      </c>
      <c r="M306" s="9">
        <f t="shared" si="124"/>
        <v>1.0000000000000009E-3</v>
      </c>
      <c r="N306" s="9">
        <f t="shared" si="124"/>
        <v>1.0000000000000009E-3</v>
      </c>
      <c r="O306" s="9">
        <f t="shared" si="124"/>
        <v>1.0000000000000009E-3</v>
      </c>
      <c r="P306" s="9">
        <f t="shared" si="124"/>
        <v>1.0000000000000009E-3</v>
      </c>
      <c r="Q306" s="9">
        <f t="shared" si="124"/>
        <v>6.3333333333333774E-4</v>
      </c>
      <c r="R306" s="9">
        <f t="shared" si="124"/>
        <v>7.5897435897431809E-4</v>
      </c>
    </row>
    <row r="307" spans="3:18" x14ac:dyDescent="0.3">
      <c r="C307" s="19"/>
      <c r="D307" s="10" t="s">
        <v>21</v>
      </c>
      <c r="E307" s="11">
        <f t="shared" ref="E307:Q307" si="125">IF(OR(E302="",E306=""),"",E302*E306)</f>
        <v>4439.0016933338302</v>
      </c>
      <c r="F307" s="11">
        <f t="shared" si="125"/>
        <v>21135.49814666669</v>
      </c>
      <c r="G307" s="11">
        <f t="shared" si="125"/>
        <v>7518.1593000001003</v>
      </c>
      <c r="H307" s="11">
        <f t="shared" si="125"/>
        <v>7171.2274666666744</v>
      </c>
      <c r="I307" s="11">
        <f t="shared" si="125"/>
        <v>19382.960106666622</v>
      </c>
      <c r="J307" s="11">
        <f t="shared" si="125"/>
        <v>26580.123686666699</v>
      </c>
      <c r="K307" s="11">
        <f t="shared" si="125"/>
        <v>23015.349889999921</v>
      </c>
      <c r="L307" s="11">
        <f t="shared" si="125"/>
        <v>37166.312234667377</v>
      </c>
      <c r="M307" s="11">
        <f t="shared" si="125"/>
        <v>24900.000000000022</v>
      </c>
      <c r="N307" s="11">
        <f t="shared" si="125"/>
        <v>25200.000000000022</v>
      </c>
      <c r="O307" s="11">
        <f t="shared" si="125"/>
        <v>29800.000000000025</v>
      </c>
      <c r="P307" s="11">
        <f t="shared" si="125"/>
        <v>27500.000000000025</v>
      </c>
      <c r="Q307" s="11">
        <f t="shared" si="125"/>
        <v>16466.666666666781</v>
      </c>
      <c r="R307" s="11">
        <f>IF(COUNT(E307:Q307)=0,"",SUM(E307:Q307))</f>
        <v>270275.29919133481</v>
      </c>
    </row>
    <row r="308" spans="3:18" x14ac:dyDescent="0.3">
      <c r="C308" s="4"/>
      <c r="D308" s="4"/>
      <c r="E308" s="5" t="s">
        <v>1</v>
      </c>
      <c r="F308" s="5" t="s">
        <v>2</v>
      </c>
      <c r="G308" s="5" t="s">
        <v>3</v>
      </c>
      <c r="H308" s="5" t="s">
        <v>4</v>
      </c>
      <c r="I308" s="5" t="s">
        <v>5</v>
      </c>
      <c r="J308" s="5" t="s">
        <v>6</v>
      </c>
      <c r="K308" s="5" t="s">
        <v>7</v>
      </c>
      <c r="L308" s="5" t="s">
        <v>8</v>
      </c>
      <c r="M308" s="5" t="s">
        <v>9</v>
      </c>
      <c r="N308" s="5" t="s">
        <v>10</v>
      </c>
      <c r="O308" s="5" t="s">
        <v>11</v>
      </c>
      <c r="P308" s="5" t="s">
        <v>12</v>
      </c>
      <c r="Q308" s="5" t="s">
        <v>13</v>
      </c>
      <c r="R308" s="5" t="s">
        <v>14</v>
      </c>
    </row>
    <row r="309" spans="3:18" x14ac:dyDescent="0.3">
      <c r="C309" s="17" t="s">
        <v>47</v>
      </c>
      <c r="D309" s="4" t="s">
        <v>16</v>
      </c>
      <c r="E309" s="6">
        <v>9640321.3399999663</v>
      </c>
      <c r="F309" s="6">
        <v>9971215.872500021</v>
      </c>
      <c r="G309" s="6">
        <v>11529239.993250011</v>
      </c>
      <c r="H309" s="6">
        <v>11463741.774999941</v>
      </c>
      <c r="I309" s="6">
        <v>10749662.000000039</v>
      </c>
      <c r="J309" s="6">
        <v>13578330.99</v>
      </c>
      <c r="K309" s="6">
        <v>12187297.870000049</v>
      </c>
      <c r="L309" s="6">
        <v>9987179.959999999</v>
      </c>
      <c r="M309" s="6">
        <v>11718116.946054511</v>
      </c>
      <c r="N309" s="6">
        <v>11957102.98092318</v>
      </c>
      <c r="O309" s="6">
        <v>12294133.417063581</v>
      </c>
      <c r="P309" s="6">
        <v>12420278.101542469</v>
      </c>
      <c r="Q309" s="6">
        <v>13226868.573962141</v>
      </c>
      <c r="R309" s="7">
        <f>IF(COUNT(E309:Q309)=0,"",SUM(E309:Q309))</f>
        <v>150723489.8202959</v>
      </c>
    </row>
    <row r="310" spans="3:18" x14ac:dyDescent="0.3">
      <c r="C310" s="18"/>
      <c r="D310" s="4" t="s">
        <v>17</v>
      </c>
      <c r="E310" s="8">
        <v>0.91200000000000003</v>
      </c>
      <c r="F310" s="8">
        <v>0.91210000000000002</v>
      </c>
      <c r="G310" s="8">
        <v>0.95050000000000001</v>
      </c>
      <c r="H310" s="8">
        <v>0.96340000000000003</v>
      </c>
      <c r="I310" s="8">
        <v>0.95960000000000001</v>
      </c>
      <c r="J310" s="8">
        <v>0.97599999999999998</v>
      </c>
      <c r="K310" s="8">
        <v>0.97519999999999996</v>
      </c>
      <c r="L310" s="8">
        <v>0.98070000000000002</v>
      </c>
      <c r="M310" s="9">
        <v>0.98</v>
      </c>
      <c r="N310" s="9">
        <v>0.98</v>
      </c>
      <c r="O310" s="9">
        <v>0.98</v>
      </c>
      <c r="P310" s="9">
        <v>0.98</v>
      </c>
      <c r="Q310" s="9">
        <v>0.98</v>
      </c>
      <c r="R310" s="8">
        <f>IF(COUNT(E310:Q310)=0,"",AVERAGE(E310:Q310))</f>
        <v>0.96380769230769237</v>
      </c>
    </row>
    <row r="311" spans="3:18" x14ac:dyDescent="0.3">
      <c r="C311" s="18"/>
      <c r="D311" s="4" t="s">
        <v>18</v>
      </c>
      <c r="E311" s="9">
        <v>0.91200000000000003</v>
      </c>
      <c r="F311" s="9">
        <v>0.9133</v>
      </c>
      <c r="G311" s="9">
        <v>0.95130000000000003</v>
      </c>
      <c r="H311" s="9">
        <v>0.96340000000000003</v>
      </c>
      <c r="I311" s="9">
        <v>0.96060000000000001</v>
      </c>
      <c r="J311" s="9">
        <v>0.97699999999999998</v>
      </c>
      <c r="K311" s="9">
        <v>0.97619999999999996</v>
      </c>
      <c r="L311" s="9">
        <v>0.98</v>
      </c>
      <c r="M311" s="9">
        <v>0.98</v>
      </c>
      <c r="N311" s="9">
        <v>0.98</v>
      </c>
      <c r="O311" s="9">
        <v>0.98</v>
      </c>
      <c r="P311" s="9">
        <v>0.98</v>
      </c>
      <c r="Q311" s="9">
        <v>0.98</v>
      </c>
      <c r="R311" s="9">
        <f>IF(COUNT(E311:Q311)=0,"",AVERAGE(E311:Q311))</f>
        <v>0.96413846153846172</v>
      </c>
    </row>
    <row r="312" spans="3:18" x14ac:dyDescent="0.3">
      <c r="C312" s="18"/>
      <c r="D312" s="4" t="s">
        <v>19</v>
      </c>
      <c r="E312" s="9">
        <f t="shared" ref="E312:R312" si="126">IF(OR(E310="",E311=""),"",E311-E310)</f>
        <v>0</v>
      </c>
      <c r="F312" s="9">
        <f t="shared" si="126"/>
        <v>1.1999999999999789E-3</v>
      </c>
      <c r="G312" s="9">
        <f t="shared" si="126"/>
        <v>8.0000000000002292E-4</v>
      </c>
      <c r="H312" s="9">
        <f t="shared" si="126"/>
        <v>0</v>
      </c>
      <c r="I312" s="9">
        <f t="shared" si="126"/>
        <v>1.0000000000000009E-3</v>
      </c>
      <c r="J312" s="9">
        <f t="shared" si="126"/>
        <v>1.0000000000000009E-3</v>
      </c>
      <c r="K312" s="9">
        <f t="shared" si="126"/>
        <v>1.0000000000000009E-3</v>
      </c>
      <c r="L312" s="9">
        <f t="shared" si="126"/>
        <v>-7.0000000000003393E-4</v>
      </c>
      <c r="M312" s="9">
        <f t="shared" si="126"/>
        <v>0</v>
      </c>
      <c r="N312" s="9">
        <f t="shared" si="126"/>
        <v>0</v>
      </c>
      <c r="O312" s="9">
        <f t="shared" si="126"/>
        <v>0</v>
      </c>
      <c r="P312" s="9">
        <f t="shared" si="126"/>
        <v>0</v>
      </c>
      <c r="Q312" s="9">
        <f t="shared" si="126"/>
        <v>0</v>
      </c>
      <c r="R312" s="9">
        <f t="shared" si="126"/>
        <v>3.307692307693566E-4</v>
      </c>
    </row>
    <row r="313" spans="3:18" x14ac:dyDescent="0.3">
      <c r="C313" s="18"/>
      <c r="D313" s="4" t="s">
        <v>20</v>
      </c>
      <c r="E313" s="9">
        <f t="shared" ref="E313:R313" si="127">IF(E312="","",E312/3%*1%)</f>
        <v>0</v>
      </c>
      <c r="F313" s="9">
        <f t="shared" si="127"/>
        <v>3.9999999999999303E-4</v>
      </c>
      <c r="G313" s="9">
        <f t="shared" si="127"/>
        <v>2.6666666666667432E-4</v>
      </c>
      <c r="H313" s="9">
        <f t="shared" si="127"/>
        <v>0</v>
      </c>
      <c r="I313" s="9">
        <f t="shared" si="127"/>
        <v>3.333333333333337E-4</v>
      </c>
      <c r="J313" s="9">
        <f t="shared" si="127"/>
        <v>3.333333333333337E-4</v>
      </c>
      <c r="K313" s="9">
        <f t="shared" si="127"/>
        <v>3.333333333333337E-4</v>
      </c>
      <c r="L313" s="9">
        <f t="shared" si="127"/>
        <v>-2.3333333333334466E-4</v>
      </c>
      <c r="M313" s="9">
        <f t="shared" si="127"/>
        <v>0</v>
      </c>
      <c r="N313" s="9">
        <f t="shared" si="127"/>
        <v>0</v>
      </c>
      <c r="O313" s="9">
        <f t="shared" si="127"/>
        <v>0</v>
      </c>
      <c r="P313" s="9">
        <f t="shared" si="127"/>
        <v>0</v>
      </c>
      <c r="Q313" s="9">
        <f t="shared" si="127"/>
        <v>0</v>
      </c>
      <c r="R313" s="9">
        <f t="shared" si="127"/>
        <v>1.1025641025645222E-4</v>
      </c>
    </row>
    <row r="314" spans="3:18" x14ac:dyDescent="0.3">
      <c r="C314" s="19"/>
      <c r="D314" s="10" t="s">
        <v>21</v>
      </c>
      <c r="E314" s="11">
        <f t="shared" ref="E314:Q314" si="128">IF(OR(E309="",E313=""),"",E309*E313)</f>
        <v>0</v>
      </c>
      <c r="F314" s="11">
        <f t="shared" si="128"/>
        <v>3988.4863489999389</v>
      </c>
      <c r="G314" s="11">
        <f t="shared" si="128"/>
        <v>3074.4639982000913</v>
      </c>
      <c r="H314" s="11">
        <f t="shared" si="128"/>
        <v>0</v>
      </c>
      <c r="I314" s="11">
        <f t="shared" si="128"/>
        <v>3583.2206666666839</v>
      </c>
      <c r="J314" s="11">
        <f t="shared" si="128"/>
        <v>4526.110330000005</v>
      </c>
      <c r="K314" s="11">
        <f t="shared" si="128"/>
        <v>4062.4326233333545</v>
      </c>
      <c r="L314" s="11">
        <f t="shared" si="128"/>
        <v>-2330.3419906667796</v>
      </c>
      <c r="M314" s="11">
        <f t="shared" si="128"/>
        <v>0</v>
      </c>
      <c r="N314" s="11">
        <f t="shared" si="128"/>
        <v>0</v>
      </c>
      <c r="O314" s="11">
        <f t="shared" si="128"/>
        <v>0</v>
      </c>
      <c r="P314" s="11">
        <f t="shared" si="128"/>
        <v>0</v>
      </c>
      <c r="Q314" s="11">
        <f t="shared" si="128"/>
        <v>0</v>
      </c>
      <c r="R314" s="11">
        <f>IF(COUNT(E314:Q314)=0,"",SUM(E314:Q314))</f>
        <v>16904.371976533293</v>
      </c>
    </row>
  </sheetData>
  <mergeCells count="43">
    <mergeCell ref="C253:C258"/>
    <mergeCell ref="C91:C96"/>
    <mergeCell ref="C267:C272"/>
    <mergeCell ref="C19:C24"/>
    <mergeCell ref="C309:C314"/>
    <mergeCell ref="C63:C68"/>
    <mergeCell ref="C121:C126"/>
    <mergeCell ref="C54:C59"/>
    <mergeCell ref="C84:C89"/>
    <mergeCell ref="C128:C133"/>
    <mergeCell ref="C193:C198"/>
    <mergeCell ref="C246:C251"/>
    <mergeCell ref="C142:C147"/>
    <mergeCell ref="C302:C307"/>
    <mergeCell ref="C295:C300"/>
    <mergeCell ref="C214:C219"/>
    <mergeCell ref="C114:C119"/>
    <mergeCell ref="C223:C228"/>
    <mergeCell ref="C207:C212"/>
    <mergeCell ref="C70:C75"/>
    <mergeCell ref="C288:C293"/>
    <mergeCell ref="C107:C112"/>
    <mergeCell ref="C260:C265"/>
    <mergeCell ref="C98:C103"/>
    <mergeCell ref="C5:C10"/>
    <mergeCell ref="C156:C161"/>
    <mergeCell ref="C274:C279"/>
    <mergeCell ref="C172:C177"/>
    <mergeCell ref="C230:C235"/>
    <mergeCell ref="C281:C286"/>
    <mergeCell ref="C26:C31"/>
    <mergeCell ref="C47:C52"/>
    <mergeCell ref="C12:C17"/>
    <mergeCell ref="C40:C45"/>
    <mergeCell ref="C165:C170"/>
    <mergeCell ref="C135:C140"/>
    <mergeCell ref="C179:C184"/>
    <mergeCell ref="C239:C244"/>
    <mergeCell ref="C77:C82"/>
    <mergeCell ref="C186:C191"/>
    <mergeCell ref="C33:C38"/>
    <mergeCell ref="C200:C205"/>
    <mergeCell ref="C149:C1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31"/>
  <sheetViews>
    <sheetView workbookViewId="0"/>
  </sheetViews>
  <sheetFormatPr defaultRowHeight="14.4" x14ac:dyDescent="0.3"/>
  <sheetData>
    <row r="1" spans="1:4" x14ac:dyDescent="0.3">
      <c r="A1" s="12" t="s">
        <v>48</v>
      </c>
      <c r="B1" s="12" t="s">
        <v>49</v>
      </c>
      <c r="C1" s="12" t="s">
        <v>50</v>
      </c>
      <c r="D1" s="12" t="s">
        <v>51</v>
      </c>
    </row>
    <row r="2" spans="1:4" x14ac:dyDescent="0.3">
      <c r="A2" s="13" t="s">
        <v>52</v>
      </c>
      <c r="B2" s="14">
        <v>0.99973295496775316</v>
      </c>
      <c r="C2" s="13" t="s">
        <v>53</v>
      </c>
      <c r="D2" s="13" t="s">
        <v>0</v>
      </c>
    </row>
    <row r="3" spans="1:4" x14ac:dyDescent="0.3">
      <c r="A3" s="13" t="s">
        <v>52</v>
      </c>
      <c r="B3" s="14">
        <v>0.42952361162593139</v>
      </c>
      <c r="C3" s="13" t="s">
        <v>54</v>
      </c>
      <c r="D3" s="13" t="s">
        <v>29</v>
      </c>
    </row>
    <row r="4" spans="1:4" x14ac:dyDescent="0.3">
      <c r="A4" s="13" t="s">
        <v>52</v>
      </c>
      <c r="B4" s="14">
        <v>0.92475902419674716</v>
      </c>
      <c r="C4" s="13" t="s">
        <v>55</v>
      </c>
      <c r="D4" s="13" t="s">
        <v>0</v>
      </c>
    </row>
    <row r="5" spans="1:4" x14ac:dyDescent="0.3">
      <c r="A5" s="13" t="s">
        <v>52</v>
      </c>
      <c r="B5" s="14">
        <v>0.93740633119559436</v>
      </c>
      <c r="C5" s="13" t="s">
        <v>55</v>
      </c>
      <c r="D5" s="13" t="s">
        <v>33</v>
      </c>
    </row>
    <row r="6" spans="1:4" x14ac:dyDescent="0.3">
      <c r="A6" s="13" t="s">
        <v>52</v>
      </c>
      <c r="B6" s="14">
        <v>0.91172422071589032</v>
      </c>
      <c r="C6" s="13" t="s">
        <v>55</v>
      </c>
      <c r="D6" s="13" t="s">
        <v>29</v>
      </c>
    </row>
    <row r="7" spans="1:4" x14ac:dyDescent="0.3">
      <c r="A7" s="13" t="s">
        <v>52</v>
      </c>
      <c r="B7" s="14">
        <v>0.71416238134083065</v>
      </c>
      <c r="C7" s="13" t="s">
        <v>56</v>
      </c>
      <c r="D7" s="13" t="s">
        <v>29</v>
      </c>
    </row>
    <row r="8" spans="1:4" x14ac:dyDescent="0.3">
      <c r="A8" s="13" t="s">
        <v>52</v>
      </c>
      <c r="B8" s="14">
        <v>0.61008625435859787</v>
      </c>
      <c r="C8" s="13" t="s">
        <v>57</v>
      </c>
      <c r="D8" s="13" t="s">
        <v>0</v>
      </c>
    </row>
    <row r="9" spans="1:4" x14ac:dyDescent="0.3">
      <c r="A9" s="13" t="s">
        <v>52</v>
      </c>
      <c r="B9" s="14">
        <v>0.67454514296226242</v>
      </c>
      <c r="C9" s="13" t="s">
        <v>57</v>
      </c>
      <c r="D9" s="13" t="s">
        <v>33</v>
      </c>
    </row>
    <row r="10" spans="1:4" x14ac:dyDescent="0.3">
      <c r="A10" s="13" t="s">
        <v>52</v>
      </c>
      <c r="B10" s="14">
        <v>0.63938220355498609</v>
      </c>
      <c r="C10" s="13" t="s">
        <v>57</v>
      </c>
      <c r="D10" s="13" t="s">
        <v>29</v>
      </c>
    </row>
    <row r="11" spans="1:4" x14ac:dyDescent="0.3">
      <c r="A11" s="13" t="s">
        <v>52</v>
      </c>
      <c r="B11" s="14">
        <v>0.6798954584011111</v>
      </c>
      <c r="C11" s="13" t="s">
        <v>57</v>
      </c>
      <c r="D11" s="13" t="s">
        <v>36</v>
      </c>
    </row>
    <row r="12" spans="1:4" x14ac:dyDescent="0.3">
      <c r="A12" s="13" t="s">
        <v>52</v>
      </c>
      <c r="B12" s="14">
        <v>0.52664892757495507</v>
      </c>
      <c r="C12" s="13" t="s">
        <v>57</v>
      </c>
      <c r="D12" s="13" t="s">
        <v>41</v>
      </c>
    </row>
    <row r="13" spans="1:4" x14ac:dyDescent="0.3">
      <c r="A13" s="13" t="s">
        <v>52</v>
      </c>
      <c r="B13" s="14">
        <v>0.91312994408703807</v>
      </c>
      <c r="C13" s="13" t="s">
        <v>37</v>
      </c>
      <c r="D13" s="13"/>
    </row>
    <row r="14" spans="1:4" x14ac:dyDescent="0.3">
      <c r="A14" s="13" t="s">
        <v>52</v>
      </c>
      <c r="B14" s="14">
        <v>0.93162803864688071</v>
      </c>
      <c r="C14" s="13" t="s">
        <v>37</v>
      </c>
      <c r="D14" s="13" t="s">
        <v>42</v>
      </c>
    </row>
    <row r="15" spans="1:4" x14ac:dyDescent="0.3">
      <c r="A15" s="13" t="s">
        <v>52</v>
      </c>
      <c r="B15" s="14">
        <v>0.69306711680056787</v>
      </c>
      <c r="C15" s="13" t="s">
        <v>37</v>
      </c>
      <c r="D15" s="13" t="s">
        <v>36</v>
      </c>
    </row>
    <row r="16" spans="1:4" x14ac:dyDescent="0.3">
      <c r="A16" s="13" t="s">
        <v>52</v>
      </c>
      <c r="B16" s="14">
        <v>0.93219383958366653</v>
      </c>
      <c r="C16" s="13" t="s">
        <v>30</v>
      </c>
      <c r="D16" s="13" t="s">
        <v>42</v>
      </c>
    </row>
    <row r="17" spans="1:4" x14ac:dyDescent="0.3">
      <c r="A17" s="13" t="s">
        <v>52</v>
      </c>
      <c r="B17" s="14">
        <v>0.95207377434217544</v>
      </c>
      <c r="C17" s="13" t="s">
        <v>30</v>
      </c>
      <c r="D17" s="13" t="s">
        <v>29</v>
      </c>
    </row>
    <row r="18" spans="1:4" x14ac:dyDescent="0.3">
      <c r="A18" s="13" t="s">
        <v>52</v>
      </c>
      <c r="B18" s="14">
        <v>0.84582201234555621</v>
      </c>
      <c r="C18" s="13" t="s">
        <v>30</v>
      </c>
      <c r="D18" s="13" t="s">
        <v>36</v>
      </c>
    </row>
    <row r="19" spans="1:4" x14ac:dyDescent="0.3">
      <c r="A19" s="13" t="s">
        <v>52</v>
      </c>
      <c r="B19" s="14">
        <v>0.93154630238472746</v>
      </c>
      <c r="C19" s="13" t="s">
        <v>28</v>
      </c>
      <c r="D19" s="13" t="s">
        <v>33</v>
      </c>
    </row>
    <row r="20" spans="1:4" x14ac:dyDescent="0.3">
      <c r="A20" s="13" t="s">
        <v>52</v>
      </c>
      <c r="B20" s="14">
        <v>0.87419048216343231</v>
      </c>
      <c r="C20" s="13" t="s">
        <v>34</v>
      </c>
      <c r="D20" s="13" t="s">
        <v>33</v>
      </c>
    </row>
    <row r="21" spans="1:4" x14ac:dyDescent="0.3">
      <c r="A21" s="13" t="s">
        <v>52</v>
      </c>
      <c r="B21" s="14">
        <v>0.87695301956942984</v>
      </c>
      <c r="C21" s="13" t="s">
        <v>58</v>
      </c>
      <c r="D21" s="13" t="s">
        <v>29</v>
      </c>
    </row>
    <row r="22" spans="1:4" x14ac:dyDescent="0.3">
      <c r="A22" s="13" t="s">
        <v>52</v>
      </c>
      <c r="B22" s="14">
        <v>0.50356977194584851</v>
      </c>
      <c r="C22" s="13" t="s">
        <v>59</v>
      </c>
      <c r="D22" s="13" t="s">
        <v>0</v>
      </c>
    </row>
    <row r="23" spans="1:4" x14ac:dyDescent="0.3">
      <c r="A23" s="13" t="s">
        <v>52</v>
      </c>
      <c r="B23" s="14">
        <v>0.54336364888670896</v>
      </c>
      <c r="C23" s="13" t="s">
        <v>59</v>
      </c>
      <c r="D23" s="13" t="s">
        <v>33</v>
      </c>
    </row>
    <row r="24" spans="1:4" x14ac:dyDescent="0.3">
      <c r="A24" s="13" t="s">
        <v>52</v>
      </c>
      <c r="B24" s="14">
        <v>0.89591175385456656</v>
      </c>
      <c r="C24" s="13" t="s">
        <v>60</v>
      </c>
      <c r="D24" s="13" t="s">
        <v>33</v>
      </c>
    </row>
    <row r="25" spans="1:4" x14ac:dyDescent="0.3">
      <c r="A25" s="13" t="s">
        <v>52</v>
      </c>
      <c r="B25" s="14">
        <v>0.4588755690920821</v>
      </c>
      <c r="C25" s="13" t="s">
        <v>61</v>
      </c>
      <c r="D25" s="13" t="s">
        <v>36</v>
      </c>
    </row>
    <row r="26" spans="1:4" x14ac:dyDescent="0.3">
      <c r="A26" s="13" t="s">
        <v>52</v>
      </c>
      <c r="B26" s="14">
        <v>0.56606081385724394</v>
      </c>
      <c r="C26" s="13" t="s">
        <v>62</v>
      </c>
      <c r="D26" s="13" t="s">
        <v>0</v>
      </c>
    </row>
    <row r="27" spans="1:4" x14ac:dyDescent="0.3">
      <c r="A27" s="13" t="s">
        <v>52</v>
      </c>
      <c r="B27" s="14">
        <v>0.61997129297509979</v>
      </c>
      <c r="C27" s="13" t="s">
        <v>63</v>
      </c>
      <c r="D27" s="13"/>
    </row>
    <row r="28" spans="1:4" x14ac:dyDescent="0.3">
      <c r="A28" s="13" t="s">
        <v>52</v>
      </c>
      <c r="B28" s="14">
        <v>0.72128718196764585</v>
      </c>
      <c r="C28" s="13" t="s">
        <v>63</v>
      </c>
      <c r="D28" s="13" t="s">
        <v>42</v>
      </c>
    </row>
    <row r="29" spans="1:4" x14ac:dyDescent="0.3">
      <c r="A29" s="13" t="s">
        <v>52</v>
      </c>
      <c r="B29" s="14">
        <v>0.43670105493538541</v>
      </c>
      <c r="C29" s="13" t="s">
        <v>64</v>
      </c>
      <c r="D29" s="13" t="s">
        <v>0</v>
      </c>
    </row>
    <row r="30" spans="1:4" x14ac:dyDescent="0.3">
      <c r="A30" s="13" t="s">
        <v>52</v>
      </c>
      <c r="B30" s="14">
        <v>0.83571055205099887</v>
      </c>
      <c r="C30" s="13" t="s">
        <v>65</v>
      </c>
      <c r="D30" s="13" t="s">
        <v>41</v>
      </c>
    </row>
    <row r="31" spans="1:4" x14ac:dyDescent="0.3">
      <c r="A31" s="13" t="s">
        <v>52</v>
      </c>
      <c r="B31" s="14">
        <v>0.74429224699579766</v>
      </c>
      <c r="C31" s="13" t="s">
        <v>66</v>
      </c>
      <c r="D31" s="13" t="s">
        <v>29</v>
      </c>
    </row>
    <row r="32" spans="1:4" x14ac:dyDescent="0.3">
      <c r="A32" s="13" t="s">
        <v>52</v>
      </c>
      <c r="B32" s="14">
        <v>0.74512972738389094</v>
      </c>
      <c r="C32" s="13" t="s">
        <v>66</v>
      </c>
      <c r="D32" s="13" t="s">
        <v>41</v>
      </c>
    </row>
    <row r="33" spans="1:4" x14ac:dyDescent="0.3">
      <c r="A33" s="13" t="s">
        <v>52</v>
      </c>
      <c r="B33" s="14">
        <v>0.81330902570931263</v>
      </c>
      <c r="C33" s="13" t="s">
        <v>67</v>
      </c>
      <c r="D33" s="13" t="s">
        <v>0</v>
      </c>
    </row>
    <row r="34" spans="1:4" x14ac:dyDescent="0.3">
      <c r="A34" s="13" t="s">
        <v>52</v>
      </c>
      <c r="B34" s="14">
        <v>0.81782425595015451</v>
      </c>
      <c r="C34" s="13" t="s">
        <v>67</v>
      </c>
      <c r="D34" s="13" t="s">
        <v>33</v>
      </c>
    </row>
    <row r="35" spans="1:4" x14ac:dyDescent="0.3">
      <c r="A35" s="13" t="s">
        <v>52</v>
      </c>
      <c r="B35" s="14">
        <v>0.78624018146879693</v>
      </c>
      <c r="C35" s="13" t="s">
        <v>67</v>
      </c>
      <c r="D35" s="13" t="s">
        <v>29</v>
      </c>
    </row>
    <row r="36" spans="1:4" x14ac:dyDescent="0.3">
      <c r="A36" s="13" t="s">
        <v>52</v>
      </c>
      <c r="B36" s="14">
        <v>0.88634887578085653</v>
      </c>
      <c r="C36" s="13" t="s">
        <v>67</v>
      </c>
      <c r="D36" s="13" t="s">
        <v>36</v>
      </c>
    </row>
    <row r="37" spans="1:4" x14ac:dyDescent="0.3">
      <c r="A37" s="13" t="s">
        <v>52</v>
      </c>
      <c r="B37" s="14">
        <v>0.84316982343413815</v>
      </c>
      <c r="C37" s="13" t="s">
        <v>67</v>
      </c>
      <c r="D37" s="13" t="s">
        <v>41</v>
      </c>
    </row>
    <row r="38" spans="1:4" x14ac:dyDescent="0.3">
      <c r="A38" s="13" t="s">
        <v>52</v>
      </c>
      <c r="B38" s="14">
        <v>0.72956116429429685</v>
      </c>
      <c r="C38" s="13" t="s">
        <v>68</v>
      </c>
      <c r="D38" s="13" t="s">
        <v>0</v>
      </c>
    </row>
    <row r="39" spans="1:4" x14ac:dyDescent="0.3">
      <c r="A39" s="13" t="s">
        <v>52</v>
      </c>
      <c r="B39" s="14">
        <v>0.42635103036601529</v>
      </c>
      <c r="C39" s="13" t="s">
        <v>69</v>
      </c>
      <c r="D39" s="13" t="s">
        <v>36</v>
      </c>
    </row>
    <row r="40" spans="1:4" x14ac:dyDescent="0.3">
      <c r="A40" s="13" t="s">
        <v>52</v>
      </c>
      <c r="B40" s="14">
        <v>0.90752901536844488</v>
      </c>
      <c r="C40" s="13" t="s">
        <v>15</v>
      </c>
      <c r="D40" s="13"/>
    </row>
    <row r="41" spans="1:4" x14ac:dyDescent="0.3">
      <c r="A41" s="13" t="s">
        <v>52</v>
      </c>
      <c r="B41" s="14">
        <v>0.4035481510223527</v>
      </c>
      <c r="C41" s="13" t="s">
        <v>15</v>
      </c>
      <c r="D41" s="13" t="s">
        <v>0</v>
      </c>
    </row>
    <row r="42" spans="1:4" x14ac:dyDescent="0.3">
      <c r="A42" s="13" t="s">
        <v>52</v>
      </c>
      <c r="B42" s="14">
        <v>0.87148998844380676</v>
      </c>
      <c r="C42" s="13" t="s">
        <v>15</v>
      </c>
      <c r="D42" s="13" t="s">
        <v>42</v>
      </c>
    </row>
    <row r="43" spans="1:4" x14ac:dyDescent="0.3">
      <c r="A43" s="13" t="s">
        <v>52</v>
      </c>
      <c r="B43" s="14">
        <v>0.91341372798952014</v>
      </c>
      <c r="C43" s="13" t="s">
        <v>15</v>
      </c>
      <c r="D43" s="13" t="s">
        <v>36</v>
      </c>
    </row>
    <row r="44" spans="1:4" x14ac:dyDescent="0.3">
      <c r="A44" s="13" t="s">
        <v>52</v>
      </c>
      <c r="B44" s="14">
        <v>0.63300337595914036</v>
      </c>
      <c r="C44" s="13" t="s">
        <v>70</v>
      </c>
      <c r="D44" s="13" t="s">
        <v>33</v>
      </c>
    </row>
    <row r="45" spans="1:4" x14ac:dyDescent="0.3">
      <c r="A45" s="13" t="s">
        <v>52</v>
      </c>
      <c r="B45" s="14">
        <v>0.94962563286957069</v>
      </c>
      <c r="C45" s="13" t="s">
        <v>43</v>
      </c>
      <c r="D45" s="13"/>
    </row>
    <row r="46" spans="1:4" x14ac:dyDescent="0.3">
      <c r="A46" s="13" t="s">
        <v>52</v>
      </c>
      <c r="B46" s="14">
        <v>0.90505987443536984</v>
      </c>
      <c r="C46" s="13" t="s">
        <v>43</v>
      </c>
      <c r="D46" s="13" t="s">
        <v>42</v>
      </c>
    </row>
    <row r="47" spans="1:4" x14ac:dyDescent="0.3">
      <c r="A47" s="13" t="s">
        <v>52</v>
      </c>
      <c r="B47" s="14">
        <v>0.83360215329501275</v>
      </c>
      <c r="C47" s="13" t="s">
        <v>71</v>
      </c>
      <c r="D47" s="13" t="s">
        <v>42</v>
      </c>
    </row>
    <row r="48" spans="1:4" x14ac:dyDescent="0.3">
      <c r="A48" s="13" t="s">
        <v>52</v>
      </c>
      <c r="B48" s="14">
        <v>0.77632255704669306</v>
      </c>
      <c r="C48" s="13" t="s">
        <v>72</v>
      </c>
      <c r="D48" s="13" t="s">
        <v>36</v>
      </c>
    </row>
    <row r="49" spans="1:4" x14ac:dyDescent="0.3">
      <c r="A49" s="13" t="s">
        <v>52</v>
      </c>
      <c r="B49" s="14">
        <v>0.8216237069886293</v>
      </c>
      <c r="C49" s="13" t="s">
        <v>73</v>
      </c>
      <c r="D49" s="13" t="s">
        <v>33</v>
      </c>
    </row>
    <row r="50" spans="1:4" x14ac:dyDescent="0.3">
      <c r="A50" s="13" t="s">
        <v>52</v>
      </c>
      <c r="B50" s="14">
        <v>0.57878613802563428</v>
      </c>
      <c r="C50" s="13" t="s">
        <v>74</v>
      </c>
      <c r="D50" s="13"/>
    </row>
    <row r="51" spans="1:4" x14ac:dyDescent="0.3">
      <c r="A51" s="13" t="s">
        <v>52</v>
      </c>
      <c r="B51" s="14">
        <v>0.74459995628109643</v>
      </c>
      <c r="C51" s="13" t="s">
        <v>74</v>
      </c>
      <c r="D51" s="13" t="s">
        <v>41</v>
      </c>
    </row>
    <row r="52" spans="1:4" x14ac:dyDescent="0.3">
      <c r="A52" s="13" t="s">
        <v>52</v>
      </c>
      <c r="B52" s="14">
        <v>0.92925140900577818</v>
      </c>
      <c r="C52" s="13" t="s">
        <v>75</v>
      </c>
      <c r="D52" s="13" t="s">
        <v>0</v>
      </c>
    </row>
    <row r="53" spans="1:4" x14ac:dyDescent="0.3">
      <c r="A53" s="13" t="s">
        <v>52</v>
      </c>
      <c r="B53" s="14">
        <v>0.93274585012133793</v>
      </c>
      <c r="C53" s="13" t="s">
        <v>75</v>
      </c>
      <c r="D53" s="13" t="s">
        <v>33</v>
      </c>
    </row>
    <row r="54" spans="1:4" x14ac:dyDescent="0.3">
      <c r="A54" s="13" t="s">
        <v>52</v>
      </c>
      <c r="B54" s="14">
        <v>0.93235715029606403</v>
      </c>
      <c r="C54" s="13" t="s">
        <v>75</v>
      </c>
      <c r="D54" s="13" t="s">
        <v>29</v>
      </c>
    </row>
    <row r="55" spans="1:4" x14ac:dyDescent="0.3">
      <c r="A55" s="13" t="s">
        <v>52</v>
      </c>
      <c r="B55" s="14">
        <v>0.67570732140278034</v>
      </c>
      <c r="C55" s="13" t="s">
        <v>76</v>
      </c>
      <c r="D55" s="13" t="s">
        <v>0</v>
      </c>
    </row>
    <row r="56" spans="1:4" x14ac:dyDescent="0.3">
      <c r="A56" s="13" t="s">
        <v>52</v>
      </c>
      <c r="B56" s="14">
        <v>0.56391828535855415</v>
      </c>
      <c r="C56" s="13" t="s">
        <v>77</v>
      </c>
      <c r="D56" s="13"/>
    </row>
    <row r="57" spans="1:4" x14ac:dyDescent="0.3">
      <c r="A57" s="13" t="s">
        <v>52</v>
      </c>
      <c r="B57" s="14">
        <v>0.43665293769251101</v>
      </c>
      <c r="C57" s="13" t="s">
        <v>77</v>
      </c>
      <c r="D57" s="13" t="s">
        <v>29</v>
      </c>
    </row>
    <row r="58" spans="1:4" x14ac:dyDescent="0.3">
      <c r="A58" s="13" t="s">
        <v>52</v>
      </c>
      <c r="B58" s="14">
        <v>0.90012876336458636</v>
      </c>
      <c r="C58" s="13" t="s">
        <v>78</v>
      </c>
      <c r="D58" s="13" t="s">
        <v>33</v>
      </c>
    </row>
    <row r="59" spans="1:4" x14ac:dyDescent="0.3">
      <c r="A59" s="13" t="s">
        <v>52</v>
      </c>
      <c r="B59" s="14">
        <v>0.90101331317349387</v>
      </c>
      <c r="C59" s="13" t="s">
        <v>78</v>
      </c>
      <c r="D59" s="13" t="s">
        <v>29</v>
      </c>
    </row>
    <row r="60" spans="1:4" x14ac:dyDescent="0.3">
      <c r="A60" s="13" t="s">
        <v>52</v>
      </c>
      <c r="B60" s="14">
        <v>0.76285874207104254</v>
      </c>
      <c r="C60" s="13" t="s">
        <v>79</v>
      </c>
      <c r="D60" s="13" t="s">
        <v>33</v>
      </c>
    </row>
    <row r="61" spans="1:4" x14ac:dyDescent="0.3">
      <c r="A61" s="13" t="s">
        <v>52</v>
      </c>
      <c r="B61" s="14">
        <v>0.95990285705881595</v>
      </c>
      <c r="C61" s="13" t="s">
        <v>22</v>
      </c>
      <c r="D61" s="13" t="s">
        <v>0</v>
      </c>
    </row>
    <row r="62" spans="1:4" x14ac:dyDescent="0.3">
      <c r="A62" s="13" t="s">
        <v>52</v>
      </c>
      <c r="B62" s="14">
        <v>0.97384890177555528</v>
      </c>
      <c r="C62" s="13" t="s">
        <v>22</v>
      </c>
      <c r="D62" s="13" t="s">
        <v>41</v>
      </c>
    </row>
    <row r="63" spans="1:4" x14ac:dyDescent="0.3">
      <c r="A63" s="13" t="s">
        <v>52</v>
      </c>
      <c r="B63" s="14">
        <v>0.38959853210756368</v>
      </c>
      <c r="C63" s="13" t="s">
        <v>80</v>
      </c>
      <c r="D63" s="13" t="s">
        <v>29</v>
      </c>
    </row>
    <row r="64" spans="1:4" x14ac:dyDescent="0.3">
      <c r="A64" s="13" t="s">
        <v>52</v>
      </c>
      <c r="B64" s="14">
        <v>0.33893048413014037</v>
      </c>
      <c r="C64" s="13" t="s">
        <v>81</v>
      </c>
      <c r="D64" s="13" t="s">
        <v>33</v>
      </c>
    </row>
    <row r="65" spans="1:4" x14ac:dyDescent="0.3">
      <c r="A65" s="13" t="s">
        <v>52</v>
      </c>
      <c r="B65" s="14">
        <v>0.87511088276059579</v>
      </c>
      <c r="C65" s="13" t="s">
        <v>82</v>
      </c>
      <c r="D65" s="13" t="s">
        <v>33</v>
      </c>
    </row>
    <row r="66" spans="1:4" x14ac:dyDescent="0.3">
      <c r="A66" s="13" t="s">
        <v>52</v>
      </c>
      <c r="B66" s="14">
        <v>0.8920682589130382</v>
      </c>
      <c r="C66" s="13" t="s">
        <v>82</v>
      </c>
      <c r="D66" s="13" t="s">
        <v>29</v>
      </c>
    </row>
    <row r="67" spans="1:4" x14ac:dyDescent="0.3">
      <c r="A67" s="13" t="s">
        <v>52</v>
      </c>
      <c r="B67" s="14">
        <v>0.90625344597357915</v>
      </c>
      <c r="C67" s="13" t="s">
        <v>82</v>
      </c>
      <c r="D67" s="13" t="s">
        <v>41</v>
      </c>
    </row>
    <row r="68" spans="1:4" x14ac:dyDescent="0.3">
      <c r="A68" s="13" t="s">
        <v>52</v>
      </c>
      <c r="B68" s="14">
        <v>0.71424805556122228</v>
      </c>
      <c r="C68" s="13" t="s">
        <v>83</v>
      </c>
      <c r="D68" s="13" t="s">
        <v>0</v>
      </c>
    </row>
    <row r="69" spans="1:4" x14ac:dyDescent="0.3">
      <c r="A69" s="13" t="s">
        <v>52</v>
      </c>
      <c r="B69" s="14">
        <v>0.85560049395062487</v>
      </c>
      <c r="C69" s="13" t="s">
        <v>83</v>
      </c>
      <c r="D69" s="13" t="s">
        <v>33</v>
      </c>
    </row>
    <row r="70" spans="1:4" x14ac:dyDescent="0.3">
      <c r="A70" s="13" t="s">
        <v>52</v>
      </c>
      <c r="B70" s="14">
        <v>0.72565081520583108</v>
      </c>
      <c r="C70" s="13" t="s">
        <v>83</v>
      </c>
      <c r="D70" s="13" t="s">
        <v>41</v>
      </c>
    </row>
    <row r="71" spans="1:4" x14ac:dyDescent="0.3">
      <c r="A71" s="13" t="s">
        <v>52</v>
      </c>
      <c r="B71" s="14">
        <v>0.69485732365555719</v>
      </c>
      <c r="C71" s="13" t="s">
        <v>84</v>
      </c>
      <c r="D71" s="13"/>
    </row>
    <row r="72" spans="1:4" x14ac:dyDescent="0.3">
      <c r="A72" s="13" t="s">
        <v>52</v>
      </c>
      <c r="B72" s="14">
        <v>0.82900306211841579</v>
      </c>
      <c r="C72" s="13" t="s">
        <v>84</v>
      </c>
      <c r="D72" s="13" t="s">
        <v>42</v>
      </c>
    </row>
    <row r="73" spans="1:4" x14ac:dyDescent="0.3">
      <c r="A73" s="13" t="s">
        <v>52</v>
      </c>
      <c r="B73" s="14">
        <v>0.90829456729199964</v>
      </c>
      <c r="C73" s="13" t="s">
        <v>85</v>
      </c>
      <c r="D73" s="13" t="s">
        <v>33</v>
      </c>
    </row>
    <row r="74" spans="1:4" x14ac:dyDescent="0.3">
      <c r="A74" s="13" t="s">
        <v>52</v>
      </c>
      <c r="B74" s="14">
        <v>0.83630323329798317</v>
      </c>
      <c r="C74" s="13" t="s">
        <v>85</v>
      </c>
      <c r="D74" s="13" t="s">
        <v>41</v>
      </c>
    </row>
    <row r="75" spans="1:4" x14ac:dyDescent="0.3">
      <c r="A75" s="13" t="s">
        <v>52</v>
      </c>
      <c r="B75" s="14">
        <v>0.90269750377663116</v>
      </c>
      <c r="C75" s="13" t="s">
        <v>86</v>
      </c>
      <c r="D75" s="13" t="s">
        <v>29</v>
      </c>
    </row>
    <row r="76" spans="1:4" x14ac:dyDescent="0.3">
      <c r="A76" s="13" t="s">
        <v>52</v>
      </c>
      <c r="B76" s="14">
        <v>0.58254411351411639</v>
      </c>
      <c r="C76" s="13" t="s">
        <v>87</v>
      </c>
      <c r="D76" s="13" t="s">
        <v>0</v>
      </c>
    </row>
    <row r="77" spans="1:4" x14ac:dyDescent="0.3">
      <c r="A77" s="13" t="s">
        <v>52</v>
      </c>
      <c r="B77" s="14">
        <v>0.75469639694197543</v>
      </c>
      <c r="C77" s="13" t="s">
        <v>87</v>
      </c>
      <c r="D77" s="13" t="s">
        <v>36</v>
      </c>
    </row>
    <row r="78" spans="1:4" x14ac:dyDescent="0.3">
      <c r="A78" s="13" t="s">
        <v>52</v>
      </c>
      <c r="B78" s="14">
        <v>0.92082763811053414</v>
      </c>
      <c r="C78" s="13" t="s">
        <v>88</v>
      </c>
      <c r="D78" s="13" t="s">
        <v>29</v>
      </c>
    </row>
    <row r="79" spans="1:4" x14ac:dyDescent="0.3">
      <c r="A79" s="13" t="s">
        <v>52</v>
      </c>
      <c r="B79" s="14">
        <v>0.77393456323316812</v>
      </c>
      <c r="C79" s="13" t="s">
        <v>89</v>
      </c>
      <c r="D79" s="13"/>
    </row>
    <row r="80" spans="1:4" x14ac:dyDescent="0.3">
      <c r="A80" s="13" t="s">
        <v>52</v>
      </c>
      <c r="B80" s="14">
        <v>0.75366844440699121</v>
      </c>
      <c r="C80" s="13" t="s">
        <v>89</v>
      </c>
      <c r="D80" s="13" t="s">
        <v>42</v>
      </c>
    </row>
    <row r="81" spans="1:4" x14ac:dyDescent="0.3">
      <c r="A81" s="13" t="s">
        <v>52</v>
      </c>
      <c r="B81" s="14">
        <v>0.75116191518858044</v>
      </c>
      <c r="C81" s="13" t="s">
        <v>89</v>
      </c>
      <c r="D81" s="13" t="s">
        <v>33</v>
      </c>
    </row>
    <row r="82" spans="1:4" x14ac:dyDescent="0.3">
      <c r="A82" s="13" t="s">
        <v>52</v>
      </c>
      <c r="B82" s="14">
        <v>0.79672275799665182</v>
      </c>
      <c r="C82" s="13" t="s">
        <v>89</v>
      </c>
      <c r="D82" s="13" t="s">
        <v>36</v>
      </c>
    </row>
    <row r="83" spans="1:4" x14ac:dyDescent="0.3">
      <c r="A83" s="13" t="s">
        <v>52</v>
      </c>
      <c r="B83" s="14">
        <v>0.3943596547613159</v>
      </c>
      <c r="C83" s="13" t="s">
        <v>89</v>
      </c>
      <c r="D83" s="13" t="s">
        <v>41</v>
      </c>
    </row>
    <row r="84" spans="1:4" x14ac:dyDescent="0.3">
      <c r="A84" s="13" t="s">
        <v>52</v>
      </c>
      <c r="B84" s="14">
        <v>0.64216098572365066</v>
      </c>
      <c r="C84" s="13" t="s">
        <v>90</v>
      </c>
      <c r="D84" s="13" t="s">
        <v>0</v>
      </c>
    </row>
    <row r="85" spans="1:4" x14ac:dyDescent="0.3">
      <c r="A85" s="13" t="s">
        <v>52</v>
      </c>
      <c r="B85" s="14">
        <v>0.84725455558176743</v>
      </c>
      <c r="C85" s="13" t="s">
        <v>90</v>
      </c>
      <c r="D85" s="13" t="s">
        <v>33</v>
      </c>
    </row>
    <row r="86" spans="1:4" x14ac:dyDescent="0.3">
      <c r="A86" s="13" t="s">
        <v>52</v>
      </c>
      <c r="B86" s="14">
        <v>0.79969226378567193</v>
      </c>
      <c r="C86" s="13" t="s">
        <v>90</v>
      </c>
      <c r="D86" s="13" t="s">
        <v>29</v>
      </c>
    </row>
    <row r="87" spans="1:4" x14ac:dyDescent="0.3">
      <c r="A87" s="13" t="s">
        <v>52</v>
      </c>
      <c r="B87" s="14">
        <v>0.69154842055138577</v>
      </c>
      <c r="C87" s="13" t="s">
        <v>90</v>
      </c>
      <c r="D87" s="13" t="s">
        <v>36</v>
      </c>
    </row>
    <row r="88" spans="1:4" x14ac:dyDescent="0.3">
      <c r="A88" s="13" t="s">
        <v>52</v>
      </c>
      <c r="B88" s="14">
        <v>0.77152785556205106</v>
      </c>
      <c r="C88" s="13" t="s">
        <v>90</v>
      </c>
      <c r="D88" s="13" t="s">
        <v>41</v>
      </c>
    </row>
    <row r="89" spans="1:4" x14ac:dyDescent="0.3">
      <c r="A89" s="13" t="s">
        <v>52</v>
      </c>
      <c r="B89" s="14">
        <v>0.95741172046811784</v>
      </c>
      <c r="C89" s="13" t="s">
        <v>91</v>
      </c>
      <c r="D89" s="13" t="s">
        <v>29</v>
      </c>
    </row>
    <row r="90" spans="1:4" x14ac:dyDescent="0.3">
      <c r="A90" s="13" t="s">
        <v>52</v>
      </c>
      <c r="B90" s="14">
        <v>0.79773326926425259</v>
      </c>
      <c r="C90" s="13" t="s">
        <v>92</v>
      </c>
      <c r="D90" s="13" t="s">
        <v>42</v>
      </c>
    </row>
    <row r="91" spans="1:4" x14ac:dyDescent="0.3">
      <c r="A91" s="13" t="s">
        <v>52</v>
      </c>
      <c r="B91" s="14">
        <v>0.6058996848028384</v>
      </c>
      <c r="C91" s="13" t="s">
        <v>93</v>
      </c>
      <c r="D91" s="13" t="s">
        <v>33</v>
      </c>
    </row>
    <row r="92" spans="1:4" x14ac:dyDescent="0.3">
      <c r="A92" s="13" t="s">
        <v>52</v>
      </c>
      <c r="B92" s="14">
        <v>0.79149989204421611</v>
      </c>
      <c r="C92" s="13" t="s">
        <v>94</v>
      </c>
      <c r="D92" s="13" t="s">
        <v>42</v>
      </c>
    </row>
    <row r="93" spans="1:4" x14ac:dyDescent="0.3">
      <c r="A93" s="13" t="s">
        <v>52</v>
      </c>
      <c r="B93" s="14">
        <v>1</v>
      </c>
      <c r="C93" s="13" t="s">
        <v>95</v>
      </c>
      <c r="D93" s="13" t="s">
        <v>41</v>
      </c>
    </row>
    <row r="94" spans="1:4" x14ac:dyDescent="0.3">
      <c r="A94" s="13" t="s">
        <v>52</v>
      </c>
      <c r="B94" s="14">
        <v>0.7775492148109493</v>
      </c>
      <c r="C94" s="13" t="s">
        <v>96</v>
      </c>
      <c r="D94" s="13" t="s">
        <v>33</v>
      </c>
    </row>
    <row r="95" spans="1:4" x14ac:dyDescent="0.3">
      <c r="A95" s="13" t="s">
        <v>52</v>
      </c>
      <c r="B95" s="14">
        <v>0.63641245765331511</v>
      </c>
      <c r="C95" s="13" t="s">
        <v>97</v>
      </c>
      <c r="D95" s="13" t="s">
        <v>41</v>
      </c>
    </row>
    <row r="96" spans="1:4" x14ac:dyDescent="0.3">
      <c r="A96" s="13" t="s">
        <v>52</v>
      </c>
      <c r="B96" s="14">
        <v>0.94943175699316551</v>
      </c>
      <c r="C96" s="13" t="s">
        <v>23</v>
      </c>
      <c r="D96" s="13" t="s">
        <v>0</v>
      </c>
    </row>
    <row r="97" spans="1:4" x14ac:dyDescent="0.3">
      <c r="A97" s="13" t="s">
        <v>52</v>
      </c>
      <c r="B97" s="14">
        <v>0.95473683044486601</v>
      </c>
      <c r="C97" s="13" t="s">
        <v>38</v>
      </c>
      <c r="D97" s="13" t="s">
        <v>42</v>
      </c>
    </row>
    <row r="98" spans="1:4" x14ac:dyDescent="0.3">
      <c r="A98" s="13" t="s">
        <v>52</v>
      </c>
      <c r="B98" s="14">
        <v>0.86125356722076207</v>
      </c>
      <c r="C98" s="13" t="s">
        <v>38</v>
      </c>
      <c r="D98" s="13" t="s">
        <v>36</v>
      </c>
    </row>
    <row r="99" spans="1:4" x14ac:dyDescent="0.3">
      <c r="A99" s="13" t="s">
        <v>52</v>
      </c>
      <c r="B99" s="14">
        <v>0.68922923545557968</v>
      </c>
      <c r="C99" s="13" t="s">
        <v>98</v>
      </c>
      <c r="D99" s="13" t="s">
        <v>29</v>
      </c>
    </row>
    <row r="100" spans="1:4" x14ac:dyDescent="0.3">
      <c r="A100" s="13" t="s">
        <v>52</v>
      </c>
      <c r="B100" s="14">
        <v>0.91747779411463981</v>
      </c>
      <c r="C100" s="13" t="s">
        <v>99</v>
      </c>
      <c r="D100" s="13" t="s">
        <v>42</v>
      </c>
    </row>
    <row r="101" spans="1:4" x14ac:dyDescent="0.3">
      <c r="A101" s="13" t="s">
        <v>52</v>
      </c>
      <c r="B101" s="14">
        <v>0.6604697532719277</v>
      </c>
      <c r="C101" s="13" t="s">
        <v>100</v>
      </c>
      <c r="D101" s="13" t="s">
        <v>42</v>
      </c>
    </row>
    <row r="102" spans="1:4" x14ac:dyDescent="0.3">
      <c r="A102" s="13" t="s">
        <v>52</v>
      </c>
      <c r="B102" s="14">
        <v>0.41779131977698042</v>
      </c>
      <c r="C102" s="13" t="s">
        <v>101</v>
      </c>
      <c r="D102" s="13" t="s">
        <v>36</v>
      </c>
    </row>
    <row r="103" spans="1:4" x14ac:dyDescent="0.3">
      <c r="A103" s="13" t="s">
        <v>52</v>
      </c>
      <c r="B103" s="14">
        <v>0.70414588862133431</v>
      </c>
      <c r="C103" s="13" t="s">
        <v>102</v>
      </c>
      <c r="D103" s="13" t="s">
        <v>0</v>
      </c>
    </row>
    <row r="104" spans="1:4" x14ac:dyDescent="0.3">
      <c r="A104" s="13" t="s">
        <v>52</v>
      </c>
      <c r="B104" s="14">
        <v>0.73707425890067613</v>
      </c>
      <c r="C104" s="13" t="s">
        <v>102</v>
      </c>
      <c r="D104" s="13" t="s">
        <v>42</v>
      </c>
    </row>
    <row r="105" spans="1:4" x14ac:dyDescent="0.3">
      <c r="A105" s="13" t="s">
        <v>52</v>
      </c>
      <c r="B105" s="14">
        <v>0.84889119734991736</v>
      </c>
      <c r="C105" s="13" t="s">
        <v>102</v>
      </c>
      <c r="D105" s="13" t="s">
        <v>33</v>
      </c>
    </row>
    <row r="106" spans="1:4" x14ac:dyDescent="0.3">
      <c r="A106" s="13" t="s">
        <v>52</v>
      </c>
      <c r="B106" s="14">
        <v>0.73341903058911562</v>
      </c>
      <c r="C106" s="13" t="s">
        <v>102</v>
      </c>
      <c r="D106" s="13" t="s">
        <v>29</v>
      </c>
    </row>
    <row r="107" spans="1:4" x14ac:dyDescent="0.3">
      <c r="A107" s="13" t="s">
        <v>52</v>
      </c>
      <c r="B107" s="14">
        <v>0.75647414685946079</v>
      </c>
      <c r="C107" s="13" t="s">
        <v>102</v>
      </c>
      <c r="D107" s="13" t="s">
        <v>36</v>
      </c>
    </row>
    <row r="108" spans="1:4" x14ac:dyDescent="0.3">
      <c r="A108" s="13" t="s">
        <v>52</v>
      </c>
      <c r="B108" s="14">
        <v>0.80227885039408031</v>
      </c>
      <c r="C108" s="13" t="s">
        <v>102</v>
      </c>
      <c r="D108" s="13" t="s">
        <v>41</v>
      </c>
    </row>
    <row r="109" spans="1:4" x14ac:dyDescent="0.3">
      <c r="A109" s="13" t="s">
        <v>52</v>
      </c>
      <c r="B109" s="14">
        <v>0.72046258080806957</v>
      </c>
      <c r="C109" s="13" t="s">
        <v>103</v>
      </c>
      <c r="D109" s="13" t="s">
        <v>0</v>
      </c>
    </row>
    <row r="110" spans="1:4" x14ac:dyDescent="0.3">
      <c r="A110" s="13" t="s">
        <v>52</v>
      </c>
      <c r="B110" s="14">
        <v>0.86070638027709578</v>
      </c>
      <c r="C110" s="13" t="s">
        <v>103</v>
      </c>
      <c r="D110" s="13" t="s">
        <v>33</v>
      </c>
    </row>
    <row r="111" spans="1:4" x14ac:dyDescent="0.3">
      <c r="A111" s="13" t="s">
        <v>52</v>
      </c>
      <c r="B111" s="14">
        <v>0.78157049562815128</v>
      </c>
      <c r="C111" s="13" t="s">
        <v>103</v>
      </c>
      <c r="D111" s="13" t="s">
        <v>29</v>
      </c>
    </row>
    <row r="112" spans="1:4" x14ac:dyDescent="0.3">
      <c r="A112" s="13" t="s">
        <v>52</v>
      </c>
      <c r="B112" s="14">
        <v>0.78058486728487764</v>
      </c>
      <c r="C112" s="13" t="s">
        <v>103</v>
      </c>
      <c r="D112" s="13" t="s">
        <v>36</v>
      </c>
    </row>
    <row r="113" spans="1:4" x14ac:dyDescent="0.3">
      <c r="A113" s="13" t="s">
        <v>52</v>
      </c>
      <c r="B113" s="14">
        <v>0.92509424394199569</v>
      </c>
      <c r="C113" s="13" t="s">
        <v>103</v>
      </c>
      <c r="D113" s="13" t="s">
        <v>41</v>
      </c>
    </row>
    <row r="114" spans="1:4" x14ac:dyDescent="0.3">
      <c r="A114" s="13" t="s">
        <v>52</v>
      </c>
      <c r="B114" s="14">
        <v>0.59106282022719514</v>
      </c>
      <c r="C114" s="13" t="s">
        <v>104</v>
      </c>
      <c r="D114" s="13" t="s">
        <v>41</v>
      </c>
    </row>
    <row r="115" spans="1:4" x14ac:dyDescent="0.3">
      <c r="A115" s="13" t="s">
        <v>52</v>
      </c>
      <c r="B115" s="14">
        <v>0.70421797203857228</v>
      </c>
      <c r="C115" s="13" t="s">
        <v>105</v>
      </c>
      <c r="D115" s="13" t="s">
        <v>33</v>
      </c>
    </row>
    <row r="116" spans="1:4" x14ac:dyDescent="0.3">
      <c r="A116" s="13" t="s">
        <v>52</v>
      </c>
      <c r="B116" s="14">
        <v>0.79750339287744432</v>
      </c>
      <c r="C116" s="13" t="s">
        <v>105</v>
      </c>
      <c r="D116" s="13" t="s">
        <v>29</v>
      </c>
    </row>
    <row r="117" spans="1:4" x14ac:dyDescent="0.3">
      <c r="A117" s="13" t="s">
        <v>52</v>
      </c>
      <c r="B117" s="14">
        <v>0.78312257900679472</v>
      </c>
      <c r="C117" s="13" t="s">
        <v>105</v>
      </c>
      <c r="D117" s="13" t="s">
        <v>41</v>
      </c>
    </row>
    <row r="118" spans="1:4" x14ac:dyDescent="0.3">
      <c r="A118" s="13" t="s">
        <v>52</v>
      </c>
      <c r="B118" s="14">
        <v>0.23530884424167131</v>
      </c>
      <c r="C118" s="13" t="s">
        <v>106</v>
      </c>
      <c r="D118" s="13" t="s">
        <v>0</v>
      </c>
    </row>
    <row r="119" spans="1:4" x14ac:dyDescent="0.3">
      <c r="A119" s="13" t="s">
        <v>52</v>
      </c>
      <c r="B119" s="14">
        <v>0.84921546890857291</v>
      </c>
      <c r="C119" s="13" t="s">
        <v>107</v>
      </c>
      <c r="D119" s="13" t="s">
        <v>41</v>
      </c>
    </row>
    <row r="120" spans="1:4" x14ac:dyDescent="0.3">
      <c r="A120" s="13" t="s">
        <v>52</v>
      </c>
      <c r="B120" s="14">
        <v>0.73103477980524545</v>
      </c>
      <c r="C120" s="13" t="s">
        <v>108</v>
      </c>
      <c r="D120" s="13" t="s">
        <v>29</v>
      </c>
    </row>
    <row r="121" spans="1:4" x14ac:dyDescent="0.3">
      <c r="A121" s="13" t="s">
        <v>52</v>
      </c>
      <c r="B121" s="14">
        <v>0.66121251175589535</v>
      </c>
      <c r="C121" s="13" t="s">
        <v>24</v>
      </c>
      <c r="D121" s="13"/>
    </row>
    <row r="122" spans="1:4" x14ac:dyDescent="0.3">
      <c r="A122" s="13" t="s">
        <v>52</v>
      </c>
      <c r="B122" s="14">
        <v>0.66869862249690037</v>
      </c>
      <c r="C122" s="13" t="s">
        <v>24</v>
      </c>
      <c r="D122" s="13" t="s">
        <v>0</v>
      </c>
    </row>
    <row r="123" spans="1:4" x14ac:dyDescent="0.3">
      <c r="A123" s="13" t="s">
        <v>52</v>
      </c>
      <c r="B123" s="14">
        <v>0.81835071909554991</v>
      </c>
      <c r="C123" s="13" t="s">
        <v>24</v>
      </c>
      <c r="D123" s="13" t="s">
        <v>42</v>
      </c>
    </row>
    <row r="124" spans="1:4" x14ac:dyDescent="0.3">
      <c r="A124" s="13" t="s">
        <v>52</v>
      </c>
      <c r="B124" s="14">
        <v>0.8166392757556542</v>
      </c>
      <c r="C124" s="13" t="s">
        <v>24</v>
      </c>
      <c r="D124" s="13" t="s">
        <v>33</v>
      </c>
    </row>
    <row r="125" spans="1:4" x14ac:dyDescent="0.3">
      <c r="A125" s="13" t="s">
        <v>52</v>
      </c>
      <c r="B125" s="14">
        <v>0.82621223536938559</v>
      </c>
      <c r="C125" s="13" t="s">
        <v>109</v>
      </c>
      <c r="D125" s="13" t="s">
        <v>41</v>
      </c>
    </row>
    <row r="126" spans="1:4" x14ac:dyDescent="0.3">
      <c r="A126" s="13" t="s">
        <v>52</v>
      </c>
      <c r="B126" s="14">
        <v>0.89625599154838886</v>
      </c>
      <c r="C126" s="13" t="s">
        <v>110</v>
      </c>
      <c r="D126" s="13" t="s">
        <v>0</v>
      </c>
    </row>
    <row r="127" spans="1:4" x14ac:dyDescent="0.3">
      <c r="A127" s="13" t="s">
        <v>52</v>
      </c>
      <c r="B127" s="14">
        <v>0.9059543371382589</v>
      </c>
      <c r="C127" s="13" t="s">
        <v>110</v>
      </c>
      <c r="D127" s="13" t="s">
        <v>33</v>
      </c>
    </row>
    <row r="128" spans="1:4" x14ac:dyDescent="0.3">
      <c r="A128" s="13" t="s">
        <v>52</v>
      </c>
      <c r="B128" s="14">
        <v>0.89348566673338647</v>
      </c>
      <c r="C128" s="13" t="s">
        <v>110</v>
      </c>
      <c r="D128" s="13" t="s">
        <v>29</v>
      </c>
    </row>
    <row r="129" spans="1:4" x14ac:dyDescent="0.3">
      <c r="A129" s="13" t="s">
        <v>52</v>
      </c>
      <c r="B129" s="14">
        <v>0.81576999567557351</v>
      </c>
      <c r="C129" s="13" t="s">
        <v>110</v>
      </c>
      <c r="D129" s="13" t="s">
        <v>36</v>
      </c>
    </row>
    <row r="130" spans="1:4" x14ac:dyDescent="0.3">
      <c r="A130" s="13" t="s">
        <v>52</v>
      </c>
      <c r="B130" s="14">
        <v>0.9067737099329245</v>
      </c>
      <c r="C130" s="13" t="s">
        <v>110</v>
      </c>
      <c r="D130" s="13" t="s">
        <v>41</v>
      </c>
    </row>
    <row r="131" spans="1:4" x14ac:dyDescent="0.3">
      <c r="A131" s="13" t="s">
        <v>52</v>
      </c>
      <c r="B131" s="14">
        <v>0.86153293989245106</v>
      </c>
      <c r="C131" s="13" t="s">
        <v>111</v>
      </c>
      <c r="D131" s="13" t="s">
        <v>0</v>
      </c>
    </row>
    <row r="132" spans="1:4" x14ac:dyDescent="0.3">
      <c r="A132" s="13" t="s">
        <v>52</v>
      </c>
      <c r="B132" s="14">
        <v>0.79022351932911017</v>
      </c>
      <c r="C132" s="13" t="s">
        <v>111</v>
      </c>
      <c r="D132" s="13" t="s">
        <v>29</v>
      </c>
    </row>
    <row r="133" spans="1:4" x14ac:dyDescent="0.3">
      <c r="A133" s="13" t="s">
        <v>52</v>
      </c>
      <c r="B133" s="14">
        <v>0.81848596742361968</v>
      </c>
      <c r="C133" s="13" t="s">
        <v>111</v>
      </c>
      <c r="D133" s="13" t="s">
        <v>41</v>
      </c>
    </row>
    <row r="134" spans="1:4" x14ac:dyDescent="0.3">
      <c r="A134" s="13" t="s">
        <v>52</v>
      </c>
      <c r="B134" s="14">
        <v>0.89013710301784932</v>
      </c>
      <c r="C134" s="13" t="s">
        <v>112</v>
      </c>
      <c r="D134" s="13" t="s">
        <v>0</v>
      </c>
    </row>
    <row r="135" spans="1:4" x14ac:dyDescent="0.3">
      <c r="A135" s="13" t="s">
        <v>52</v>
      </c>
      <c r="B135" s="14">
        <v>0.81860833775407937</v>
      </c>
      <c r="C135" s="13" t="s">
        <v>112</v>
      </c>
      <c r="D135" s="13" t="s">
        <v>42</v>
      </c>
    </row>
    <row r="136" spans="1:4" x14ac:dyDescent="0.3">
      <c r="A136" s="13" t="s">
        <v>52</v>
      </c>
      <c r="B136" s="14">
        <v>0.89692617336258285</v>
      </c>
      <c r="C136" s="13" t="s">
        <v>112</v>
      </c>
      <c r="D136" s="13" t="s">
        <v>33</v>
      </c>
    </row>
    <row r="137" spans="1:4" x14ac:dyDescent="0.3">
      <c r="A137" s="13" t="s">
        <v>52</v>
      </c>
      <c r="B137" s="14">
        <v>0.88458976482997764</v>
      </c>
      <c r="C137" s="13" t="s">
        <v>112</v>
      </c>
      <c r="D137" s="13" t="s">
        <v>29</v>
      </c>
    </row>
    <row r="138" spans="1:4" x14ac:dyDescent="0.3">
      <c r="A138" s="13" t="s">
        <v>52</v>
      </c>
      <c r="B138" s="14">
        <v>0.8820824661735055</v>
      </c>
      <c r="C138" s="13" t="s">
        <v>112</v>
      </c>
      <c r="D138" s="13" t="s">
        <v>36</v>
      </c>
    </row>
    <row r="139" spans="1:4" x14ac:dyDescent="0.3">
      <c r="A139" s="13" t="s">
        <v>52</v>
      </c>
      <c r="B139" s="14">
        <v>0.87999530006508841</v>
      </c>
      <c r="C139" s="13" t="s">
        <v>112</v>
      </c>
      <c r="D139" s="13" t="s">
        <v>41</v>
      </c>
    </row>
    <row r="140" spans="1:4" x14ac:dyDescent="0.3">
      <c r="A140" s="13" t="s">
        <v>52</v>
      </c>
      <c r="B140" s="14">
        <v>0.8631504817455804</v>
      </c>
      <c r="C140" s="13" t="s">
        <v>113</v>
      </c>
      <c r="D140" s="13" t="s">
        <v>41</v>
      </c>
    </row>
    <row r="141" spans="1:4" x14ac:dyDescent="0.3">
      <c r="A141" s="13" t="s">
        <v>52</v>
      </c>
      <c r="B141" s="14">
        <v>0.86356033246489061</v>
      </c>
      <c r="C141" s="13" t="s">
        <v>35</v>
      </c>
      <c r="D141" s="13" t="s">
        <v>33</v>
      </c>
    </row>
    <row r="142" spans="1:4" x14ac:dyDescent="0.3">
      <c r="A142" s="13" t="s">
        <v>52</v>
      </c>
      <c r="B142" s="14">
        <v>0.97181107078835516</v>
      </c>
      <c r="C142" s="13" t="s">
        <v>31</v>
      </c>
      <c r="D142" s="13" t="s">
        <v>33</v>
      </c>
    </row>
    <row r="143" spans="1:4" x14ac:dyDescent="0.3">
      <c r="A143" s="13" t="s">
        <v>52</v>
      </c>
      <c r="B143" s="14">
        <v>0.9285099797707056</v>
      </c>
      <c r="C143" s="13" t="s">
        <v>31</v>
      </c>
      <c r="D143" s="13" t="s">
        <v>29</v>
      </c>
    </row>
    <row r="144" spans="1:4" x14ac:dyDescent="0.3">
      <c r="A144" s="13" t="s">
        <v>52</v>
      </c>
      <c r="B144" s="14">
        <v>0.85280946280244585</v>
      </c>
      <c r="C144" s="13" t="s">
        <v>114</v>
      </c>
      <c r="D144" s="13" t="s">
        <v>29</v>
      </c>
    </row>
    <row r="145" spans="1:4" x14ac:dyDescent="0.3">
      <c r="A145" s="13" t="s">
        <v>52</v>
      </c>
      <c r="B145" s="14">
        <v>0.84723645056523256</v>
      </c>
      <c r="C145" s="13" t="s">
        <v>39</v>
      </c>
      <c r="D145" s="13" t="s">
        <v>36</v>
      </c>
    </row>
    <row r="146" spans="1:4" x14ac:dyDescent="0.3">
      <c r="A146" s="13" t="s">
        <v>52</v>
      </c>
      <c r="B146" s="14">
        <v>0.78401592823986688</v>
      </c>
      <c r="C146" s="13" t="s">
        <v>115</v>
      </c>
      <c r="D146" s="13" t="s">
        <v>0</v>
      </c>
    </row>
    <row r="147" spans="1:4" x14ac:dyDescent="0.3">
      <c r="A147" s="13" t="s">
        <v>52</v>
      </c>
      <c r="B147" s="14">
        <v>0.99346683039356531</v>
      </c>
      <c r="C147" s="13" t="s">
        <v>115</v>
      </c>
      <c r="D147" s="13" t="s">
        <v>42</v>
      </c>
    </row>
    <row r="148" spans="1:4" x14ac:dyDescent="0.3">
      <c r="A148" s="13" t="s">
        <v>52</v>
      </c>
      <c r="B148" s="14">
        <v>0.8605984641991391</v>
      </c>
      <c r="C148" s="13" t="s">
        <v>115</v>
      </c>
      <c r="D148" s="13" t="s">
        <v>33</v>
      </c>
    </row>
    <row r="149" spans="1:4" x14ac:dyDescent="0.3">
      <c r="A149" s="13" t="s">
        <v>52</v>
      </c>
      <c r="B149" s="14">
        <v>0.8178713552906508</v>
      </c>
      <c r="C149" s="13" t="s">
        <v>115</v>
      </c>
      <c r="D149" s="13" t="s">
        <v>29</v>
      </c>
    </row>
    <row r="150" spans="1:4" x14ac:dyDescent="0.3">
      <c r="A150" s="13" t="s">
        <v>52</v>
      </c>
      <c r="B150" s="14">
        <v>0.88926620964418213</v>
      </c>
      <c r="C150" s="13" t="s">
        <v>115</v>
      </c>
      <c r="D150" s="13" t="s">
        <v>36</v>
      </c>
    </row>
    <row r="151" spans="1:4" x14ac:dyDescent="0.3">
      <c r="A151" s="13" t="s">
        <v>52</v>
      </c>
      <c r="B151" s="14">
        <v>0.79777483358291168</v>
      </c>
      <c r="C151" s="13" t="s">
        <v>115</v>
      </c>
      <c r="D151" s="13" t="s">
        <v>41</v>
      </c>
    </row>
    <row r="152" spans="1:4" x14ac:dyDescent="0.3">
      <c r="A152" s="13" t="s">
        <v>52</v>
      </c>
      <c r="B152" s="14">
        <v>0.86357659383390428</v>
      </c>
      <c r="C152" s="13" t="s">
        <v>25</v>
      </c>
      <c r="D152" s="13"/>
    </row>
    <row r="153" spans="1:4" x14ac:dyDescent="0.3">
      <c r="A153" s="13" t="s">
        <v>52</v>
      </c>
      <c r="B153" s="14">
        <v>0.87889621991306932</v>
      </c>
      <c r="C153" s="13" t="s">
        <v>25</v>
      </c>
      <c r="D153" s="13" t="s">
        <v>0</v>
      </c>
    </row>
    <row r="154" spans="1:4" x14ac:dyDescent="0.3">
      <c r="A154" s="13" t="s">
        <v>52</v>
      </c>
      <c r="B154" s="14">
        <v>0.72554396411331856</v>
      </c>
      <c r="C154" s="13" t="s">
        <v>116</v>
      </c>
      <c r="D154" s="13" t="s">
        <v>0</v>
      </c>
    </row>
    <row r="155" spans="1:4" x14ac:dyDescent="0.3">
      <c r="A155" s="13" t="s">
        <v>52</v>
      </c>
      <c r="B155" s="14">
        <v>0.97347764778585066</v>
      </c>
      <c r="C155" s="13" t="s">
        <v>117</v>
      </c>
      <c r="D155" s="13" t="s">
        <v>29</v>
      </c>
    </row>
    <row r="156" spans="1:4" x14ac:dyDescent="0.3">
      <c r="A156" s="13" t="s">
        <v>52</v>
      </c>
      <c r="B156" s="14">
        <v>0.91015326474926816</v>
      </c>
      <c r="C156" s="13" t="s">
        <v>26</v>
      </c>
      <c r="D156" s="13" t="s">
        <v>0</v>
      </c>
    </row>
    <row r="157" spans="1:4" x14ac:dyDescent="0.3">
      <c r="A157" s="13" t="s">
        <v>52</v>
      </c>
      <c r="B157" s="14">
        <v>0.84993214073747114</v>
      </c>
      <c r="C157" s="13" t="s">
        <v>26</v>
      </c>
      <c r="D157" s="13" t="s">
        <v>33</v>
      </c>
    </row>
    <row r="158" spans="1:4" x14ac:dyDescent="0.3">
      <c r="A158" s="13" t="s">
        <v>52</v>
      </c>
      <c r="B158" s="14">
        <v>0.82742584097595728</v>
      </c>
      <c r="C158" s="13" t="s">
        <v>26</v>
      </c>
      <c r="D158" s="13" t="s">
        <v>29</v>
      </c>
    </row>
    <row r="159" spans="1:4" x14ac:dyDescent="0.3">
      <c r="A159" s="13" t="s">
        <v>52</v>
      </c>
      <c r="B159" s="14">
        <v>0.91837992029475757</v>
      </c>
      <c r="C159" s="13" t="s">
        <v>26</v>
      </c>
      <c r="D159" s="13" t="s">
        <v>36</v>
      </c>
    </row>
    <row r="160" spans="1:4" x14ac:dyDescent="0.3">
      <c r="A160" s="13" t="s">
        <v>52</v>
      </c>
      <c r="B160" s="14">
        <v>0.44011660726712298</v>
      </c>
      <c r="C160" s="13" t="s">
        <v>118</v>
      </c>
      <c r="D160" s="13" t="s">
        <v>29</v>
      </c>
    </row>
    <row r="161" spans="1:4" x14ac:dyDescent="0.3">
      <c r="A161" s="13" t="s">
        <v>52</v>
      </c>
      <c r="B161" s="14">
        <v>0.66065796171013935</v>
      </c>
      <c r="C161" s="13" t="s">
        <v>119</v>
      </c>
      <c r="D161" s="13" t="s">
        <v>42</v>
      </c>
    </row>
    <row r="162" spans="1:4" x14ac:dyDescent="0.3">
      <c r="A162" s="13" t="s">
        <v>52</v>
      </c>
      <c r="B162" s="14">
        <v>0.9747702675870803</v>
      </c>
      <c r="C162" s="13" t="s">
        <v>120</v>
      </c>
      <c r="D162" s="13" t="s">
        <v>41</v>
      </c>
    </row>
    <row r="163" spans="1:4" x14ac:dyDescent="0.3">
      <c r="A163" s="13" t="s">
        <v>52</v>
      </c>
      <c r="B163" s="14">
        <v>0.75583204171253404</v>
      </c>
      <c r="C163" s="13" t="s">
        <v>121</v>
      </c>
      <c r="D163" s="13"/>
    </row>
    <row r="164" spans="1:4" x14ac:dyDescent="0.3">
      <c r="A164" s="13" t="s">
        <v>52</v>
      </c>
      <c r="B164" s="14">
        <v>0.6282622393902747</v>
      </c>
      <c r="C164" s="13" t="s">
        <v>121</v>
      </c>
      <c r="D164" s="13" t="s">
        <v>0</v>
      </c>
    </row>
    <row r="165" spans="1:4" x14ac:dyDescent="0.3">
      <c r="A165" s="13" t="s">
        <v>52</v>
      </c>
      <c r="B165" s="14">
        <v>0.67528196522907014</v>
      </c>
      <c r="C165" s="13" t="s">
        <v>122</v>
      </c>
      <c r="D165" s="13" t="s">
        <v>42</v>
      </c>
    </row>
    <row r="166" spans="1:4" x14ac:dyDescent="0.3">
      <c r="A166" s="13" t="s">
        <v>52</v>
      </c>
      <c r="B166" s="14">
        <v>0.53085027691120734</v>
      </c>
      <c r="C166" s="13" t="s">
        <v>123</v>
      </c>
      <c r="D166" s="13" t="s">
        <v>29</v>
      </c>
    </row>
    <row r="167" spans="1:4" x14ac:dyDescent="0.3">
      <c r="A167" s="13" t="s">
        <v>52</v>
      </c>
      <c r="B167" s="14">
        <v>0.85415686938141944</v>
      </c>
      <c r="C167" s="13" t="s">
        <v>124</v>
      </c>
      <c r="D167" s="13" t="s">
        <v>0</v>
      </c>
    </row>
    <row r="168" spans="1:4" x14ac:dyDescent="0.3">
      <c r="A168" s="13" t="s">
        <v>52</v>
      </c>
      <c r="B168" s="14">
        <v>0.75545724976395223</v>
      </c>
      <c r="C168" s="13" t="s">
        <v>124</v>
      </c>
      <c r="D168" s="13" t="s">
        <v>42</v>
      </c>
    </row>
    <row r="169" spans="1:4" x14ac:dyDescent="0.3">
      <c r="A169" s="13" t="s">
        <v>52</v>
      </c>
      <c r="B169" s="14">
        <v>0.8244972836679384</v>
      </c>
      <c r="C169" s="13" t="s">
        <v>124</v>
      </c>
      <c r="D169" s="13" t="s">
        <v>33</v>
      </c>
    </row>
    <row r="170" spans="1:4" x14ac:dyDescent="0.3">
      <c r="A170" s="13" t="s">
        <v>52</v>
      </c>
      <c r="B170" s="14">
        <v>0.8396374520719273</v>
      </c>
      <c r="C170" s="13" t="s">
        <v>124</v>
      </c>
      <c r="D170" s="13" t="s">
        <v>29</v>
      </c>
    </row>
    <row r="171" spans="1:4" x14ac:dyDescent="0.3">
      <c r="A171" s="13" t="s">
        <v>52</v>
      </c>
      <c r="B171" s="14">
        <v>0.85531632305212679</v>
      </c>
      <c r="C171" s="13" t="s">
        <v>124</v>
      </c>
      <c r="D171" s="13" t="s">
        <v>36</v>
      </c>
    </row>
    <row r="172" spans="1:4" x14ac:dyDescent="0.3">
      <c r="A172" s="13" t="s">
        <v>52</v>
      </c>
      <c r="B172" s="14">
        <v>0.80038565157347763</v>
      </c>
      <c r="C172" s="13" t="s">
        <v>124</v>
      </c>
      <c r="D172" s="13" t="s">
        <v>41</v>
      </c>
    </row>
    <row r="173" spans="1:4" x14ac:dyDescent="0.3">
      <c r="A173" s="13" t="s">
        <v>52</v>
      </c>
      <c r="B173" s="14">
        <v>0.55087145550712124</v>
      </c>
      <c r="C173" s="13" t="s">
        <v>125</v>
      </c>
      <c r="D173" s="13" t="s">
        <v>41</v>
      </c>
    </row>
    <row r="174" spans="1:4" x14ac:dyDescent="0.3">
      <c r="A174" s="13" t="s">
        <v>52</v>
      </c>
      <c r="B174" s="14">
        <v>0.97587588597944797</v>
      </c>
      <c r="C174" s="13" t="s">
        <v>126</v>
      </c>
      <c r="D174" s="13" t="s">
        <v>36</v>
      </c>
    </row>
    <row r="175" spans="1:4" x14ac:dyDescent="0.3">
      <c r="A175" s="13" t="s">
        <v>52</v>
      </c>
      <c r="B175" s="14">
        <v>0.87915757078926504</v>
      </c>
      <c r="C175" s="13" t="s">
        <v>127</v>
      </c>
      <c r="D175" s="13" t="s">
        <v>41</v>
      </c>
    </row>
    <row r="176" spans="1:4" x14ac:dyDescent="0.3">
      <c r="A176" s="13" t="s">
        <v>52</v>
      </c>
      <c r="B176" s="14">
        <v>0.91613811261622946</v>
      </c>
      <c r="C176" s="13" t="s">
        <v>128</v>
      </c>
      <c r="D176" s="13" t="s">
        <v>0</v>
      </c>
    </row>
    <row r="177" spans="1:4" x14ac:dyDescent="0.3">
      <c r="A177" s="13" t="s">
        <v>52</v>
      </c>
      <c r="B177" s="14">
        <v>0.94130497312731387</v>
      </c>
      <c r="C177" s="13" t="s">
        <v>128</v>
      </c>
      <c r="D177" s="13" t="s">
        <v>33</v>
      </c>
    </row>
    <row r="178" spans="1:4" x14ac:dyDescent="0.3">
      <c r="A178" s="13" t="s">
        <v>52</v>
      </c>
      <c r="B178" s="14">
        <v>0.87193206631830067</v>
      </c>
      <c r="C178" s="13" t="s">
        <v>128</v>
      </c>
      <c r="D178" s="13" t="s">
        <v>29</v>
      </c>
    </row>
    <row r="179" spans="1:4" x14ac:dyDescent="0.3">
      <c r="A179" s="13" t="s">
        <v>52</v>
      </c>
      <c r="B179" s="14">
        <v>0.9195582687274807</v>
      </c>
      <c r="C179" s="13" t="s">
        <v>128</v>
      </c>
      <c r="D179" s="13" t="s">
        <v>41</v>
      </c>
    </row>
    <row r="180" spans="1:4" x14ac:dyDescent="0.3">
      <c r="A180" s="13" t="s">
        <v>52</v>
      </c>
      <c r="B180" s="14">
        <v>0.87961126929031963</v>
      </c>
      <c r="C180" s="13" t="s">
        <v>129</v>
      </c>
      <c r="D180" s="13" t="s">
        <v>29</v>
      </c>
    </row>
    <row r="181" spans="1:4" x14ac:dyDescent="0.3">
      <c r="A181" s="13" t="s">
        <v>52</v>
      </c>
      <c r="B181" s="14">
        <v>0.95769244873919135</v>
      </c>
      <c r="C181" s="13" t="s">
        <v>27</v>
      </c>
      <c r="D181" s="13" t="s">
        <v>0</v>
      </c>
    </row>
    <row r="182" spans="1:4" x14ac:dyDescent="0.3">
      <c r="A182" s="13" t="s">
        <v>52</v>
      </c>
      <c r="B182" s="14">
        <v>0.95373189729288466</v>
      </c>
      <c r="C182" s="13" t="s">
        <v>27</v>
      </c>
      <c r="D182" s="13" t="s">
        <v>41</v>
      </c>
    </row>
    <row r="183" spans="1:4" x14ac:dyDescent="0.3">
      <c r="A183" s="13" t="s">
        <v>52</v>
      </c>
      <c r="B183" s="14">
        <v>1</v>
      </c>
      <c r="C183" s="13" t="s">
        <v>130</v>
      </c>
      <c r="D183" s="13"/>
    </row>
    <row r="184" spans="1:4" x14ac:dyDescent="0.3">
      <c r="A184" s="13" t="s">
        <v>52</v>
      </c>
      <c r="B184" s="14">
        <v>0.85871878245745137</v>
      </c>
      <c r="C184" s="13" t="s">
        <v>130</v>
      </c>
      <c r="D184" s="13" t="s">
        <v>41</v>
      </c>
    </row>
    <row r="185" spans="1:4" x14ac:dyDescent="0.3">
      <c r="A185" s="13" t="s">
        <v>52</v>
      </c>
      <c r="B185" s="14">
        <v>0.95943893219899734</v>
      </c>
      <c r="C185" s="13" t="s">
        <v>131</v>
      </c>
      <c r="D185" s="13" t="s">
        <v>0</v>
      </c>
    </row>
    <row r="186" spans="1:4" x14ac:dyDescent="0.3">
      <c r="A186" s="13" t="s">
        <v>52</v>
      </c>
      <c r="B186" s="14">
        <v>0.93460713069698376</v>
      </c>
      <c r="C186" s="13" t="s">
        <v>131</v>
      </c>
      <c r="D186" s="13" t="s">
        <v>42</v>
      </c>
    </row>
    <row r="187" spans="1:4" x14ac:dyDescent="0.3">
      <c r="A187" s="13" t="s">
        <v>52</v>
      </c>
      <c r="B187" s="14">
        <v>0.95464597085117564</v>
      </c>
      <c r="C187" s="13" t="s">
        <v>131</v>
      </c>
      <c r="D187" s="13" t="s">
        <v>33</v>
      </c>
    </row>
    <row r="188" spans="1:4" x14ac:dyDescent="0.3">
      <c r="A188" s="13" t="s">
        <v>52</v>
      </c>
      <c r="B188" s="14">
        <v>0.93379551281271711</v>
      </c>
      <c r="C188" s="13" t="s">
        <v>131</v>
      </c>
      <c r="D188" s="13" t="s">
        <v>29</v>
      </c>
    </row>
    <row r="189" spans="1:4" x14ac:dyDescent="0.3">
      <c r="A189" s="13" t="s">
        <v>52</v>
      </c>
      <c r="B189" s="14">
        <v>0.96964791658386984</v>
      </c>
      <c r="C189" s="13" t="s">
        <v>131</v>
      </c>
      <c r="D189" s="13" t="s">
        <v>36</v>
      </c>
    </row>
    <row r="190" spans="1:4" x14ac:dyDescent="0.3">
      <c r="A190" s="13" t="s">
        <v>52</v>
      </c>
      <c r="B190" s="14">
        <v>0.95586984134246555</v>
      </c>
      <c r="C190" s="13" t="s">
        <v>131</v>
      </c>
      <c r="D190" s="13" t="s">
        <v>41</v>
      </c>
    </row>
    <row r="191" spans="1:4" x14ac:dyDescent="0.3">
      <c r="A191" s="13" t="s">
        <v>52</v>
      </c>
      <c r="B191" s="14">
        <v>0.96079286570884781</v>
      </c>
      <c r="C191" s="13" t="s">
        <v>44</v>
      </c>
      <c r="D191" s="13" t="s">
        <v>42</v>
      </c>
    </row>
    <row r="192" spans="1:4" x14ac:dyDescent="0.3">
      <c r="A192" s="13" t="s">
        <v>52</v>
      </c>
      <c r="B192" s="14">
        <v>0.83809830500217464</v>
      </c>
      <c r="C192" s="13" t="s">
        <v>45</v>
      </c>
      <c r="D192" s="13" t="s">
        <v>42</v>
      </c>
    </row>
    <row r="193" spans="1:4" x14ac:dyDescent="0.3">
      <c r="A193" s="13" t="s">
        <v>52</v>
      </c>
      <c r="B193" s="14">
        <v>0.92474196137075271</v>
      </c>
      <c r="C193" s="13" t="s">
        <v>46</v>
      </c>
      <c r="D193" s="13" t="s">
        <v>42</v>
      </c>
    </row>
    <row r="194" spans="1:4" x14ac:dyDescent="0.3">
      <c r="A194" s="13" t="s">
        <v>52</v>
      </c>
      <c r="B194" s="14">
        <v>0.24832543612958211</v>
      </c>
      <c r="C194" s="13" t="s">
        <v>132</v>
      </c>
      <c r="D194" s="13" t="s">
        <v>29</v>
      </c>
    </row>
    <row r="195" spans="1:4" x14ac:dyDescent="0.3">
      <c r="A195" s="13" t="s">
        <v>52</v>
      </c>
      <c r="B195" s="14">
        <v>0.93671296655255598</v>
      </c>
      <c r="C195" s="13" t="s">
        <v>133</v>
      </c>
      <c r="D195" s="13"/>
    </row>
    <row r="196" spans="1:4" x14ac:dyDescent="0.3">
      <c r="A196" s="13" t="s">
        <v>52</v>
      </c>
      <c r="B196" s="14">
        <v>0.73767267926748814</v>
      </c>
      <c r="C196" s="13" t="s">
        <v>133</v>
      </c>
      <c r="D196" s="13" t="s">
        <v>0</v>
      </c>
    </row>
    <row r="197" spans="1:4" x14ac:dyDescent="0.3">
      <c r="A197" s="13" t="s">
        <v>52</v>
      </c>
      <c r="B197" s="14">
        <v>0.87685780798647384</v>
      </c>
      <c r="C197" s="13" t="s">
        <v>134</v>
      </c>
      <c r="D197" s="13" t="s">
        <v>36</v>
      </c>
    </row>
    <row r="198" spans="1:4" x14ac:dyDescent="0.3">
      <c r="A198" s="13" t="s">
        <v>52</v>
      </c>
      <c r="B198" s="14">
        <v>0.75213485304306071</v>
      </c>
      <c r="C198" s="13" t="s">
        <v>135</v>
      </c>
      <c r="D198" s="13" t="s">
        <v>0</v>
      </c>
    </row>
    <row r="199" spans="1:4" x14ac:dyDescent="0.3">
      <c r="A199" s="13" t="s">
        <v>52</v>
      </c>
      <c r="B199" s="14">
        <v>1</v>
      </c>
      <c r="C199" s="13" t="s">
        <v>136</v>
      </c>
      <c r="D199" s="13"/>
    </row>
    <row r="200" spans="1:4" x14ac:dyDescent="0.3">
      <c r="A200" s="13" t="s">
        <v>52</v>
      </c>
      <c r="B200" s="14">
        <v>0.85693585936128691</v>
      </c>
      <c r="C200" s="13" t="s">
        <v>136</v>
      </c>
      <c r="D200" s="13" t="s">
        <v>42</v>
      </c>
    </row>
    <row r="201" spans="1:4" x14ac:dyDescent="0.3">
      <c r="A201" s="13" t="s">
        <v>52</v>
      </c>
      <c r="B201" s="14">
        <v>0.79092369066599244</v>
      </c>
      <c r="C201" s="13" t="s">
        <v>137</v>
      </c>
      <c r="D201" s="13" t="s">
        <v>42</v>
      </c>
    </row>
    <row r="202" spans="1:4" x14ac:dyDescent="0.3">
      <c r="A202" s="13" t="s">
        <v>52</v>
      </c>
      <c r="B202" s="14">
        <v>0.83909245960268963</v>
      </c>
      <c r="C202" s="13" t="s">
        <v>138</v>
      </c>
      <c r="D202" s="13" t="s">
        <v>0</v>
      </c>
    </row>
    <row r="203" spans="1:4" x14ac:dyDescent="0.3">
      <c r="A203" s="13" t="s">
        <v>52</v>
      </c>
      <c r="B203" s="14">
        <v>0.75425014218489328</v>
      </c>
      <c r="C203" s="13" t="s">
        <v>139</v>
      </c>
      <c r="D203" s="13" t="s">
        <v>42</v>
      </c>
    </row>
    <row r="204" spans="1:4" x14ac:dyDescent="0.3">
      <c r="A204" s="13" t="s">
        <v>52</v>
      </c>
      <c r="B204" s="14">
        <v>0.75477374865789704</v>
      </c>
      <c r="C204" s="13" t="s">
        <v>140</v>
      </c>
      <c r="D204" s="13" t="s">
        <v>36</v>
      </c>
    </row>
    <row r="205" spans="1:4" x14ac:dyDescent="0.3">
      <c r="A205" s="13" t="s">
        <v>52</v>
      </c>
      <c r="B205" s="14">
        <v>0.86760173081824188</v>
      </c>
      <c r="C205" s="13" t="s">
        <v>40</v>
      </c>
      <c r="D205" s="13"/>
    </row>
    <row r="206" spans="1:4" x14ac:dyDescent="0.3">
      <c r="A206" s="13" t="s">
        <v>52</v>
      </c>
      <c r="B206" s="14">
        <v>0.92591699760377522</v>
      </c>
      <c r="C206" s="13" t="s">
        <v>40</v>
      </c>
      <c r="D206" s="13" t="s">
        <v>42</v>
      </c>
    </row>
    <row r="207" spans="1:4" x14ac:dyDescent="0.3">
      <c r="A207" s="13" t="s">
        <v>52</v>
      </c>
      <c r="B207" s="14">
        <v>0.87438520099098371</v>
      </c>
      <c r="C207" s="13" t="s">
        <v>40</v>
      </c>
      <c r="D207" s="13" t="s">
        <v>36</v>
      </c>
    </row>
    <row r="208" spans="1:4" x14ac:dyDescent="0.3">
      <c r="A208" s="13" t="s">
        <v>52</v>
      </c>
      <c r="B208" s="14">
        <v>0.62473980108617622</v>
      </c>
      <c r="C208" s="13" t="s">
        <v>141</v>
      </c>
      <c r="D208" s="13" t="s">
        <v>29</v>
      </c>
    </row>
    <row r="209" spans="1:4" x14ac:dyDescent="0.3">
      <c r="A209" s="13" t="s">
        <v>52</v>
      </c>
      <c r="B209" s="14">
        <v>0.26175442508593649</v>
      </c>
      <c r="C209" s="13" t="s">
        <v>142</v>
      </c>
      <c r="D209" s="13" t="s">
        <v>41</v>
      </c>
    </row>
    <row r="210" spans="1:4" x14ac:dyDescent="0.3">
      <c r="A210" s="13" t="s">
        <v>52</v>
      </c>
      <c r="B210" s="14">
        <v>0.74186180745527852</v>
      </c>
      <c r="C210" s="13" t="s">
        <v>143</v>
      </c>
      <c r="D210" s="13" t="s">
        <v>42</v>
      </c>
    </row>
    <row r="211" spans="1:4" x14ac:dyDescent="0.3">
      <c r="A211" s="13" t="s">
        <v>52</v>
      </c>
      <c r="B211" s="14">
        <v>0.86793245871392033</v>
      </c>
      <c r="C211" s="13" t="s">
        <v>144</v>
      </c>
      <c r="D211" s="13" t="s">
        <v>42</v>
      </c>
    </row>
    <row r="212" spans="1:4" x14ac:dyDescent="0.3">
      <c r="A212" s="13" t="s">
        <v>52</v>
      </c>
      <c r="B212" s="14">
        <v>0.91203719986771237</v>
      </c>
      <c r="C212" s="13" t="s">
        <v>47</v>
      </c>
      <c r="D212" s="13" t="s">
        <v>42</v>
      </c>
    </row>
    <row r="213" spans="1:4" x14ac:dyDescent="0.3">
      <c r="A213" s="13" t="s">
        <v>52</v>
      </c>
      <c r="B213" s="14">
        <v>0.8903453412593344</v>
      </c>
      <c r="C213" s="13" t="s">
        <v>145</v>
      </c>
      <c r="D213" s="13" t="s">
        <v>0</v>
      </c>
    </row>
    <row r="214" spans="1:4" x14ac:dyDescent="0.3">
      <c r="A214" s="13" t="s">
        <v>52</v>
      </c>
      <c r="B214" s="14">
        <v>0.80640867634984592</v>
      </c>
      <c r="C214" s="13" t="s">
        <v>146</v>
      </c>
      <c r="D214" s="13" t="s">
        <v>41</v>
      </c>
    </row>
    <row r="215" spans="1:4" x14ac:dyDescent="0.3">
      <c r="A215" s="13" t="s">
        <v>52</v>
      </c>
      <c r="B215" s="14">
        <v>0.87246924425622796</v>
      </c>
      <c r="C215" s="13" t="s">
        <v>32</v>
      </c>
      <c r="D215" s="13" t="s">
        <v>33</v>
      </c>
    </row>
    <row r="216" spans="1:4" x14ac:dyDescent="0.3">
      <c r="A216" s="13" t="s">
        <v>52</v>
      </c>
      <c r="B216" s="14">
        <v>0.89282345010205844</v>
      </c>
      <c r="C216" s="13" t="s">
        <v>32</v>
      </c>
      <c r="D216" s="13" t="s">
        <v>29</v>
      </c>
    </row>
    <row r="217" spans="1:4" x14ac:dyDescent="0.3">
      <c r="A217" s="13" t="s">
        <v>52</v>
      </c>
      <c r="B217" s="14">
        <v>0.84878866721770752</v>
      </c>
      <c r="C217" s="13" t="s">
        <v>32</v>
      </c>
      <c r="D217" s="13" t="s">
        <v>36</v>
      </c>
    </row>
    <row r="218" spans="1:4" x14ac:dyDescent="0.3">
      <c r="A218" s="13" t="s">
        <v>147</v>
      </c>
      <c r="B218" s="14">
        <v>1</v>
      </c>
      <c r="C218" s="13" t="s">
        <v>53</v>
      </c>
      <c r="D218" s="13" t="s">
        <v>0</v>
      </c>
    </row>
    <row r="219" spans="1:4" x14ac:dyDescent="0.3">
      <c r="A219" s="13" t="s">
        <v>147</v>
      </c>
      <c r="B219" s="14">
        <v>0.55208707246386668</v>
      </c>
      <c r="C219" s="13" t="s">
        <v>54</v>
      </c>
      <c r="D219" s="13" t="s">
        <v>29</v>
      </c>
    </row>
    <row r="220" spans="1:4" x14ac:dyDescent="0.3">
      <c r="A220" s="13" t="s">
        <v>147</v>
      </c>
      <c r="B220" s="14">
        <v>0.90086564389819013</v>
      </c>
      <c r="C220" s="13" t="s">
        <v>55</v>
      </c>
      <c r="D220" s="13" t="s">
        <v>0</v>
      </c>
    </row>
    <row r="221" spans="1:4" x14ac:dyDescent="0.3">
      <c r="A221" s="13" t="s">
        <v>147</v>
      </c>
      <c r="B221" s="14">
        <v>0.97172042560161509</v>
      </c>
      <c r="C221" s="13" t="s">
        <v>55</v>
      </c>
      <c r="D221" s="13" t="s">
        <v>33</v>
      </c>
    </row>
    <row r="222" spans="1:4" x14ac:dyDescent="0.3">
      <c r="A222" s="13" t="s">
        <v>147</v>
      </c>
      <c r="B222" s="14">
        <v>0.9202251329340263</v>
      </c>
      <c r="C222" s="13" t="s">
        <v>55</v>
      </c>
      <c r="D222" s="13" t="s">
        <v>29</v>
      </c>
    </row>
    <row r="223" spans="1:4" x14ac:dyDescent="0.3">
      <c r="A223" s="13" t="s">
        <v>147</v>
      </c>
      <c r="B223" s="14">
        <v>0.5600999706634604</v>
      </c>
      <c r="C223" s="13" t="s">
        <v>56</v>
      </c>
      <c r="D223" s="13" t="s">
        <v>29</v>
      </c>
    </row>
    <row r="224" spans="1:4" x14ac:dyDescent="0.3">
      <c r="A224" s="13" t="s">
        <v>147</v>
      </c>
      <c r="B224" s="14">
        <v>0.58130825014606313</v>
      </c>
      <c r="C224" s="13" t="s">
        <v>57</v>
      </c>
      <c r="D224" s="13" t="s">
        <v>0</v>
      </c>
    </row>
    <row r="225" spans="1:4" x14ac:dyDescent="0.3">
      <c r="A225" s="13" t="s">
        <v>147</v>
      </c>
      <c r="B225" s="14">
        <v>0.58673304818606642</v>
      </c>
      <c r="C225" s="13" t="s">
        <v>57</v>
      </c>
      <c r="D225" s="13" t="s">
        <v>33</v>
      </c>
    </row>
    <row r="226" spans="1:4" x14ac:dyDescent="0.3">
      <c r="A226" s="13" t="s">
        <v>147</v>
      </c>
      <c r="B226" s="14">
        <v>0.57120661745885759</v>
      </c>
      <c r="C226" s="13" t="s">
        <v>57</v>
      </c>
      <c r="D226" s="13" t="s">
        <v>29</v>
      </c>
    </row>
    <row r="227" spans="1:4" x14ac:dyDescent="0.3">
      <c r="A227" s="13" t="s">
        <v>147</v>
      </c>
      <c r="B227" s="14">
        <v>0.57871119327334386</v>
      </c>
      <c r="C227" s="13" t="s">
        <v>57</v>
      </c>
      <c r="D227" s="13" t="s">
        <v>36</v>
      </c>
    </row>
    <row r="228" spans="1:4" x14ac:dyDescent="0.3">
      <c r="A228" s="13" t="s">
        <v>147</v>
      </c>
      <c r="B228" s="14">
        <v>0.47255102735979898</v>
      </c>
      <c r="C228" s="13" t="s">
        <v>57</v>
      </c>
      <c r="D228" s="13" t="s">
        <v>41</v>
      </c>
    </row>
    <row r="229" spans="1:4" x14ac:dyDescent="0.3">
      <c r="A229" s="13" t="s">
        <v>147</v>
      </c>
      <c r="B229" s="14">
        <v>0.95560201136046197</v>
      </c>
      <c r="C229" s="13" t="s">
        <v>37</v>
      </c>
      <c r="D229" s="13"/>
    </row>
    <row r="230" spans="1:4" x14ac:dyDescent="0.3">
      <c r="A230" s="13" t="s">
        <v>147</v>
      </c>
      <c r="B230" s="14">
        <v>0.96301469201405898</v>
      </c>
      <c r="C230" s="13" t="s">
        <v>37</v>
      </c>
      <c r="D230" s="13" t="s">
        <v>42</v>
      </c>
    </row>
    <row r="231" spans="1:4" x14ac:dyDescent="0.3">
      <c r="A231" s="13" t="s">
        <v>147</v>
      </c>
      <c r="B231" s="14">
        <v>0.94951587263298942</v>
      </c>
      <c r="C231" s="13" t="s">
        <v>37</v>
      </c>
      <c r="D231" s="13" t="s">
        <v>36</v>
      </c>
    </row>
    <row r="232" spans="1:4" x14ac:dyDescent="0.3">
      <c r="A232" s="13" t="s">
        <v>147</v>
      </c>
      <c r="B232" s="14">
        <v>0.95373741911117815</v>
      </c>
      <c r="C232" s="13" t="s">
        <v>30</v>
      </c>
      <c r="D232" s="13" t="s">
        <v>42</v>
      </c>
    </row>
    <row r="233" spans="1:4" x14ac:dyDescent="0.3">
      <c r="A233" s="13" t="s">
        <v>147</v>
      </c>
      <c r="B233" s="14">
        <v>0.96252758901029267</v>
      </c>
      <c r="C233" s="13" t="s">
        <v>30</v>
      </c>
      <c r="D233" s="13" t="s">
        <v>29</v>
      </c>
    </row>
    <row r="234" spans="1:4" x14ac:dyDescent="0.3">
      <c r="A234" s="13" t="s">
        <v>147</v>
      </c>
      <c r="B234" s="14">
        <v>0.9133302536372645</v>
      </c>
      <c r="C234" s="13" t="s">
        <v>30</v>
      </c>
      <c r="D234" s="13" t="s">
        <v>36</v>
      </c>
    </row>
    <row r="235" spans="1:4" x14ac:dyDescent="0.3">
      <c r="A235" s="13" t="s">
        <v>147</v>
      </c>
      <c r="B235" s="14">
        <v>0.9620335181754206</v>
      </c>
      <c r="C235" s="13" t="s">
        <v>28</v>
      </c>
      <c r="D235" s="13" t="s">
        <v>33</v>
      </c>
    </row>
    <row r="236" spans="1:4" x14ac:dyDescent="0.3">
      <c r="A236" s="13" t="s">
        <v>147</v>
      </c>
      <c r="B236" s="14">
        <v>0.89387776374554162</v>
      </c>
      <c r="C236" s="13" t="s">
        <v>34</v>
      </c>
      <c r="D236" s="13" t="s">
        <v>33</v>
      </c>
    </row>
    <row r="237" spans="1:4" x14ac:dyDescent="0.3">
      <c r="A237" s="13" t="s">
        <v>147</v>
      </c>
      <c r="B237" s="14">
        <v>0.93791520851734878</v>
      </c>
      <c r="C237" s="13" t="s">
        <v>58</v>
      </c>
      <c r="D237" s="13" t="s">
        <v>29</v>
      </c>
    </row>
    <row r="238" spans="1:4" x14ac:dyDescent="0.3">
      <c r="A238" s="13" t="s">
        <v>147</v>
      </c>
      <c r="B238" s="14">
        <v>0.4425781754871474</v>
      </c>
      <c r="C238" s="13" t="s">
        <v>59</v>
      </c>
      <c r="D238" s="13" t="s">
        <v>0</v>
      </c>
    </row>
    <row r="239" spans="1:4" x14ac:dyDescent="0.3">
      <c r="A239" s="13" t="s">
        <v>147</v>
      </c>
      <c r="B239" s="14">
        <v>0.62093571169159834</v>
      </c>
      <c r="C239" s="13" t="s">
        <v>59</v>
      </c>
      <c r="D239" s="13" t="s">
        <v>33</v>
      </c>
    </row>
    <row r="240" spans="1:4" x14ac:dyDescent="0.3">
      <c r="A240" s="13" t="s">
        <v>147</v>
      </c>
      <c r="B240" s="14">
        <v>0.88424599035158624</v>
      </c>
      <c r="C240" s="13" t="s">
        <v>60</v>
      </c>
      <c r="D240" s="13" t="s">
        <v>33</v>
      </c>
    </row>
    <row r="241" spans="1:4" x14ac:dyDescent="0.3">
      <c r="A241" s="13" t="s">
        <v>147</v>
      </c>
      <c r="B241" s="14">
        <v>0.498136042671111</v>
      </c>
      <c r="C241" s="13" t="s">
        <v>61</v>
      </c>
      <c r="D241" s="13" t="s">
        <v>36</v>
      </c>
    </row>
    <row r="242" spans="1:4" x14ac:dyDescent="0.3">
      <c r="A242" s="13" t="s">
        <v>147</v>
      </c>
      <c r="B242" s="14">
        <v>0.58994582786018346</v>
      </c>
      <c r="C242" s="13" t="s">
        <v>62</v>
      </c>
      <c r="D242" s="13" t="s">
        <v>0</v>
      </c>
    </row>
    <row r="243" spans="1:4" x14ac:dyDescent="0.3">
      <c r="A243" s="13" t="s">
        <v>147</v>
      </c>
      <c r="B243" s="14">
        <v>0.65964674446418892</v>
      </c>
      <c r="C243" s="13" t="s">
        <v>63</v>
      </c>
      <c r="D243" s="13"/>
    </row>
    <row r="244" spans="1:4" x14ac:dyDescent="0.3">
      <c r="A244" s="13" t="s">
        <v>147</v>
      </c>
      <c r="B244" s="14">
        <v>0.73009825828100705</v>
      </c>
      <c r="C244" s="13" t="s">
        <v>63</v>
      </c>
      <c r="D244" s="13" t="s">
        <v>42</v>
      </c>
    </row>
    <row r="245" spans="1:4" x14ac:dyDescent="0.3">
      <c r="A245" s="13" t="s">
        <v>147</v>
      </c>
      <c r="B245" s="14">
        <v>0.46861029780266911</v>
      </c>
      <c r="C245" s="13" t="s">
        <v>64</v>
      </c>
      <c r="D245" s="13" t="s">
        <v>0</v>
      </c>
    </row>
    <row r="246" spans="1:4" x14ac:dyDescent="0.3">
      <c r="A246" s="13" t="s">
        <v>147</v>
      </c>
      <c r="B246" s="14">
        <v>0.83324700649808547</v>
      </c>
      <c r="C246" s="13" t="s">
        <v>65</v>
      </c>
      <c r="D246" s="13" t="s">
        <v>41</v>
      </c>
    </row>
    <row r="247" spans="1:4" x14ac:dyDescent="0.3">
      <c r="A247" s="13" t="s">
        <v>147</v>
      </c>
      <c r="B247" s="14">
        <v>0.82278308440768055</v>
      </c>
      <c r="C247" s="13" t="s">
        <v>66</v>
      </c>
      <c r="D247" s="13" t="s">
        <v>29</v>
      </c>
    </row>
    <row r="248" spans="1:4" x14ac:dyDescent="0.3">
      <c r="A248" s="13" t="s">
        <v>147</v>
      </c>
      <c r="B248" s="14">
        <v>0.87360730360293803</v>
      </c>
      <c r="C248" s="13" t="s">
        <v>66</v>
      </c>
      <c r="D248" s="13" t="s">
        <v>41</v>
      </c>
    </row>
    <row r="249" spans="1:4" x14ac:dyDescent="0.3">
      <c r="A249" s="13" t="s">
        <v>147</v>
      </c>
      <c r="B249" s="14">
        <v>0.93768799706933126</v>
      </c>
      <c r="C249" s="13" t="s">
        <v>67</v>
      </c>
      <c r="D249" s="13" t="s">
        <v>0</v>
      </c>
    </row>
    <row r="250" spans="1:4" x14ac:dyDescent="0.3">
      <c r="A250" s="13" t="s">
        <v>147</v>
      </c>
      <c r="B250" s="14">
        <v>0.96843185730859049</v>
      </c>
      <c r="C250" s="13" t="s">
        <v>67</v>
      </c>
      <c r="D250" s="13" t="s">
        <v>33</v>
      </c>
    </row>
    <row r="251" spans="1:4" x14ac:dyDescent="0.3">
      <c r="A251" s="13" t="s">
        <v>147</v>
      </c>
      <c r="B251" s="14">
        <v>0.79060727032562383</v>
      </c>
      <c r="C251" s="13" t="s">
        <v>67</v>
      </c>
      <c r="D251" s="13" t="s">
        <v>29</v>
      </c>
    </row>
    <row r="252" spans="1:4" x14ac:dyDescent="0.3">
      <c r="A252" s="13" t="s">
        <v>147</v>
      </c>
      <c r="B252" s="14">
        <v>0.89647031003688837</v>
      </c>
      <c r="C252" s="13" t="s">
        <v>67</v>
      </c>
      <c r="D252" s="13" t="s">
        <v>36</v>
      </c>
    </row>
    <row r="253" spans="1:4" x14ac:dyDescent="0.3">
      <c r="A253" s="13" t="s">
        <v>147</v>
      </c>
      <c r="B253" s="14">
        <v>0.94498361753299198</v>
      </c>
      <c r="C253" s="13" t="s">
        <v>67</v>
      </c>
      <c r="D253" s="13" t="s">
        <v>41</v>
      </c>
    </row>
    <row r="254" spans="1:4" x14ac:dyDescent="0.3">
      <c r="A254" s="13" t="s">
        <v>147</v>
      </c>
      <c r="B254" s="14">
        <v>0.73289252511038139</v>
      </c>
      <c r="C254" s="13" t="s">
        <v>68</v>
      </c>
      <c r="D254" s="13" t="s">
        <v>0</v>
      </c>
    </row>
    <row r="255" spans="1:4" x14ac:dyDescent="0.3">
      <c r="A255" s="13" t="s">
        <v>147</v>
      </c>
      <c r="B255" s="14">
        <v>0.46494695663125168</v>
      </c>
      <c r="C255" s="13" t="s">
        <v>69</v>
      </c>
      <c r="D255" s="13" t="s">
        <v>36</v>
      </c>
    </row>
    <row r="256" spans="1:4" x14ac:dyDescent="0.3">
      <c r="A256" s="13" t="s">
        <v>147</v>
      </c>
      <c r="B256" s="14">
        <v>0.86377341839642585</v>
      </c>
      <c r="C256" s="13" t="s">
        <v>15</v>
      </c>
      <c r="D256" s="13"/>
    </row>
    <row r="257" spans="1:4" x14ac:dyDescent="0.3">
      <c r="A257" s="13" t="s">
        <v>147</v>
      </c>
      <c r="B257" s="14">
        <v>0.42548483121372033</v>
      </c>
      <c r="C257" s="13" t="s">
        <v>15</v>
      </c>
      <c r="D257" s="13" t="s">
        <v>0</v>
      </c>
    </row>
    <row r="258" spans="1:4" x14ac:dyDescent="0.3">
      <c r="A258" s="13" t="s">
        <v>147</v>
      </c>
      <c r="B258" s="14">
        <v>0.85898529961130299</v>
      </c>
      <c r="C258" s="13" t="s">
        <v>15</v>
      </c>
      <c r="D258" s="13" t="s">
        <v>42</v>
      </c>
    </row>
    <row r="259" spans="1:4" x14ac:dyDescent="0.3">
      <c r="A259" s="13" t="s">
        <v>147</v>
      </c>
      <c r="B259" s="14">
        <v>0.94402410205851961</v>
      </c>
      <c r="C259" s="13" t="s">
        <v>15</v>
      </c>
      <c r="D259" s="13" t="s">
        <v>36</v>
      </c>
    </row>
    <row r="260" spans="1:4" x14ac:dyDescent="0.3">
      <c r="A260" s="13" t="s">
        <v>147</v>
      </c>
      <c r="B260" s="14">
        <v>0.65397192545916427</v>
      </c>
      <c r="C260" s="13" t="s">
        <v>70</v>
      </c>
      <c r="D260" s="13" t="s">
        <v>33</v>
      </c>
    </row>
    <row r="261" spans="1:4" x14ac:dyDescent="0.3">
      <c r="A261" s="13" t="s">
        <v>147</v>
      </c>
      <c r="B261" s="14">
        <v>0.98826897068499164</v>
      </c>
      <c r="C261" s="13" t="s">
        <v>43</v>
      </c>
      <c r="D261" s="13"/>
    </row>
    <row r="262" spans="1:4" x14ac:dyDescent="0.3">
      <c r="A262" s="13" t="s">
        <v>147</v>
      </c>
      <c r="B262" s="14">
        <v>0.90670478422340184</v>
      </c>
      <c r="C262" s="13" t="s">
        <v>43</v>
      </c>
      <c r="D262" s="13" t="s">
        <v>42</v>
      </c>
    </row>
    <row r="263" spans="1:4" x14ac:dyDescent="0.3">
      <c r="A263" s="13" t="s">
        <v>147</v>
      </c>
      <c r="B263" s="14">
        <v>0.83184484507471779</v>
      </c>
      <c r="C263" s="13" t="s">
        <v>71</v>
      </c>
      <c r="D263" s="13" t="s">
        <v>42</v>
      </c>
    </row>
    <row r="264" spans="1:4" x14ac:dyDescent="0.3">
      <c r="A264" s="13" t="s">
        <v>147</v>
      </c>
      <c r="B264" s="14">
        <v>0.79581522054740139</v>
      </c>
      <c r="C264" s="13" t="s">
        <v>72</v>
      </c>
      <c r="D264" s="13" t="s">
        <v>36</v>
      </c>
    </row>
    <row r="265" spans="1:4" x14ac:dyDescent="0.3">
      <c r="A265" s="13" t="s">
        <v>147</v>
      </c>
      <c r="B265" s="14">
        <v>0.8085483507909097</v>
      </c>
      <c r="C265" s="13" t="s">
        <v>73</v>
      </c>
      <c r="D265" s="13" t="s">
        <v>33</v>
      </c>
    </row>
    <row r="266" spans="1:4" x14ac:dyDescent="0.3">
      <c r="A266" s="13" t="s">
        <v>147</v>
      </c>
      <c r="B266" s="14">
        <v>0.88372852633757615</v>
      </c>
      <c r="C266" s="13" t="s">
        <v>74</v>
      </c>
      <c r="D266" s="13"/>
    </row>
    <row r="267" spans="1:4" x14ac:dyDescent="0.3">
      <c r="A267" s="13" t="s">
        <v>147</v>
      </c>
      <c r="B267" s="14">
        <v>0.76604292442382604</v>
      </c>
      <c r="C267" s="13" t="s">
        <v>74</v>
      </c>
      <c r="D267" s="13" t="s">
        <v>41</v>
      </c>
    </row>
    <row r="268" spans="1:4" x14ac:dyDescent="0.3">
      <c r="A268" s="13" t="s">
        <v>147</v>
      </c>
      <c r="B268" s="14">
        <v>0.93533790275451401</v>
      </c>
      <c r="C268" s="13" t="s">
        <v>75</v>
      </c>
      <c r="D268" s="13" t="s">
        <v>0</v>
      </c>
    </row>
    <row r="269" spans="1:4" x14ac:dyDescent="0.3">
      <c r="A269" s="13" t="s">
        <v>147</v>
      </c>
      <c r="B269" s="14">
        <v>0.92855305977479075</v>
      </c>
      <c r="C269" s="13" t="s">
        <v>75</v>
      </c>
      <c r="D269" s="13" t="s">
        <v>33</v>
      </c>
    </row>
    <row r="270" spans="1:4" x14ac:dyDescent="0.3">
      <c r="A270" s="13" t="s">
        <v>147</v>
      </c>
      <c r="B270" s="14">
        <v>0.93547344774362662</v>
      </c>
      <c r="C270" s="13" t="s">
        <v>75</v>
      </c>
      <c r="D270" s="13" t="s">
        <v>29</v>
      </c>
    </row>
    <row r="271" spans="1:4" x14ac:dyDescent="0.3">
      <c r="A271" s="13" t="s">
        <v>147</v>
      </c>
      <c r="B271" s="14">
        <v>0.64047263080582961</v>
      </c>
      <c r="C271" s="13" t="s">
        <v>76</v>
      </c>
      <c r="D271" s="13" t="s">
        <v>0</v>
      </c>
    </row>
    <row r="272" spans="1:4" x14ac:dyDescent="0.3">
      <c r="A272" s="13" t="s">
        <v>147</v>
      </c>
      <c r="B272" s="14">
        <v>0.58490154606409883</v>
      </c>
      <c r="C272" s="13" t="s">
        <v>77</v>
      </c>
      <c r="D272" s="13"/>
    </row>
    <row r="273" spans="1:4" x14ac:dyDescent="0.3">
      <c r="A273" s="13" t="s">
        <v>147</v>
      </c>
      <c r="B273" s="14">
        <v>0.40004361886323481</v>
      </c>
      <c r="C273" s="13" t="s">
        <v>77</v>
      </c>
      <c r="D273" s="13" t="s">
        <v>29</v>
      </c>
    </row>
    <row r="274" spans="1:4" x14ac:dyDescent="0.3">
      <c r="A274" s="13" t="s">
        <v>147</v>
      </c>
      <c r="B274" s="14">
        <v>0.94234047383507891</v>
      </c>
      <c r="C274" s="13" t="s">
        <v>78</v>
      </c>
      <c r="D274" s="13" t="s">
        <v>33</v>
      </c>
    </row>
    <row r="275" spans="1:4" x14ac:dyDescent="0.3">
      <c r="A275" s="13" t="s">
        <v>147</v>
      </c>
      <c r="B275" s="14">
        <v>0.94717035044362352</v>
      </c>
      <c r="C275" s="13" t="s">
        <v>78</v>
      </c>
      <c r="D275" s="13" t="s">
        <v>29</v>
      </c>
    </row>
    <row r="276" spans="1:4" x14ac:dyDescent="0.3">
      <c r="A276" s="13" t="s">
        <v>147</v>
      </c>
      <c r="B276" s="14">
        <v>0.7941623201663025</v>
      </c>
      <c r="C276" s="13" t="s">
        <v>79</v>
      </c>
      <c r="D276" s="13" t="s">
        <v>33</v>
      </c>
    </row>
    <row r="277" spans="1:4" x14ac:dyDescent="0.3">
      <c r="A277" s="13" t="s">
        <v>147</v>
      </c>
      <c r="B277" s="14">
        <v>0.95740054741471114</v>
      </c>
      <c r="C277" s="13" t="s">
        <v>22</v>
      </c>
      <c r="D277" s="13" t="s">
        <v>0</v>
      </c>
    </row>
    <row r="278" spans="1:4" x14ac:dyDescent="0.3">
      <c r="A278" s="13" t="s">
        <v>147</v>
      </c>
      <c r="B278" s="14">
        <v>0.95259730338370407</v>
      </c>
      <c r="C278" s="13" t="s">
        <v>22</v>
      </c>
      <c r="D278" s="13" t="s">
        <v>41</v>
      </c>
    </row>
    <row r="279" spans="1:4" x14ac:dyDescent="0.3">
      <c r="A279" s="13" t="s">
        <v>147</v>
      </c>
      <c r="B279" s="14">
        <v>0.45583929648864618</v>
      </c>
      <c r="C279" s="13" t="s">
        <v>80</v>
      </c>
      <c r="D279" s="13" t="s">
        <v>29</v>
      </c>
    </row>
    <row r="280" spans="1:4" x14ac:dyDescent="0.3">
      <c r="A280" s="13" t="s">
        <v>147</v>
      </c>
      <c r="B280" s="14">
        <v>0.30230129905248321</v>
      </c>
      <c r="C280" s="13" t="s">
        <v>81</v>
      </c>
      <c r="D280" s="13" t="s">
        <v>33</v>
      </c>
    </row>
    <row r="281" spans="1:4" x14ac:dyDescent="0.3">
      <c r="A281" s="13" t="s">
        <v>147</v>
      </c>
      <c r="B281" s="14">
        <v>0.82596324803962329</v>
      </c>
      <c r="C281" s="13" t="s">
        <v>82</v>
      </c>
      <c r="D281" s="13" t="s">
        <v>33</v>
      </c>
    </row>
    <row r="282" spans="1:4" x14ac:dyDescent="0.3">
      <c r="A282" s="13" t="s">
        <v>147</v>
      </c>
      <c r="B282" s="14">
        <v>0.82035079493215202</v>
      </c>
      <c r="C282" s="13" t="s">
        <v>82</v>
      </c>
      <c r="D282" s="13" t="s">
        <v>29</v>
      </c>
    </row>
    <row r="283" spans="1:4" x14ac:dyDescent="0.3">
      <c r="A283" s="13" t="s">
        <v>147</v>
      </c>
      <c r="B283" s="14">
        <v>0.80419731447214771</v>
      </c>
      <c r="C283" s="13" t="s">
        <v>82</v>
      </c>
      <c r="D283" s="13" t="s">
        <v>41</v>
      </c>
    </row>
    <row r="284" spans="1:4" x14ac:dyDescent="0.3">
      <c r="A284" s="13" t="s">
        <v>147</v>
      </c>
      <c r="B284" s="14">
        <v>0.77256732697476771</v>
      </c>
      <c r="C284" s="13" t="s">
        <v>83</v>
      </c>
      <c r="D284" s="13" t="s">
        <v>0</v>
      </c>
    </row>
    <row r="285" spans="1:4" x14ac:dyDescent="0.3">
      <c r="A285" s="13" t="s">
        <v>147</v>
      </c>
      <c r="B285" s="14">
        <v>0.8534447411480921</v>
      </c>
      <c r="C285" s="13" t="s">
        <v>83</v>
      </c>
      <c r="D285" s="13" t="s">
        <v>33</v>
      </c>
    </row>
    <row r="286" spans="1:4" x14ac:dyDescent="0.3">
      <c r="A286" s="13" t="s">
        <v>147</v>
      </c>
      <c r="B286" s="14">
        <v>0.68300239745173164</v>
      </c>
      <c r="C286" s="13" t="s">
        <v>83</v>
      </c>
      <c r="D286" s="13" t="s">
        <v>41</v>
      </c>
    </row>
    <row r="287" spans="1:4" x14ac:dyDescent="0.3">
      <c r="A287" s="13" t="s">
        <v>147</v>
      </c>
      <c r="B287" s="14">
        <v>0.70343922988426366</v>
      </c>
      <c r="C287" s="13" t="s">
        <v>84</v>
      </c>
      <c r="D287" s="13"/>
    </row>
    <row r="288" spans="1:4" x14ac:dyDescent="0.3">
      <c r="A288" s="13" t="s">
        <v>147</v>
      </c>
      <c r="B288" s="14">
        <v>0.83432856629910468</v>
      </c>
      <c r="C288" s="13" t="s">
        <v>84</v>
      </c>
      <c r="D288" s="13" t="s">
        <v>42</v>
      </c>
    </row>
    <row r="289" spans="1:4" x14ac:dyDescent="0.3">
      <c r="A289" s="13" t="s">
        <v>147</v>
      </c>
      <c r="B289" s="14">
        <v>0.89458173507357408</v>
      </c>
      <c r="C289" s="13" t="s">
        <v>85</v>
      </c>
      <c r="D289" s="13" t="s">
        <v>33</v>
      </c>
    </row>
    <row r="290" spans="1:4" x14ac:dyDescent="0.3">
      <c r="A290" s="13" t="s">
        <v>147</v>
      </c>
      <c r="B290" s="14">
        <v>0.81002856953474611</v>
      </c>
      <c r="C290" s="13" t="s">
        <v>85</v>
      </c>
      <c r="D290" s="13" t="s">
        <v>41</v>
      </c>
    </row>
    <row r="291" spans="1:4" x14ac:dyDescent="0.3">
      <c r="A291" s="13" t="s">
        <v>147</v>
      </c>
      <c r="B291" s="14">
        <v>0.93786724272879674</v>
      </c>
      <c r="C291" s="13" t="s">
        <v>86</v>
      </c>
      <c r="D291" s="13" t="s">
        <v>29</v>
      </c>
    </row>
    <row r="292" spans="1:4" x14ac:dyDescent="0.3">
      <c r="A292" s="13" t="s">
        <v>147</v>
      </c>
      <c r="B292" s="14">
        <v>0.65944239475863808</v>
      </c>
      <c r="C292" s="13" t="s">
        <v>87</v>
      </c>
      <c r="D292" s="13" t="s">
        <v>0</v>
      </c>
    </row>
    <row r="293" spans="1:4" x14ac:dyDescent="0.3">
      <c r="A293" s="13" t="s">
        <v>147</v>
      </c>
      <c r="B293" s="14">
        <v>0.33800758466743702</v>
      </c>
      <c r="C293" s="13" t="s">
        <v>87</v>
      </c>
      <c r="D293" s="13" t="s">
        <v>36</v>
      </c>
    </row>
    <row r="294" spans="1:4" x14ac:dyDescent="0.3">
      <c r="A294" s="13" t="s">
        <v>147</v>
      </c>
      <c r="B294" s="14">
        <v>0.9415910642444465</v>
      </c>
      <c r="C294" s="13" t="s">
        <v>88</v>
      </c>
      <c r="D294" s="13" t="s">
        <v>29</v>
      </c>
    </row>
    <row r="295" spans="1:4" x14ac:dyDescent="0.3">
      <c r="A295" s="13" t="s">
        <v>147</v>
      </c>
      <c r="B295" s="14">
        <v>0.82567427705160468</v>
      </c>
      <c r="C295" s="13" t="s">
        <v>89</v>
      </c>
      <c r="D295" s="13"/>
    </row>
    <row r="296" spans="1:4" x14ac:dyDescent="0.3">
      <c r="A296" s="13" t="s">
        <v>147</v>
      </c>
      <c r="B296" s="14">
        <v>0.80267085603367838</v>
      </c>
      <c r="C296" s="13" t="s">
        <v>89</v>
      </c>
      <c r="D296" s="13" t="s">
        <v>42</v>
      </c>
    </row>
    <row r="297" spans="1:4" x14ac:dyDescent="0.3">
      <c r="A297" s="13" t="s">
        <v>147</v>
      </c>
      <c r="B297" s="14">
        <v>0.67946154164966355</v>
      </c>
      <c r="C297" s="13" t="s">
        <v>89</v>
      </c>
      <c r="D297" s="13" t="s">
        <v>33</v>
      </c>
    </row>
    <row r="298" spans="1:4" x14ac:dyDescent="0.3">
      <c r="A298" s="13" t="s">
        <v>147</v>
      </c>
      <c r="B298" s="14">
        <v>0.81078408020855253</v>
      </c>
      <c r="C298" s="13" t="s">
        <v>89</v>
      </c>
      <c r="D298" s="13" t="s">
        <v>36</v>
      </c>
    </row>
    <row r="299" spans="1:4" x14ac:dyDescent="0.3">
      <c r="A299" s="13" t="s">
        <v>147</v>
      </c>
      <c r="B299" s="14">
        <v>0.48557358336730538</v>
      </c>
      <c r="C299" s="13" t="s">
        <v>89</v>
      </c>
      <c r="D299" s="13" t="s">
        <v>41</v>
      </c>
    </row>
    <row r="300" spans="1:4" x14ac:dyDescent="0.3">
      <c r="A300" s="13" t="s">
        <v>147</v>
      </c>
      <c r="B300" s="14">
        <v>0.7006741630810871</v>
      </c>
      <c r="C300" s="13" t="s">
        <v>90</v>
      </c>
      <c r="D300" s="13" t="s">
        <v>0</v>
      </c>
    </row>
    <row r="301" spans="1:4" x14ac:dyDescent="0.3">
      <c r="A301" s="13" t="s">
        <v>147</v>
      </c>
      <c r="B301" s="14">
        <v>0.83408421777111541</v>
      </c>
      <c r="C301" s="13" t="s">
        <v>90</v>
      </c>
      <c r="D301" s="13" t="s">
        <v>33</v>
      </c>
    </row>
    <row r="302" spans="1:4" x14ac:dyDescent="0.3">
      <c r="A302" s="13" t="s">
        <v>147</v>
      </c>
      <c r="B302" s="14">
        <v>0.81036254494315185</v>
      </c>
      <c r="C302" s="13" t="s">
        <v>90</v>
      </c>
      <c r="D302" s="13" t="s">
        <v>29</v>
      </c>
    </row>
    <row r="303" spans="1:4" x14ac:dyDescent="0.3">
      <c r="A303" s="13" t="s">
        <v>147</v>
      </c>
      <c r="B303" s="14">
        <v>0.7089377931851093</v>
      </c>
      <c r="C303" s="13" t="s">
        <v>90</v>
      </c>
      <c r="D303" s="13" t="s">
        <v>36</v>
      </c>
    </row>
    <row r="304" spans="1:4" x14ac:dyDescent="0.3">
      <c r="A304" s="13" t="s">
        <v>147</v>
      </c>
      <c r="B304" s="14">
        <v>0.77674541943861253</v>
      </c>
      <c r="C304" s="13" t="s">
        <v>90</v>
      </c>
      <c r="D304" s="13" t="s">
        <v>41</v>
      </c>
    </row>
    <row r="305" spans="1:4" x14ac:dyDescent="0.3">
      <c r="A305" s="13" t="s">
        <v>147</v>
      </c>
      <c r="B305" s="14">
        <v>0.9586684878819931</v>
      </c>
      <c r="C305" s="13" t="s">
        <v>91</v>
      </c>
      <c r="D305" s="13" t="s">
        <v>29</v>
      </c>
    </row>
    <row r="306" spans="1:4" x14ac:dyDescent="0.3">
      <c r="A306" s="13" t="s">
        <v>147</v>
      </c>
      <c r="B306" s="14">
        <v>0.79764285506939236</v>
      </c>
      <c r="C306" s="13" t="s">
        <v>92</v>
      </c>
      <c r="D306" s="13" t="s">
        <v>42</v>
      </c>
    </row>
    <row r="307" spans="1:4" x14ac:dyDescent="0.3">
      <c r="A307" s="13" t="s">
        <v>147</v>
      </c>
      <c r="B307" s="14">
        <v>0.68428418864839979</v>
      </c>
      <c r="C307" s="13" t="s">
        <v>93</v>
      </c>
      <c r="D307" s="13" t="s">
        <v>33</v>
      </c>
    </row>
    <row r="308" spans="1:4" x14ac:dyDescent="0.3">
      <c r="A308" s="13" t="s">
        <v>147</v>
      </c>
      <c r="B308" s="14">
        <v>0.78187438475229587</v>
      </c>
      <c r="C308" s="13" t="s">
        <v>94</v>
      </c>
      <c r="D308" s="13" t="s">
        <v>42</v>
      </c>
    </row>
    <row r="309" spans="1:4" x14ac:dyDescent="0.3">
      <c r="A309" s="13" t="s">
        <v>147</v>
      </c>
      <c r="B309" s="14">
        <v>1</v>
      </c>
      <c r="C309" s="13" t="s">
        <v>95</v>
      </c>
      <c r="D309" s="13" t="s">
        <v>41</v>
      </c>
    </row>
    <row r="310" spans="1:4" x14ac:dyDescent="0.3">
      <c r="A310" s="13" t="s">
        <v>147</v>
      </c>
      <c r="B310" s="14">
        <v>0.89042630275978429</v>
      </c>
      <c r="C310" s="13" t="s">
        <v>96</v>
      </c>
      <c r="D310" s="13" t="s">
        <v>33</v>
      </c>
    </row>
    <row r="311" spans="1:4" x14ac:dyDescent="0.3">
      <c r="A311" s="13" t="s">
        <v>147</v>
      </c>
      <c r="B311" s="14">
        <v>0.63577034263837107</v>
      </c>
      <c r="C311" s="13" t="s">
        <v>97</v>
      </c>
      <c r="D311" s="13" t="s">
        <v>41</v>
      </c>
    </row>
    <row r="312" spans="1:4" x14ac:dyDescent="0.3">
      <c r="A312" s="13" t="s">
        <v>147</v>
      </c>
      <c r="B312" s="14">
        <v>0.94746858259337785</v>
      </c>
      <c r="C312" s="13" t="s">
        <v>23</v>
      </c>
      <c r="D312" s="13" t="s">
        <v>0</v>
      </c>
    </row>
    <row r="313" spans="1:4" x14ac:dyDescent="0.3">
      <c r="A313" s="13" t="s">
        <v>147</v>
      </c>
      <c r="B313" s="14">
        <v>0.96831928476252527</v>
      </c>
      <c r="C313" s="13" t="s">
        <v>38</v>
      </c>
      <c r="D313" s="13" t="s">
        <v>42</v>
      </c>
    </row>
    <row r="314" spans="1:4" x14ac:dyDescent="0.3">
      <c r="A314" s="13" t="s">
        <v>147</v>
      </c>
      <c r="B314" s="14">
        <v>0.9042597190624746</v>
      </c>
      <c r="C314" s="13" t="s">
        <v>38</v>
      </c>
      <c r="D314" s="13" t="s">
        <v>36</v>
      </c>
    </row>
    <row r="315" spans="1:4" x14ac:dyDescent="0.3">
      <c r="A315" s="13" t="s">
        <v>147</v>
      </c>
      <c r="B315" s="14">
        <v>0.74286257223308094</v>
      </c>
      <c r="C315" s="13" t="s">
        <v>98</v>
      </c>
      <c r="D315" s="13" t="s">
        <v>29</v>
      </c>
    </row>
    <row r="316" spans="1:4" x14ac:dyDescent="0.3">
      <c r="A316" s="13" t="s">
        <v>147</v>
      </c>
      <c r="B316" s="14">
        <v>0.92659708490323234</v>
      </c>
      <c r="C316" s="13" t="s">
        <v>99</v>
      </c>
      <c r="D316" s="13" t="s">
        <v>42</v>
      </c>
    </row>
    <row r="317" spans="1:4" x14ac:dyDescent="0.3">
      <c r="A317" s="13" t="s">
        <v>147</v>
      </c>
      <c r="B317" s="14">
        <v>0.64375778329214239</v>
      </c>
      <c r="C317" s="13" t="s">
        <v>100</v>
      </c>
      <c r="D317" s="13" t="s">
        <v>42</v>
      </c>
    </row>
    <row r="318" spans="1:4" x14ac:dyDescent="0.3">
      <c r="A318" s="13" t="s">
        <v>147</v>
      </c>
      <c r="B318" s="14">
        <v>0.29972487480599153</v>
      </c>
      <c r="C318" s="13" t="s">
        <v>101</v>
      </c>
      <c r="D318" s="13" t="s">
        <v>36</v>
      </c>
    </row>
    <row r="319" spans="1:4" x14ac:dyDescent="0.3">
      <c r="A319" s="13" t="s">
        <v>147</v>
      </c>
      <c r="B319" s="14">
        <v>0.84796348734007865</v>
      </c>
      <c r="C319" s="13" t="s">
        <v>102</v>
      </c>
      <c r="D319" s="13" t="s">
        <v>0</v>
      </c>
    </row>
    <row r="320" spans="1:4" x14ac:dyDescent="0.3">
      <c r="A320" s="13" t="s">
        <v>147</v>
      </c>
      <c r="B320" s="14">
        <v>0.76301571424284864</v>
      </c>
      <c r="C320" s="13" t="s">
        <v>102</v>
      </c>
      <c r="D320" s="13" t="s">
        <v>42</v>
      </c>
    </row>
    <row r="321" spans="1:4" x14ac:dyDescent="0.3">
      <c r="A321" s="13" t="s">
        <v>147</v>
      </c>
      <c r="B321" s="14">
        <v>0.93972992005493616</v>
      </c>
      <c r="C321" s="13" t="s">
        <v>102</v>
      </c>
      <c r="D321" s="13" t="s">
        <v>33</v>
      </c>
    </row>
    <row r="322" spans="1:4" x14ac:dyDescent="0.3">
      <c r="A322" s="13" t="s">
        <v>147</v>
      </c>
      <c r="B322" s="14">
        <v>0.86256447574648742</v>
      </c>
      <c r="C322" s="13" t="s">
        <v>102</v>
      </c>
      <c r="D322" s="13" t="s">
        <v>29</v>
      </c>
    </row>
    <row r="323" spans="1:4" x14ac:dyDescent="0.3">
      <c r="A323" s="13" t="s">
        <v>147</v>
      </c>
      <c r="B323" s="14">
        <v>0.87072650456731371</v>
      </c>
      <c r="C323" s="13" t="s">
        <v>102</v>
      </c>
      <c r="D323" s="13" t="s">
        <v>36</v>
      </c>
    </row>
    <row r="324" spans="1:4" x14ac:dyDescent="0.3">
      <c r="A324" s="13" t="s">
        <v>147</v>
      </c>
      <c r="B324" s="14">
        <v>0.86341495905355492</v>
      </c>
      <c r="C324" s="13" t="s">
        <v>102</v>
      </c>
      <c r="D324" s="13" t="s">
        <v>41</v>
      </c>
    </row>
    <row r="325" spans="1:4" x14ac:dyDescent="0.3">
      <c r="A325" s="13" t="s">
        <v>147</v>
      </c>
      <c r="B325" s="14">
        <v>0.79708941040615278</v>
      </c>
      <c r="C325" s="13" t="s">
        <v>103</v>
      </c>
      <c r="D325" s="13" t="s">
        <v>0</v>
      </c>
    </row>
    <row r="326" spans="1:4" x14ac:dyDescent="0.3">
      <c r="A326" s="13" t="s">
        <v>147</v>
      </c>
      <c r="B326" s="14">
        <v>0.90150101047643816</v>
      </c>
      <c r="C326" s="13" t="s">
        <v>103</v>
      </c>
      <c r="D326" s="13" t="s">
        <v>33</v>
      </c>
    </row>
    <row r="327" spans="1:4" x14ac:dyDescent="0.3">
      <c r="A327" s="13" t="s">
        <v>147</v>
      </c>
      <c r="B327" s="14">
        <v>0.87945625514844261</v>
      </c>
      <c r="C327" s="13" t="s">
        <v>103</v>
      </c>
      <c r="D327" s="13" t="s">
        <v>29</v>
      </c>
    </row>
    <row r="328" spans="1:4" x14ac:dyDescent="0.3">
      <c r="A328" s="13" t="s">
        <v>147</v>
      </c>
      <c r="B328" s="14">
        <v>0.84910141799959649</v>
      </c>
      <c r="C328" s="13" t="s">
        <v>103</v>
      </c>
      <c r="D328" s="13" t="s">
        <v>36</v>
      </c>
    </row>
    <row r="329" spans="1:4" x14ac:dyDescent="0.3">
      <c r="A329" s="13" t="s">
        <v>147</v>
      </c>
      <c r="B329" s="14">
        <v>0.93768968537688446</v>
      </c>
      <c r="C329" s="13" t="s">
        <v>103</v>
      </c>
      <c r="D329" s="13" t="s">
        <v>41</v>
      </c>
    </row>
    <row r="330" spans="1:4" x14ac:dyDescent="0.3">
      <c r="A330" s="13" t="s">
        <v>147</v>
      </c>
      <c r="B330" s="14">
        <v>0.64109037515521738</v>
      </c>
      <c r="C330" s="13" t="s">
        <v>104</v>
      </c>
      <c r="D330" s="13" t="s">
        <v>41</v>
      </c>
    </row>
    <row r="331" spans="1:4" x14ac:dyDescent="0.3">
      <c r="A331" s="13" t="s">
        <v>147</v>
      </c>
      <c r="B331" s="14">
        <v>0.82517760408467467</v>
      </c>
      <c r="C331" s="13" t="s">
        <v>105</v>
      </c>
      <c r="D331" s="13" t="s">
        <v>33</v>
      </c>
    </row>
    <row r="332" spans="1:4" x14ac:dyDescent="0.3">
      <c r="A332" s="13" t="s">
        <v>147</v>
      </c>
      <c r="B332" s="14">
        <v>0.89512672408550131</v>
      </c>
      <c r="C332" s="13" t="s">
        <v>105</v>
      </c>
      <c r="D332" s="13" t="s">
        <v>29</v>
      </c>
    </row>
    <row r="333" spans="1:4" x14ac:dyDescent="0.3">
      <c r="A333" s="13" t="s">
        <v>147</v>
      </c>
      <c r="B333" s="14">
        <v>0.88438477280654615</v>
      </c>
      <c r="C333" s="13" t="s">
        <v>105</v>
      </c>
      <c r="D333" s="13" t="s">
        <v>41</v>
      </c>
    </row>
    <row r="334" spans="1:4" x14ac:dyDescent="0.3">
      <c r="A334" s="13" t="s">
        <v>147</v>
      </c>
      <c r="B334" s="14">
        <v>0.24847956891520939</v>
      </c>
      <c r="C334" s="13" t="s">
        <v>106</v>
      </c>
      <c r="D334" s="13" t="s">
        <v>0</v>
      </c>
    </row>
    <row r="335" spans="1:4" x14ac:dyDescent="0.3">
      <c r="A335" s="13" t="s">
        <v>147</v>
      </c>
      <c r="B335" s="14">
        <v>0.95166983543220396</v>
      </c>
      <c r="C335" s="13" t="s">
        <v>107</v>
      </c>
      <c r="D335" s="13" t="s">
        <v>41</v>
      </c>
    </row>
    <row r="336" spans="1:4" x14ac:dyDescent="0.3">
      <c r="A336" s="13" t="s">
        <v>147</v>
      </c>
      <c r="B336" s="14">
        <v>0.83971367942928876</v>
      </c>
      <c r="C336" s="13" t="s">
        <v>108</v>
      </c>
      <c r="D336" s="13" t="s">
        <v>29</v>
      </c>
    </row>
    <row r="337" spans="1:4" x14ac:dyDescent="0.3">
      <c r="A337" s="13" t="s">
        <v>147</v>
      </c>
      <c r="B337" s="14">
        <v>0.64903258764594707</v>
      </c>
      <c r="C337" s="13" t="s">
        <v>24</v>
      </c>
      <c r="D337" s="13"/>
    </row>
    <row r="338" spans="1:4" x14ac:dyDescent="0.3">
      <c r="A338" s="13" t="s">
        <v>147</v>
      </c>
      <c r="B338" s="14">
        <v>0.45775996658243129</v>
      </c>
      <c r="C338" s="13" t="s">
        <v>24</v>
      </c>
      <c r="D338" s="13" t="s">
        <v>0</v>
      </c>
    </row>
    <row r="339" spans="1:4" x14ac:dyDescent="0.3">
      <c r="A339" s="13" t="s">
        <v>147</v>
      </c>
      <c r="B339" s="14">
        <v>0.6954503262245787</v>
      </c>
      <c r="C339" s="13" t="s">
        <v>24</v>
      </c>
      <c r="D339" s="13" t="s">
        <v>42</v>
      </c>
    </row>
    <row r="340" spans="1:4" x14ac:dyDescent="0.3">
      <c r="A340" s="13" t="s">
        <v>147</v>
      </c>
      <c r="B340" s="14">
        <v>0.70129199187559588</v>
      </c>
      <c r="C340" s="13" t="s">
        <v>24</v>
      </c>
      <c r="D340" s="13" t="s">
        <v>33</v>
      </c>
    </row>
    <row r="341" spans="1:4" x14ac:dyDescent="0.3">
      <c r="A341" s="13" t="s">
        <v>147</v>
      </c>
      <c r="B341" s="14">
        <v>0.77814847466271331</v>
      </c>
      <c r="C341" s="13" t="s">
        <v>109</v>
      </c>
      <c r="D341" s="13" t="s">
        <v>41</v>
      </c>
    </row>
    <row r="342" spans="1:4" x14ac:dyDescent="0.3">
      <c r="A342" s="13" t="s">
        <v>147</v>
      </c>
      <c r="B342" s="14">
        <v>0.91648171653210586</v>
      </c>
      <c r="C342" s="13" t="s">
        <v>110</v>
      </c>
      <c r="D342" s="13" t="s">
        <v>0</v>
      </c>
    </row>
    <row r="343" spans="1:4" x14ac:dyDescent="0.3">
      <c r="A343" s="13" t="s">
        <v>147</v>
      </c>
      <c r="B343" s="14">
        <v>0.91882393442026111</v>
      </c>
      <c r="C343" s="13" t="s">
        <v>110</v>
      </c>
      <c r="D343" s="13" t="s">
        <v>33</v>
      </c>
    </row>
    <row r="344" spans="1:4" x14ac:dyDescent="0.3">
      <c r="A344" s="13" t="s">
        <v>147</v>
      </c>
      <c r="B344" s="14">
        <v>0.92624186338598813</v>
      </c>
      <c r="C344" s="13" t="s">
        <v>110</v>
      </c>
      <c r="D344" s="13" t="s">
        <v>29</v>
      </c>
    </row>
    <row r="345" spans="1:4" x14ac:dyDescent="0.3">
      <c r="A345" s="13" t="s">
        <v>147</v>
      </c>
      <c r="B345" s="14">
        <v>0.84739068864657341</v>
      </c>
      <c r="C345" s="13" t="s">
        <v>110</v>
      </c>
      <c r="D345" s="13" t="s">
        <v>36</v>
      </c>
    </row>
    <row r="346" spans="1:4" x14ac:dyDescent="0.3">
      <c r="A346" s="13" t="s">
        <v>147</v>
      </c>
      <c r="B346" s="14">
        <v>0.92971578922057108</v>
      </c>
      <c r="C346" s="13" t="s">
        <v>110</v>
      </c>
      <c r="D346" s="13" t="s">
        <v>41</v>
      </c>
    </row>
    <row r="347" spans="1:4" x14ac:dyDescent="0.3">
      <c r="A347" s="13" t="s">
        <v>147</v>
      </c>
      <c r="B347" s="14">
        <v>0.88114174620007057</v>
      </c>
      <c r="C347" s="13" t="s">
        <v>111</v>
      </c>
      <c r="D347" s="13" t="s">
        <v>33</v>
      </c>
    </row>
    <row r="348" spans="1:4" x14ac:dyDescent="0.3">
      <c r="A348" s="13" t="s">
        <v>147</v>
      </c>
      <c r="B348" s="14">
        <v>0.85510320242417037</v>
      </c>
      <c r="C348" s="13" t="s">
        <v>111</v>
      </c>
      <c r="D348" s="13" t="s">
        <v>29</v>
      </c>
    </row>
    <row r="349" spans="1:4" x14ac:dyDescent="0.3">
      <c r="A349" s="13" t="s">
        <v>147</v>
      </c>
      <c r="B349" s="14">
        <v>0.80247340134685152</v>
      </c>
      <c r="C349" s="13" t="s">
        <v>111</v>
      </c>
      <c r="D349" s="13" t="s">
        <v>41</v>
      </c>
    </row>
    <row r="350" spans="1:4" x14ac:dyDescent="0.3">
      <c r="A350" s="13" t="s">
        <v>147</v>
      </c>
      <c r="B350" s="14">
        <v>0.92901252448336635</v>
      </c>
      <c r="C350" s="13" t="s">
        <v>112</v>
      </c>
      <c r="D350" s="13" t="s">
        <v>0</v>
      </c>
    </row>
    <row r="351" spans="1:4" x14ac:dyDescent="0.3">
      <c r="A351" s="13" t="s">
        <v>147</v>
      </c>
      <c r="B351" s="14">
        <v>0.86120869446430981</v>
      </c>
      <c r="C351" s="13" t="s">
        <v>112</v>
      </c>
      <c r="D351" s="13" t="s">
        <v>42</v>
      </c>
    </row>
    <row r="352" spans="1:4" x14ac:dyDescent="0.3">
      <c r="A352" s="13" t="s">
        <v>147</v>
      </c>
      <c r="B352" s="14">
        <v>0.92863577138551168</v>
      </c>
      <c r="C352" s="13" t="s">
        <v>112</v>
      </c>
      <c r="D352" s="13" t="s">
        <v>33</v>
      </c>
    </row>
    <row r="353" spans="1:4" x14ac:dyDescent="0.3">
      <c r="A353" s="13" t="s">
        <v>147</v>
      </c>
      <c r="B353" s="14">
        <v>0.92763763600237736</v>
      </c>
      <c r="C353" s="13" t="s">
        <v>112</v>
      </c>
      <c r="D353" s="13" t="s">
        <v>29</v>
      </c>
    </row>
    <row r="354" spans="1:4" x14ac:dyDescent="0.3">
      <c r="A354" s="13" t="s">
        <v>147</v>
      </c>
      <c r="B354" s="14">
        <v>0.92005334383085435</v>
      </c>
      <c r="C354" s="13" t="s">
        <v>112</v>
      </c>
      <c r="D354" s="13" t="s">
        <v>36</v>
      </c>
    </row>
    <row r="355" spans="1:4" x14ac:dyDescent="0.3">
      <c r="A355" s="13" t="s">
        <v>147</v>
      </c>
      <c r="B355" s="14">
        <v>0.92225415032613878</v>
      </c>
      <c r="C355" s="13" t="s">
        <v>112</v>
      </c>
      <c r="D355" s="13" t="s">
        <v>41</v>
      </c>
    </row>
    <row r="356" spans="1:4" x14ac:dyDescent="0.3">
      <c r="A356" s="13" t="s">
        <v>147</v>
      </c>
      <c r="B356" s="14">
        <v>0.94475832107100932</v>
      </c>
      <c r="C356" s="13" t="s">
        <v>113</v>
      </c>
      <c r="D356" s="13" t="s">
        <v>41</v>
      </c>
    </row>
    <row r="357" spans="1:4" x14ac:dyDescent="0.3">
      <c r="A357" s="13" t="s">
        <v>147</v>
      </c>
      <c r="B357" s="14">
        <v>0.8084268038357022</v>
      </c>
      <c r="C357" s="13" t="s">
        <v>35</v>
      </c>
      <c r="D357" s="13" t="s">
        <v>33</v>
      </c>
    </row>
    <row r="358" spans="1:4" x14ac:dyDescent="0.3">
      <c r="A358" s="13" t="s">
        <v>147</v>
      </c>
      <c r="B358" s="14">
        <v>0.96914923901748562</v>
      </c>
      <c r="C358" s="13" t="s">
        <v>31</v>
      </c>
      <c r="D358" s="13" t="s">
        <v>33</v>
      </c>
    </row>
    <row r="359" spans="1:4" x14ac:dyDescent="0.3">
      <c r="A359" s="13" t="s">
        <v>147</v>
      </c>
      <c r="B359" s="14">
        <v>0.93485049841842038</v>
      </c>
      <c r="C359" s="13" t="s">
        <v>31</v>
      </c>
      <c r="D359" s="13" t="s">
        <v>29</v>
      </c>
    </row>
    <row r="360" spans="1:4" x14ac:dyDescent="0.3">
      <c r="A360" s="13" t="s">
        <v>147</v>
      </c>
      <c r="B360" s="14">
        <v>0.80861702460539409</v>
      </c>
      <c r="C360" s="13" t="s">
        <v>114</v>
      </c>
      <c r="D360" s="13" t="s">
        <v>29</v>
      </c>
    </row>
    <row r="361" spans="1:4" x14ac:dyDescent="0.3">
      <c r="A361" s="13" t="s">
        <v>147</v>
      </c>
      <c r="B361" s="14">
        <v>0.96941421404456718</v>
      </c>
      <c r="C361" s="13" t="s">
        <v>39</v>
      </c>
      <c r="D361" s="13" t="s">
        <v>36</v>
      </c>
    </row>
    <row r="362" spans="1:4" x14ac:dyDescent="0.3">
      <c r="A362" s="13" t="s">
        <v>147</v>
      </c>
      <c r="B362" s="14">
        <v>0.89159282087931702</v>
      </c>
      <c r="C362" s="13" t="s">
        <v>115</v>
      </c>
      <c r="D362" s="13" t="s">
        <v>0</v>
      </c>
    </row>
    <row r="363" spans="1:4" x14ac:dyDescent="0.3">
      <c r="A363" s="13" t="s">
        <v>147</v>
      </c>
      <c r="B363" s="14">
        <v>0.9802305745183103</v>
      </c>
      <c r="C363" s="13" t="s">
        <v>115</v>
      </c>
      <c r="D363" s="13" t="s">
        <v>42</v>
      </c>
    </row>
    <row r="364" spans="1:4" x14ac:dyDescent="0.3">
      <c r="A364" s="13" t="s">
        <v>147</v>
      </c>
      <c r="B364" s="14">
        <v>0.93505609383185051</v>
      </c>
      <c r="C364" s="13" t="s">
        <v>115</v>
      </c>
      <c r="D364" s="13" t="s">
        <v>33</v>
      </c>
    </row>
    <row r="365" spans="1:4" x14ac:dyDescent="0.3">
      <c r="A365" s="13" t="s">
        <v>147</v>
      </c>
      <c r="B365" s="14">
        <v>0.87858530093984755</v>
      </c>
      <c r="C365" s="13" t="s">
        <v>115</v>
      </c>
      <c r="D365" s="13" t="s">
        <v>29</v>
      </c>
    </row>
    <row r="366" spans="1:4" x14ac:dyDescent="0.3">
      <c r="A366" s="13" t="s">
        <v>147</v>
      </c>
      <c r="B366" s="14">
        <v>0.92445599324135685</v>
      </c>
      <c r="C366" s="13" t="s">
        <v>115</v>
      </c>
      <c r="D366" s="13" t="s">
        <v>36</v>
      </c>
    </row>
    <row r="367" spans="1:4" x14ac:dyDescent="0.3">
      <c r="A367" s="13" t="s">
        <v>147</v>
      </c>
      <c r="B367" s="14">
        <v>0.90909701062632942</v>
      </c>
      <c r="C367" s="13" t="s">
        <v>115</v>
      </c>
      <c r="D367" s="13" t="s">
        <v>41</v>
      </c>
    </row>
    <row r="368" spans="1:4" x14ac:dyDescent="0.3">
      <c r="A368" s="13" t="s">
        <v>147</v>
      </c>
      <c r="B368" s="14">
        <v>0.84654840927331843</v>
      </c>
      <c r="C368" s="13" t="s">
        <v>25</v>
      </c>
      <c r="D368" s="13"/>
    </row>
    <row r="369" spans="1:4" x14ac:dyDescent="0.3">
      <c r="A369" s="13" t="s">
        <v>147</v>
      </c>
      <c r="B369" s="14">
        <v>0.92549070224161489</v>
      </c>
      <c r="C369" s="13" t="s">
        <v>25</v>
      </c>
      <c r="D369" s="13" t="s">
        <v>0</v>
      </c>
    </row>
    <row r="370" spans="1:4" x14ac:dyDescent="0.3">
      <c r="A370" s="13" t="s">
        <v>147</v>
      </c>
      <c r="B370" s="14">
        <v>0.68417169445627624</v>
      </c>
      <c r="C370" s="13" t="s">
        <v>116</v>
      </c>
      <c r="D370" s="13" t="s">
        <v>0</v>
      </c>
    </row>
    <row r="371" spans="1:4" x14ac:dyDescent="0.3">
      <c r="A371" s="13" t="s">
        <v>147</v>
      </c>
      <c r="B371" s="14">
        <v>0.97273301796507683</v>
      </c>
      <c r="C371" s="13" t="s">
        <v>117</v>
      </c>
      <c r="D371" s="13" t="s">
        <v>29</v>
      </c>
    </row>
    <row r="372" spans="1:4" x14ac:dyDescent="0.3">
      <c r="A372" s="13" t="s">
        <v>147</v>
      </c>
      <c r="B372" s="14">
        <v>0.91621197790031972</v>
      </c>
      <c r="C372" s="13" t="s">
        <v>26</v>
      </c>
      <c r="D372" s="13" t="s">
        <v>0</v>
      </c>
    </row>
    <row r="373" spans="1:4" x14ac:dyDescent="0.3">
      <c r="A373" s="13" t="s">
        <v>147</v>
      </c>
      <c r="B373" s="14">
        <v>0.84850630358433043</v>
      </c>
      <c r="C373" s="13" t="s">
        <v>26</v>
      </c>
      <c r="D373" s="13" t="s">
        <v>33</v>
      </c>
    </row>
    <row r="374" spans="1:4" x14ac:dyDescent="0.3">
      <c r="A374" s="13" t="s">
        <v>147</v>
      </c>
      <c r="B374" s="14">
        <v>0.84130288922083951</v>
      </c>
      <c r="C374" s="13" t="s">
        <v>26</v>
      </c>
      <c r="D374" s="13" t="s">
        <v>29</v>
      </c>
    </row>
    <row r="375" spans="1:4" x14ac:dyDescent="0.3">
      <c r="A375" s="13" t="s">
        <v>147</v>
      </c>
      <c r="B375" s="14">
        <v>0.93055965990097866</v>
      </c>
      <c r="C375" s="13" t="s">
        <v>26</v>
      </c>
      <c r="D375" s="13" t="s">
        <v>36</v>
      </c>
    </row>
    <row r="376" spans="1:4" x14ac:dyDescent="0.3">
      <c r="A376" s="13" t="s">
        <v>147</v>
      </c>
      <c r="B376" s="14">
        <v>0.4319507735837021</v>
      </c>
      <c r="C376" s="13" t="s">
        <v>118</v>
      </c>
      <c r="D376" s="13" t="s">
        <v>29</v>
      </c>
    </row>
    <row r="377" spans="1:4" x14ac:dyDescent="0.3">
      <c r="A377" s="13" t="s">
        <v>147</v>
      </c>
      <c r="B377" s="14">
        <v>0.66446760284319895</v>
      </c>
      <c r="C377" s="13" t="s">
        <v>119</v>
      </c>
      <c r="D377" s="13" t="s">
        <v>42</v>
      </c>
    </row>
    <row r="378" spans="1:4" x14ac:dyDescent="0.3">
      <c r="A378" s="13" t="s">
        <v>147</v>
      </c>
      <c r="B378" s="14">
        <v>0.97764232286171127</v>
      </c>
      <c r="C378" s="13" t="s">
        <v>120</v>
      </c>
      <c r="D378" s="13" t="s">
        <v>41</v>
      </c>
    </row>
    <row r="379" spans="1:4" x14ac:dyDescent="0.3">
      <c r="A379" s="13" t="s">
        <v>147</v>
      </c>
      <c r="B379" s="14">
        <v>0.86862550964982854</v>
      </c>
      <c r="C379" s="13" t="s">
        <v>121</v>
      </c>
      <c r="D379" s="13"/>
    </row>
    <row r="380" spans="1:4" x14ac:dyDescent="0.3">
      <c r="A380" s="13" t="s">
        <v>147</v>
      </c>
      <c r="B380" s="14">
        <v>0.77678757384614028</v>
      </c>
      <c r="C380" s="13" t="s">
        <v>121</v>
      </c>
      <c r="D380" s="13" t="s">
        <v>0</v>
      </c>
    </row>
    <row r="381" spans="1:4" x14ac:dyDescent="0.3">
      <c r="A381" s="13" t="s">
        <v>147</v>
      </c>
      <c r="B381" s="14">
        <v>0.79886208371887191</v>
      </c>
      <c r="C381" s="13" t="s">
        <v>122</v>
      </c>
      <c r="D381" s="13" t="s">
        <v>42</v>
      </c>
    </row>
    <row r="382" spans="1:4" x14ac:dyDescent="0.3">
      <c r="A382" s="13" t="s">
        <v>147</v>
      </c>
      <c r="B382" s="14">
        <v>0.63082659600612445</v>
      </c>
      <c r="C382" s="13" t="s">
        <v>123</v>
      </c>
      <c r="D382" s="13" t="s">
        <v>29</v>
      </c>
    </row>
    <row r="383" spans="1:4" x14ac:dyDescent="0.3">
      <c r="A383" s="13" t="s">
        <v>147</v>
      </c>
      <c r="B383" s="14">
        <v>0.94904500259088342</v>
      </c>
      <c r="C383" s="13" t="s">
        <v>124</v>
      </c>
      <c r="D383" s="13" t="s">
        <v>0</v>
      </c>
    </row>
    <row r="384" spans="1:4" x14ac:dyDescent="0.3">
      <c r="A384" s="13" t="s">
        <v>147</v>
      </c>
      <c r="B384" s="14">
        <v>0.82247231701157908</v>
      </c>
      <c r="C384" s="13" t="s">
        <v>124</v>
      </c>
      <c r="D384" s="13" t="s">
        <v>42</v>
      </c>
    </row>
    <row r="385" spans="1:4" x14ac:dyDescent="0.3">
      <c r="A385" s="13" t="s">
        <v>147</v>
      </c>
      <c r="B385" s="14">
        <v>0.93841022577989464</v>
      </c>
      <c r="C385" s="13" t="s">
        <v>124</v>
      </c>
      <c r="D385" s="13" t="s">
        <v>33</v>
      </c>
    </row>
    <row r="386" spans="1:4" x14ac:dyDescent="0.3">
      <c r="A386" s="13" t="s">
        <v>147</v>
      </c>
      <c r="B386" s="14">
        <v>0.94282604332032161</v>
      </c>
      <c r="C386" s="13" t="s">
        <v>124</v>
      </c>
      <c r="D386" s="13" t="s">
        <v>29</v>
      </c>
    </row>
    <row r="387" spans="1:4" x14ac:dyDescent="0.3">
      <c r="A387" s="13" t="s">
        <v>147</v>
      </c>
      <c r="B387" s="14">
        <v>0.93505371620905431</v>
      </c>
      <c r="C387" s="13" t="s">
        <v>124</v>
      </c>
      <c r="D387" s="13" t="s">
        <v>36</v>
      </c>
    </row>
    <row r="388" spans="1:4" x14ac:dyDescent="0.3">
      <c r="A388" s="13" t="s">
        <v>147</v>
      </c>
      <c r="B388" s="14">
        <v>0.93176229426442003</v>
      </c>
      <c r="C388" s="13" t="s">
        <v>124</v>
      </c>
      <c r="D388" s="13" t="s">
        <v>41</v>
      </c>
    </row>
    <row r="389" spans="1:4" x14ac:dyDescent="0.3">
      <c r="A389" s="13" t="s">
        <v>147</v>
      </c>
      <c r="B389" s="14">
        <v>0.58359614894437051</v>
      </c>
      <c r="C389" s="13" t="s">
        <v>125</v>
      </c>
      <c r="D389" s="13" t="s">
        <v>41</v>
      </c>
    </row>
    <row r="390" spans="1:4" x14ac:dyDescent="0.3">
      <c r="A390" s="13" t="s">
        <v>147</v>
      </c>
      <c r="B390" s="14">
        <v>0.94525443218718996</v>
      </c>
      <c r="C390" s="13" t="s">
        <v>126</v>
      </c>
      <c r="D390" s="13" t="s">
        <v>36</v>
      </c>
    </row>
    <row r="391" spans="1:4" x14ac:dyDescent="0.3">
      <c r="A391" s="13" t="s">
        <v>147</v>
      </c>
      <c r="B391" s="14">
        <v>0.88189657555465595</v>
      </c>
      <c r="C391" s="13" t="s">
        <v>127</v>
      </c>
      <c r="D391" s="13" t="s">
        <v>41</v>
      </c>
    </row>
    <row r="392" spans="1:4" x14ac:dyDescent="0.3">
      <c r="A392" s="13" t="s">
        <v>147</v>
      </c>
      <c r="B392" s="14">
        <v>0.9579758892641943</v>
      </c>
      <c r="C392" s="13" t="s">
        <v>128</v>
      </c>
      <c r="D392" s="13" t="s">
        <v>0</v>
      </c>
    </row>
    <row r="393" spans="1:4" x14ac:dyDescent="0.3">
      <c r="A393" s="13" t="s">
        <v>147</v>
      </c>
      <c r="B393" s="14">
        <v>0.95860479709567481</v>
      </c>
      <c r="C393" s="13" t="s">
        <v>128</v>
      </c>
      <c r="D393" s="13" t="s">
        <v>33</v>
      </c>
    </row>
    <row r="394" spans="1:4" x14ac:dyDescent="0.3">
      <c r="A394" s="13" t="s">
        <v>147</v>
      </c>
      <c r="B394" s="14">
        <v>0.93481529538757036</v>
      </c>
      <c r="C394" s="13" t="s">
        <v>128</v>
      </c>
      <c r="D394" s="13" t="s">
        <v>29</v>
      </c>
    </row>
    <row r="395" spans="1:4" x14ac:dyDescent="0.3">
      <c r="A395" s="13" t="s">
        <v>147</v>
      </c>
      <c r="B395" s="14">
        <v>0.95356798854360125</v>
      </c>
      <c r="C395" s="13" t="s">
        <v>128</v>
      </c>
      <c r="D395" s="13" t="s">
        <v>41</v>
      </c>
    </row>
    <row r="396" spans="1:4" x14ac:dyDescent="0.3">
      <c r="A396" s="13" t="s">
        <v>147</v>
      </c>
      <c r="B396" s="14">
        <v>0.89268297320574319</v>
      </c>
      <c r="C396" s="13" t="s">
        <v>129</v>
      </c>
      <c r="D396" s="13" t="s">
        <v>29</v>
      </c>
    </row>
    <row r="397" spans="1:4" x14ac:dyDescent="0.3">
      <c r="A397" s="13" t="s">
        <v>147</v>
      </c>
      <c r="B397" s="14">
        <v>0.95173401266754443</v>
      </c>
      <c r="C397" s="13" t="s">
        <v>27</v>
      </c>
      <c r="D397" s="13" t="s">
        <v>0</v>
      </c>
    </row>
    <row r="398" spans="1:4" x14ac:dyDescent="0.3">
      <c r="A398" s="13" t="s">
        <v>147</v>
      </c>
      <c r="B398" s="14">
        <v>0.98784968471823809</v>
      </c>
      <c r="C398" s="13" t="s">
        <v>27</v>
      </c>
      <c r="D398" s="13" t="s">
        <v>41</v>
      </c>
    </row>
    <row r="399" spans="1:4" x14ac:dyDescent="0.3">
      <c r="A399" s="13" t="s">
        <v>147</v>
      </c>
      <c r="B399" s="14">
        <v>0.48054795267929401</v>
      </c>
      <c r="C399" s="13" t="s">
        <v>130</v>
      </c>
      <c r="D399" s="13"/>
    </row>
    <row r="400" spans="1:4" x14ac:dyDescent="0.3">
      <c r="A400" s="13" t="s">
        <v>147</v>
      </c>
      <c r="B400" s="14">
        <v>0.63224336431218986</v>
      </c>
      <c r="C400" s="13" t="s">
        <v>130</v>
      </c>
      <c r="D400" s="13" t="s">
        <v>41</v>
      </c>
    </row>
    <row r="401" spans="1:4" x14ac:dyDescent="0.3">
      <c r="A401" s="13" t="s">
        <v>147</v>
      </c>
      <c r="B401" s="14">
        <v>0.96847635347908034</v>
      </c>
      <c r="C401" s="13" t="s">
        <v>131</v>
      </c>
      <c r="D401" s="13" t="s">
        <v>0</v>
      </c>
    </row>
    <row r="402" spans="1:4" x14ac:dyDescent="0.3">
      <c r="A402" s="13" t="s">
        <v>147</v>
      </c>
      <c r="B402" s="14">
        <v>0.93106426799532749</v>
      </c>
      <c r="C402" s="13" t="s">
        <v>131</v>
      </c>
      <c r="D402" s="13" t="s">
        <v>42</v>
      </c>
    </row>
    <row r="403" spans="1:4" x14ac:dyDescent="0.3">
      <c r="A403" s="13" t="s">
        <v>147</v>
      </c>
      <c r="B403" s="14">
        <v>0.96483906763027638</v>
      </c>
      <c r="C403" s="13" t="s">
        <v>131</v>
      </c>
      <c r="D403" s="13" t="s">
        <v>33</v>
      </c>
    </row>
    <row r="404" spans="1:4" x14ac:dyDescent="0.3">
      <c r="A404" s="13" t="s">
        <v>147</v>
      </c>
      <c r="B404" s="14">
        <v>0.96364873413501384</v>
      </c>
      <c r="C404" s="13" t="s">
        <v>131</v>
      </c>
      <c r="D404" s="13" t="s">
        <v>29</v>
      </c>
    </row>
    <row r="405" spans="1:4" x14ac:dyDescent="0.3">
      <c r="A405" s="13" t="s">
        <v>147</v>
      </c>
      <c r="B405" s="14">
        <v>0.97004021292116804</v>
      </c>
      <c r="C405" s="13" t="s">
        <v>131</v>
      </c>
      <c r="D405" s="13" t="s">
        <v>36</v>
      </c>
    </row>
    <row r="406" spans="1:4" x14ac:dyDescent="0.3">
      <c r="A406" s="13" t="s">
        <v>147</v>
      </c>
      <c r="B406" s="14">
        <v>0.96316324813735577</v>
      </c>
      <c r="C406" s="13" t="s">
        <v>131</v>
      </c>
      <c r="D406" s="13" t="s">
        <v>41</v>
      </c>
    </row>
    <row r="407" spans="1:4" x14ac:dyDescent="0.3">
      <c r="A407" s="13" t="s">
        <v>147</v>
      </c>
      <c r="B407" s="14">
        <v>0.98032413442577793</v>
      </c>
      <c r="C407" s="13" t="s">
        <v>44</v>
      </c>
      <c r="D407" s="13" t="s">
        <v>42</v>
      </c>
    </row>
    <row r="408" spans="1:4" x14ac:dyDescent="0.3">
      <c r="A408" s="13" t="s">
        <v>147</v>
      </c>
      <c r="B408" s="14">
        <v>0.8583795583632593</v>
      </c>
      <c r="C408" s="13" t="s">
        <v>45</v>
      </c>
      <c r="D408" s="13" t="s">
        <v>42</v>
      </c>
    </row>
    <row r="409" spans="1:4" x14ac:dyDescent="0.3">
      <c r="A409" s="13" t="s">
        <v>147</v>
      </c>
      <c r="B409" s="14">
        <v>0.9412730908482867</v>
      </c>
      <c r="C409" s="13" t="s">
        <v>46</v>
      </c>
      <c r="D409" s="13" t="s">
        <v>42</v>
      </c>
    </row>
    <row r="410" spans="1:4" x14ac:dyDescent="0.3">
      <c r="A410" s="13" t="s">
        <v>147</v>
      </c>
      <c r="B410" s="14">
        <v>0.31402446825192221</v>
      </c>
      <c r="C410" s="13" t="s">
        <v>132</v>
      </c>
      <c r="D410" s="13" t="s">
        <v>29</v>
      </c>
    </row>
    <row r="411" spans="1:4" x14ac:dyDescent="0.3">
      <c r="A411" s="13" t="s">
        <v>147</v>
      </c>
      <c r="B411" s="14">
        <v>0.80514775460163956</v>
      </c>
      <c r="C411" s="13" t="s">
        <v>133</v>
      </c>
      <c r="D411" s="13"/>
    </row>
    <row r="412" spans="1:4" x14ac:dyDescent="0.3">
      <c r="A412" s="13" t="s">
        <v>147</v>
      </c>
      <c r="B412" s="14">
        <v>0.76605117610320417</v>
      </c>
      <c r="C412" s="13" t="s">
        <v>133</v>
      </c>
      <c r="D412" s="13" t="s">
        <v>0</v>
      </c>
    </row>
    <row r="413" spans="1:4" x14ac:dyDescent="0.3">
      <c r="A413" s="13" t="s">
        <v>147</v>
      </c>
      <c r="B413" s="14">
        <v>0.84699337434042365</v>
      </c>
      <c r="C413" s="13" t="s">
        <v>134</v>
      </c>
      <c r="D413" s="13" t="s">
        <v>36</v>
      </c>
    </row>
    <row r="414" spans="1:4" x14ac:dyDescent="0.3">
      <c r="A414" s="13" t="s">
        <v>147</v>
      </c>
      <c r="B414" s="14">
        <v>0.7324441246329968</v>
      </c>
      <c r="C414" s="13" t="s">
        <v>135</v>
      </c>
      <c r="D414" s="13" t="s">
        <v>0</v>
      </c>
    </row>
    <row r="415" spans="1:4" x14ac:dyDescent="0.3">
      <c r="A415" s="13" t="s">
        <v>147</v>
      </c>
      <c r="B415" s="14">
        <v>1</v>
      </c>
      <c r="C415" s="13" t="s">
        <v>136</v>
      </c>
      <c r="D415" s="13"/>
    </row>
    <row r="416" spans="1:4" x14ac:dyDescent="0.3">
      <c r="A416" s="13" t="s">
        <v>147</v>
      </c>
      <c r="B416" s="14">
        <v>0.93992591595470243</v>
      </c>
      <c r="C416" s="13" t="s">
        <v>136</v>
      </c>
      <c r="D416" s="13" t="s">
        <v>42</v>
      </c>
    </row>
    <row r="417" spans="1:4" x14ac:dyDescent="0.3">
      <c r="A417" s="13" t="s">
        <v>147</v>
      </c>
      <c r="B417" s="14">
        <v>0.76203976092397685</v>
      </c>
      <c r="C417" s="13" t="s">
        <v>137</v>
      </c>
      <c r="D417" s="13" t="s">
        <v>42</v>
      </c>
    </row>
    <row r="418" spans="1:4" x14ac:dyDescent="0.3">
      <c r="A418" s="13" t="s">
        <v>147</v>
      </c>
      <c r="B418" s="14">
        <v>0.84961324932167548</v>
      </c>
      <c r="C418" s="13" t="s">
        <v>138</v>
      </c>
      <c r="D418" s="13" t="s">
        <v>0</v>
      </c>
    </row>
    <row r="419" spans="1:4" x14ac:dyDescent="0.3">
      <c r="A419" s="13" t="s">
        <v>147</v>
      </c>
      <c r="B419" s="14">
        <v>0.86984552280217664</v>
      </c>
      <c r="C419" s="13" t="s">
        <v>139</v>
      </c>
      <c r="D419" s="13" t="s">
        <v>42</v>
      </c>
    </row>
    <row r="420" spans="1:4" x14ac:dyDescent="0.3">
      <c r="A420" s="13" t="s">
        <v>147</v>
      </c>
      <c r="B420" s="14">
        <v>0.70794734775083845</v>
      </c>
      <c r="C420" s="13" t="s">
        <v>140</v>
      </c>
      <c r="D420" s="13" t="s">
        <v>36</v>
      </c>
    </row>
    <row r="421" spans="1:4" x14ac:dyDescent="0.3">
      <c r="A421" s="13" t="s">
        <v>147</v>
      </c>
      <c r="B421" s="14">
        <v>0.82434624122212019</v>
      </c>
      <c r="C421" s="13" t="s">
        <v>40</v>
      </c>
      <c r="D421" s="13"/>
    </row>
    <row r="422" spans="1:4" x14ac:dyDescent="0.3">
      <c r="A422" s="13" t="s">
        <v>147</v>
      </c>
      <c r="B422" s="14">
        <v>0.94888548180064369</v>
      </c>
      <c r="C422" s="13" t="s">
        <v>40</v>
      </c>
      <c r="D422" s="13" t="s">
        <v>42</v>
      </c>
    </row>
    <row r="423" spans="1:4" x14ac:dyDescent="0.3">
      <c r="A423" s="13" t="s">
        <v>147</v>
      </c>
      <c r="B423" s="14">
        <v>0.91836660381502944</v>
      </c>
      <c r="C423" s="13" t="s">
        <v>40</v>
      </c>
      <c r="D423" s="13" t="s">
        <v>36</v>
      </c>
    </row>
    <row r="424" spans="1:4" x14ac:dyDescent="0.3">
      <c r="A424" s="13" t="s">
        <v>147</v>
      </c>
      <c r="B424" s="14">
        <v>0.75454037908845939</v>
      </c>
      <c r="C424" s="13" t="s">
        <v>141</v>
      </c>
      <c r="D424" s="13" t="s">
        <v>29</v>
      </c>
    </row>
    <row r="425" spans="1:4" x14ac:dyDescent="0.3">
      <c r="A425" s="13" t="s">
        <v>147</v>
      </c>
      <c r="B425" s="14">
        <v>0.26363355530791183</v>
      </c>
      <c r="C425" s="13" t="s">
        <v>142</v>
      </c>
      <c r="D425" s="13" t="s">
        <v>41</v>
      </c>
    </row>
    <row r="426" spans="1:4" x14ac:dyDescent="0.3">
      <c r="A426" s="13" t="s">
        <v>147</v>
      </c>
      <c r="B426" s="14">
        <v>0.76217472201679493</v>
      </c>
      <c r="C426" s="13" t="s">
        <v>143</v>
      </c>
      <c r="D426" s="13" t="s">
        <v>42</v>
      </c>
    </row>
    <row r="427" spans="1:4" x14ac:dyDescent="0.3">
      <c r="A427" s="13" t="s">
        <v>147</v>
      </c>
      <c r="B427" s="14">
        <v>0.89788144426112815</v>
      </c>
      <c r="C427" s="13" t="s">
        <v>144</v>
      </c>
      <c r="D427" s="13" t="s">
        <v>42</v>
      </c>
    </row>
    <row r="428" spans="1:4" x14ac:dyDescent="0.3">
      <c r="A428" s="13" t="s">
        <v>147</v>
      </c>
      <c r="B428" s="14">
        <v>0.91208570781966736</v>
      </c>
      <c r="C428" s="13" t="s">
        <v>47</v>
      </c>
      <c r="D428" s="13" t="s">
        <v>42</v>
      </c>
    </row>
    <row r="429" spans="1:4" x14ac:dyDescent="0.3">
      <c r="A429" s="13" t="s">
        <v>147</v>
      </c>
      <c r="B429" s="14">
        <v>0.93623723306680628</v>
      </c>
      <c r="C429" s="13" t="s">
        <v>145</v>
      </c>
      <c r="D429" s="13" t="s">
        <v>0</v>
      </c>
    </row>
    <row r="430" spans="1:4" x14ac:dyDescent="0.3">
      <c r="A430" s="13" t="s">
        <v>147</v>
      </c>
      <c r="B430" s="14">
        <v>0.83943181664038746</v>
      </c>
      <c r="C430" s="13" t="s">
        <v>146</v>
      </c>
      <c r="D430" s="13" t="s">
        <v>41</v>
      </c>
    </row>
    <row r="431" spans="1:4" x14ac:dyDescent="0.3">
      <c r="A431" s="13" t="s">
        <v>147</v>
      </c>
      <c r="B431" s="14">
        <v>0.81050832835748332</v>
      </c>
      <c r="C431" s="13" t="s">
        <v>32</v>
      </c>
      <c r="D431" s="13" t="s">
        <v>33</v>
      </c>
    </row>
    <row r="432" spans="1:4" x14ac:dyDescent="0.3">
      <c r="A432" s="13" t="s">
        <v>147</v>
      </c>
      <c r="B432" s="14">
        <v>0.89658751473315412</v>
      </c>
      <c r="C432" s="13" t="s">
        <v>32</v>
      </c>
      <c r="D432" s="13" t="s">
        <v>29</v>
      </c>
    </row>
    <row r="433" spans="1:4" x14ac:dyDescent="0.3">
      <c r="A433" s="13" t="s">
        <v>147</v>
      </c>
      <c r="B433" s="14">
        <v>0.81813289407751377</v>
      </c>
      <c r="C433" s="13" t="s">
        <v>32</v>
      </c>
      <c r="D433" s="13" t="s">
        <v>36</v>
      </c>
    </row>
    <row r="434" spans="1:4" x14ac:dyDescent="0.3">
      <c r="A434" s="13" t="s">
        <v>148</v>
      </c>
      <c r="B434" s="14">
        <v>0.99991111007133693</v>
      </c>
      <c r="C434" s="13" t="s">
        <v>53</v>
      </c>
      <c r="D434" s="13" t="s">
        <v>0</v>
      </c>
    </row>
    <row r="435" spans="1:4" x14ac:dyDescent="0.3">
      <c r="A435" s="13" t="s">
        <v>148</v>
      </c>
      <c r="B435" s="14">
        <v>0.59080961707833823</v>
      </c>
      <c r="C435" s="13" t="s">
        <v>54</v>
      </c>
      <c r="D435" s="13" t="s">
        <v>29</v>
      </c>
    </row>
    <row r="436" spans="1:4" x14ac:dyDescent="0.3">
      <c r="A436" s="13" t="s">
        <v>148</v>
      </c>
      <c r="B436" s="14">
        <v>0.90563732012799414</v>
      </c>
      <c r="C436" s="13" t="s">
        <v>55</v>
      </c>
      <c r="D436" s="13" t="s">
        <v>0</v>
      </c>
    </row>
    <row r="437" spans="1:4" x14ac:dyDescent="0.3">
      <c r="A437" s="13" t="s">
        <v>148</v>
      </c>
      <c r="B437" s="14">
        <v>0.97574620781205412</v>
      </c>
      <c r="C437" s="13" t="s">
        <v>55</v>
      </c>
      <c r="D437" s="13" t="s">
        <v>33</v>
      </c>
    </row>
    <row r="438" spans="1:4" x14ac:dyDescent="0.3">
      <c r="A438" s="13" t="s">
        <v>148</v>
      </c>
      <c r="B438" s="14">
        <v>0.90208853123237331</v>
      </c>
      <c r="C438" s="13" t="s">
        <v>55</v>
      </c>
      <c r="D438" s="13" t="s">
        <v>29</v>
      </c>
    </row>
    <row r="439" spans="1:4" x14ac:dyDescent="0.3">
      <c r="A439" s="13" t="s">
        <v>148</v>
      </c>
      <c r="B439" s="14">
        <v>0.57050287822607915</v>
      </c>
      <c r="C439" s="13" t="s">
        <v>56</v>
      </c>
      <c r="D439" s="13" t="s">
        <v>29</v>
      </c>
    </row>
    <row r="440" spans="1:4" x14ac:dyDescent="0.3">
      <c r="A440" s="13" t="s">
        <v>148</v>
      </c>
      <c r="B440" s="14">
        <v>0.4974896813545206</v>
      </c>
      <c r="C440" s="13" t="s">
        <v>57</v>
      </c>
      <c r="D440" s="13" t="s">
        <v>0</v>
      </c>
    </row>
    <row r="441" spans="1:4" x14ac:dyDescent="0.3">
      <c r="A441" s="13" t="s">
        <v>148</v>
      </c>
      <c r="B441" s="14">
        <v>0.57245454044151456</v>
      </c>
      <c r="C441" s="13" t="s">
        <v>57</v>
      </c>
      <c r="D441" s="13" t="s">
        <v>33</v>
      </c>
    </row>
    <row r="442" spans="1:4" x14ac:dyDescent="0.3">
      <c r="A442" s="13" t="s">
        <v>148</v>
      </c>
      <c r="B442" s="14">
        <v>0.509811504590854</v>
      </c>
      <c r="C442" s="13" t="s">
        <v>57</v>
      </c>
      <c r="D442" s="13" t="s">
        <v>29</v>
      </c>
    </row>
    <row r="443" spans="1:4" x14ac:dyDescent="0.3">
      <c r="A443" s="13" t="s">
        <v>148</v>
      </c>
      <c r="B443" s="14">
        <v>0.55435700599932514</v>
      </c>
      <c r="C443" s="13" t="s">
        <v>57</v>
      </c>
      <c r="D443" s="13" t="s">
        <v>36</v>
      </c>
    </row>
    <row r="444" spans="1:4" x14ac:dyDescent="0.3">
      <c r="A444" s="13" t="s">
        <v>148</v>
      </c>
      <c r="B444" s="14">
        <v>0.39886073615099471</v>
      </c>
      <c r="C444" s="13" t="s">
        <v>57</v>
      </c>
      <c r="D444" s="13" t="s">
        <v>41</v>
      </c>
    </row>
    <row r="445" spans="1:4" x14ac:dyDescent="0.3">
      <c r="A445" s="13" t="s">
        <v>148</v>
      </c>
      <c r="B445" s="14">
        <v>0.98885985953227773</v>
      </c>
      <c r="C445" s="13" t="s">
        <v>37</v>
      </c>
      <c r="D445" s="13"/>
    </row>
    <row r="446" spans="1:4" x14ac:dyDescent="0.3">
      <c r="A446" s="13" t="s">
        <v>148</v>
      </c>
      <c r="B446" s="14">
        <v>0.98184696882256917</v>
      </c>
      <c r="C446" s="13" t="s">
        <v>37</v>
      </c>
      <c r="D446" s="13" t="s">
        <v>42</v>
      </c>
    </row>
    <row r="447" spans="1:4" x14ac:dyDescent="0.3">
      <c r="A447" s="13" t="s">
        <v>148</v>
      </c>
      <c r="B447" s="14">
        <v>0.97635083718038351</v>
      </c>
      <c r="C447" s="13" t="s">
        <v>37</v>
      </c>
      <c r="D447" s="13" t="s">
        <v>36</v>
      </c>
    </row>
    <row r="448" spans="1:4" x14ac:dyDescent="0.3">
      <c r="A448" s="13" t="s">
        <v>148</v>
      </c>
      <c r="B448" s="14">
        <v>0.95293035323574682</v>
      </c>
      <c r="C448" s="13" t="s">
        <v>30</v>
      </c>
      <c r="D448" s="13" t="s">
        <v>42</v>
      </c>
    </row>
    <row r="449" spans="1:4" x14ac:dyDescent="0.3">
      <c r="A449" s="13" t="s">
        <v>148</v>
      </c>
      <c r="B449" s="14">
        <v>0.98682616882850627</v>
      </c>
      <c r="C449" s="13" t="s">
        <v>30</v>
      </c>
      <c r="D449" s="13" t="s">
        <v>29</v>
      </c>
    </row>
    <row r="450" spans="1:4" x14ac:dyDescent="0.3">
      <c r="A450" s="13" t="s">
        <v>148</v>
      </c>
      <c r="B450" s="14">
        <v>0.97746073183158166</v>
      </c>
      <c r="C450" s="13" t="s">
        <v>30</v>
      </c>
      <c r="D450" s="13" t="s">
        <v>36</v>
      </c>
    </row>
    <row r="451" spans="1:4" x14ac:dyDescent="0.3">
      <c r="A451" s="13" t="s">
        <v>148</v>
      </c>
      <c r="B451" s="14">
        <v>0.95317814416776503</v>
      </c>
      <c r="C451" s="13" t="s">
        <v>28</v>
      </c>
      <c r="D451" s="13" t="s">
        <v>33</v>
      </c>
    </row>
    <row r="452" spans="1:4" x14ac:dyDescent="0.3">
      <c r="A452" s="13" t="s">
        <v>148</v>
      </c>
      <c r="B452" s="14">
        <v>0.88498486144957433</v>
      </c>
      <c r="C452" s="13" t="s">
        <v>34</v>
      </c>
      <c r="D452" s="13" t="s">
        <v>33</v>
      </c>
    </row>
    <row r="453" spans="1:4" x14ac:dyDescent="0.3">
      <c r="A453" s="13" t="s">
        <v>148</v>
      </c>
      <c r="B453" s="14">
        <v>0.93272314599220285</v>
      </c>
      <c r="C453" s="13" t="s">
        <v>58</v>
      </c>
      <c r="D453" s="13" t="s">
        <v>29</v>
      </c>
    </row>
    <row r="454" spans="1:4" x14ac:dyDescent="0.3">
      <c r="A454" s="13" t="s">
        <v>148</v>
      </c>
      <c r="B454" s="14">
        <v>0.31069658823348362</v>
      </c>
      <c r="C454" s="13" t="s">
        <v>59</v>
      </c>
      <c r="D454" s="13" t="s">
        <v>0</v>
      </c>
    </row>
    <row r="455" spans="1:4" x14ac:dyDescent="0.3">
      <c r="A455" s="13" t="s">
        <v>148</v>
      </c>
      <c r="B455" s="14">
        <v>0.61531274041023165</v>
      </c>
      <c r="C455" s="13" t="s">
        <v>59</v>
      </c>
      <c r="D455" s="13" t="s">
        <v>33</v>
      </c>
    </row>
    <row r="456" spans="1:4" x14ac:dyDescent="0.3">
      <c r="A456" s="13" t="s">
        <v>148</v>
      </c>
      <c r="B456" s="14">
        <v>0.86690018207362396</v>
      </c>
      <c r="C456" s="13" t="s">
        <v>60</v>
      </c>
      <c r="D456" s="13" t="s">
        <v>33</v>
      </c>
    </row>
    <row r="457" spans="1:4" x14ac:dyDescent="0.3">
      <c r="A457" s="13" t="s">
        <v>148</v>
      </c>
      <c r="B457" s="14">
        <v>0.39502012982071838</v>
      </c>
      <c r="C457" s="13" t="s">
        <v>61</v>
      </c>
      <c r="D457" s="13" t="s">
        <v>36</v>
      </c>
    </row>
    <row r="458" spans="1:4" x14ac:dyDescent="0.3">
      <c r="A458" s="13" t="s">
        <v>148</v>
      </c>
      <c r="B458" s="14">
        <v>0.36800301460965168</v>
      </c>
      <c r="C458" s="13" t="s">
        <v>62</v>
      </c>
      <c r="D458" s="13"/>
    </row>
    <row r="459" spans="1:4" x14ac:dyDescent="0.3">
      <c r="A459" s="13" t="s">
        <v>148</v>
      </c>
      <c r="B459" s="14">
        <v>0.59121675481704028</v>
      </c>
      <c r="C459" s="13" t="s">
        <v>62</v>
      </c>
      <c r="D459" s="13" t="s">
        <v>0</v>
      </c>
    </row>
    <row r="460" spans="1:4" x14ac:dyDescent="0.3">
      <c r="A460" s="13" t="s">
        <v>148</v>
      </c>
      <c r="B460" s="14">
        <v>0.75914258363302367</v>
      </c>
      <c r="C460" s="13" t="s">
        <v>63</v>
      </c>
      <c r="D460" s="13"/>
    </row>
    <row r="461" spans="1:4" x14ac:dyDescent="0.3">
      <c r="A461" s="13" t="s">
        <v>148</v>
      </c>
      <c r="B461" s="14">
        <v>0.74608490761442292</v>
      </c>
      <c r="C461" s="13" t="s">
        <v>63</v>
      </c>
      <c r="D461" s="13" t="s">
        <v>42</v>
      </c>
    </row>
    <row r="462" spans="1:4" x14ac:dyDescent="0.3">
      <c r="A462" s="13" t="s">
        <v>148</v>
      </c>
      <c r="B462" s="14">
        <v>0.47574569586970411</v>
      </c>
      <c r="C462" s="13" t="s">
        <v>64</v>
      </c>
      <c r="D462" s="13" t="s">
        <v>0</v>
      </c>
    </row>
    <row r="463" spans="1:4" x14ac:dyDescent="0.3">
      <c r="A463" s="13" t="s">
        <v>148</v>
      </c>
      <c r="B463" s="14">
        <v>0.89204727613914214</v>
      </c>
      <c r="C463" s="13" t="s">
        <v>65</v>
      </c>
      <c r="D463" s="13" t="s">
        <v>41</v>
      </c>
    </row>
    <row r="464" spans="1:4" x14ac:dyDescent="0.3">
      <c r="A464" s="13" t="s">
        <v>148</v>
      </c>
      <c r="B464" s="14">
        <v>0.90564556810162755</v>
      </c>
      <c r="C464" s="13" t="s">
        <v>66</v>
      </c>
      <c r="D464" s="13" t="s">
        <v>29</v>
      </c>
    </row>
    <row r="465" spans="1:4" x14ac:dyDescent="0.3">
      <c r="A465" s="13" t="s">
        <v>148</v>
      </c>
      <c r="B465" s="14">
        <v>0.93264013895164732</v>
      </c>
      <c r="C465" s="13" t="s">
        <v>66</v>
      </c>
      <c r="D465" s="13" t="s">
        <v>41</v>
      </c>
    </row>
    <row r="466" spans="1:4" x14ac:dyDescent="0.3">
      <c r="A466" s="13" t="s">
        <v>148</v>
      </c>
      <c r="B466" s="14">
        <v>0.95735780262674108</v>
      </c>
      <c r="C466" s="13" t="s">
        <v>67</v>
      </c>
      <c r="D466" s="13" t="s">
        <v>0</v>
      </c>
    </row>
    <row r="467" spans="1:4" x14ac:dyDescent="0.3">
      <c r="A467" s="13" t="s">
        <v>148</v>
      </c>
      <c r="B467" s="14">
        <v>0.97397041920088512</v>
      </c>
      <c r="C467" s="13" t="s">
        <v>67</v>
      </c>
      <c r="D467" s="13" t="s">
        <v>33</v>
      </c>
    </row>
    <row r="468" spans="1:4" x14ac:dyDescent="0.3">
      <c r="A468" s="13" t="s">
        <v>148</v>
      </c>
      <c r="B468" s="14">
        <v>0.93420557607768806</v>
      </c>
      <c r="C468" s="13" t="s">
        <v>67</v>
      </c>
      <c r="D468" s="13" t="s">
        <v>29</v>
      </c>
    </row>
    <row r="469" spans="1:4" x14ac:dyDescent="0.3">
      <c r="A469" s="13" t="s">
        <v>148</v>
      </c>
      <c r="B469" s="14">
        <v>0.93471681421887387</v>
      </c>
      <c r="C469" s="13" t="s">
        <v>67</v>
      </c>
      <c r="D469" s="13" t="s">
        <v>36</v>
      </c>
    </row>
    <row r="470" spans="1:4" x14ac:dyDescent="0.3">
      <c r="A470" s="13" t="s">
        <v>148</v>
      </c>
      <c r="B470" s="14">
        <v>0.95522324795413049</v>
      </c>
      <c r="C470" s="13" t="s">
        <v>67</v>
      </c>
      <c r="D470" s="13" t="s">
        <v>41</v>
      </c>
    </row>
    <row r="471" spans="1:4" x14ac:dyDescent="0.3">
      <c r="A471" s="13" t="s">
        <v>148</v>
      </c>
      <c r="B471" s="14">
        <v>0.80889029669628132</v>
      </c>
      <c r="C471" s="13" t="s">
        <v>68</v>
      </c>
      <c r="D471" s="13" t="s">
        <v>0</v>
      </c>
    </row>
    <row r="472" spans="1:4" x14ac:dyDescent="0.3">
      <c r="A472" s="13" t="s">
        <v>148</v>
      </c>
      <c r="B472" s="14">
        <v>0.58450044754375607</v>
      </c>
      <c r="C472" s="13" t="s">
        <v>69</v>
      </c>
      <c r="D472" s="13" t="s">
        <v>36</v>
      </c>
    </row>
    <row r="473" spans="1:4" x14ac:dyDescent="0.3">
      <c r="A473" s="13" t="s">
        <v>148</v>
      </c>
      <c r="B473" s="14">
        <v>0.93442358121899449</v>
      </c>
      <c r="C473" s="13" t="s">
        <v>15</v>
      </c>
      <c r="D473" s="13"/>
    </row>
    <row r="474" spans="1:4" x14ac:dyDescent="0.3">
      <c r="A474" s="13" t="s">
        <v>148</v>
      </c>
      <c r="B474" s="14">
        <v>0.46364624752553102</v>
      </c>
      <c r="C474" s="13" t="s">
        <v>15</v>
      </c>
      <c r="D474" s="13" t="s">
        <v>0</v>
      </c>
    </row>
    <row r="475" spans="1:4" x14ac:dyDescent="0.3">
      <c r="A475" s="13" t="s">
        <v>148</v>
      </c>
      <c r="B475" s="14">
        <v>0.90258128989396713</v>
      </c>
      <c r="C475" s="13" t="s">
        <v>15</v>
      </c>
      <c r="D475" s="13" t="s">
        <v>42</v>
      </c>
    </row>
    <row r="476" spans="1:4" x14ac:dyDescent="0.3">
      <c r="A476" s="13" t="s">
        <v>148</v>
      </c>
      <c r="B476" s="14">
        <v>0.88354730295705464</v>
      </c>
      <c r="C476" s="13" t="s">
        <v>15</v>
      </c>
      <c r="D476" s="13" t="s">
        <v>36</v>
      </c>
    </row>
    <row r="477" spans="1:4" x14ac:dyDescent="0.3">
      <c r="A477" s="13" t="s">
        <v>148</v>
      </c>
      <c r="B477" s="14">
        <v>0.68501408934389019</v>
      </c>
      <c r="C477" s="13" t="s">
        <v>70</v>
      </c>
      <c r="D477" s="13" t="s">
        <v>33</v>
      </c>
    </row>
    <row r="478" spans="1:4" x14ac:dyDescent="0.3">
      <c r="A478" s="13" t="s">
        <v>148</v>
      </c>
      <c r="B478" s="14">
        <v>0.96924197767491205</v>
      </c>
      <c r="C478" s="13" t="s">
        <v>43</v>
      </c>
      <c r="D478" s="13"/>
    </row>
    <row r="479" spans="1:4" x14ac:dyDescent="0.3">
      <c r="A479" s="13" t="s">
        <v>148</v>
      </c>
      <c r="B479" s="14">
        <v>0.90116355058561159</v>
      </c>
      <c r="C479" s="13" t="s">
        <v>43</v>
      </c>
      <c r="D479" s="13" t="s">
        <v>42</v>
      </c>
    </row>
    <row r="480" spans="1:4" x14ac:dyDescent="0.3">
      <c r="A480" s="13" t="s">
        <v>148</v>
      </c>
      <c r="B480" s="14">
        <v>0.78757344615105618</v>
      </c>
      <c r="C480" s="13" t="s">
        <v>71</v>
      </c>
      <c r="D480" s="13" t="s">
        <v>42</v>
      </c>
    </row>
    <row r="481" spans="1:4" x14ac:dyDescent="0.3">
      <c r="A481" s="13" t="s">
        <v>148</v>
      </c>
      <c r="B481" s="14">
        <v>0.86883658264679653</v>
      </c>
      <c r="C481" s="13" t="s">
        <v>72</v>
      </c>
      <c r="D481" s="13" t="s">
        <v>36</v>
      </c>
    </row>
    <row r="482" spans="1:4" x14ac:dyDescent="0.3">
      <c r="A482" s="13" t="s">
        <v>148</v>
      </c>
      <c r="B482" s="14">
        <v>0.75413811173051104</v>
      </c>
      <c r="C482" s="13" t="s">
        <v>73</v>
      </c>
      <c r="D482" s="13" t="s">
        <v>33</v>
      </c>
    </row>
    <row r="483" spans="1:4" x14ac:dyDescent="0.3">
      <c r="A483" s="13" t="s">
        <v>148</v>
      </c>
      <c r="B483" s="14">
        <v>0.8534624767050607</v>
      </c>
      <c r="C483" s="13" t="s">
        <v>74</v>
      </c>
      <c r="D483" s="13"/>
    </row>
    <row r="484" spans="1:4" x14ac:dyDescent="0.3">
      <c r="A484" s="13" t="s">
        <v>148</v>
      </c>
      <c r="B484" s="14">
        <v>0.828507036386533</v>
      </c>
      <c r="C484" s="13" t="s">
        <v>74</v>
      </c>
      <c r="D484" s="13" t="s">
        <v>41</v>
      </c>
    </row>
    <row r="485" spans="1:4" x14ac:dyDescent="0.3">
      <c r="A485" s="13" t="s">
        <v>148</v>
      </c>
      <c r="B485" s="14">
        <v>0.94714173942617641</v>
      </c>
      <c r="C485" s="13" t="s">
        <v>75</v>
      </c>
      <c r="D485" s="13" t="s">
        <v>0</v>
      </c>
    </row>
    <row r="486" spans="1:4" x14ac:dyDescent="0.3">
      <c r="A486" s="13" t="s">
        <v>148</v>
      </c>
      <c r="B486" s="14">
        <v>0.91776294134237368</v>
      </c>
      <c r="C486" s="13" t="s">
        <v>75</v>
      </c>
      <c r="D486" s="13" t="s">
        <v>33</v>
      </c>
    </row>
    <row r="487" spans="1:4" x14ac:dyDescent="0.3">
      <c r="A487" s="13" t="s">
        <v>148</v>
      </c>
      <c r="B487" s="14">
        <v>0.94494231964746245</v>
      </c>
      <c r="C487" s="13" t="s">
        <v>75</v>
      </c>
      <c r="D487" s="13" t="s">
        <v>29</v>
      </c>
    </row>
    <row r="488" spans="1:4" x14ac:dyDescent="0.3">
      <c r="A488" s="13" t="s">
        <v>148</v>
      </c>
      <c r="B488" s="14">
        <v>0.71684428814428525</v>
      </c>
      <c r="C488" s="13" t="s">
        <v>76</v>
      </c>
      <c r="D488" s="13" t="s">
        <v>0</v>
      </c>
    </row>
    <row r="489" spans="1:4" x14ac:dyDescent="0.3">
      <c r="A489" s="13" t="s">
        <v>148</v>
      </c>
      <c r="B489" s="14">
        <v>0.70040485517661821</v>
      </c>
      <c r="C489" s="13" t="s">
        <v>77</v>
      </c>
      <c r="D489" s="13"/>
    </row>
    <row r="490" spans="1:4" x14ac:dyDescent="0.3">
      <c r="A490" s="13" t="s">
        <v>148</v>
      </c>
      <c r="B490" s="14">
        <v>0.43585702753704952</v>
      </c>
      <c r="C490" s="13" t="s">
        <v>77</v>
      </c>
      <c r="D490" s="13" t="s">
        <v>29</v>
      </c>
    </row>
    <row r="491" spans="1:4" x14ac:dyDescent="0.3">
      <c r="A491" s="13" t="s">
        <v>148</v>
      </c>
      <c r="B491" s="14">
        <v>0.98141532142323284</v>
      </c>
      <c r="C491" s="13" t="s">
        <v>78</v>
      </c>
      <c r="D491" s="13" t="s">
        <v>33</v>
      </c>
    </row>
    <row r="492" spans="1:4" x14ac:dyDescent="0.3">
      <c r="A492" s="13" t="s">
        <v>148</v>
      </c>
      <c r="B492" s="14">
        <v>0.99528221515234394</v>
      </c>
      <c r="C492" s="13" t="s">
        <v>78</v>
      </c>
      <c r="D492" s="13" t="s">
        <v>29</v>
      </c>
    </row>
    <row r="493" spans="1:4" x14ac:dyDescent="0.3">
      <c r="A493" s="13" t="s">
        <v>148</v>
      </c>
      <c r="B493" s="14">
        <v>0.84849562751224272</v>
      </c>
      <c r="C493" s="13" t="s">
        <v>79</v>
      </c>
      <c r="D493" s="13" t="s">
        <v>33</v>
      </c>
    </row>
    <row r="494" spans="1:4" x14ac:dyDescent="0.3">
      <c r="A494" s="13" t="s">
        <v>148</v>
      </c>
      <c r="B494" s="14">
        <v>0.92449766784974263</v>
      </c>
      <c r="C494" s="13" t="s">
        <v>22</v>
      </c>
      <c r="D494" s="13" t="s">
        <v>0</v>
      </c>
    </row>
    <row r="495" spans="1:4" x14ac:dyDescent="0.3">
      <c r="A495" s="13" t="s">
        <v>148</v>
      </c>
      <c r="B495" s="14">
        <v>0.86952132586541586</v>
      </c>
      <c r="C495" s="13" t="s">
        <v>22</v>
      </c>
      <c r="D495" s="13" t="s">
        <v>41</v>
      </c>
    </row>
    <row r="496" spans="1:4" x14ac:dyDescent="0.3">
      <c r="A496" s="13" t="s">
        <v>148</v>
      </c>
      <c r="B496" s="14">
        <v>0.34896536303911257</v>
      </c>
      <c r="C496" s="13" t="s">
        <v>80</v>
      </c>
      <c r="D496" s="13" t="s">
        <v>29</v>
      </c>
    </row>
    <row r="497" spans="1:4" x14ac:dyDescent="0.3">
      <c r="A497" s="13" t="s">
        <v>148</v>
      </c>
      <c r="B497" s="14">
        <v>0.29640948558228108</v>
      </c>
      <c r="C497" s="13" t="s">
        <v>81</v>
      </c>
      <c r="D497" s="13" t="s">
        <v>33</v>
      </c>
    </row>
    <row r="498" spans="1:4" x14ac:dyDescent="0.3">
      <c r="A498" s="13" t="s">
        <v>148</v>
      </c>
      <c r="B498" s="14">
        <v>0.96262632340032572</v>
      </c>
      <c r="C498" s="13" t="s">
        <v>82</v>
      </c>
      <c r="D498" s="13" t="s">
        <v>33</v>
      </c>
    </row>
    <row r="499" spans="1:4" x14ac:dyDescent="0.3">
      <c r="A499" s="13" t="s">
        <v>148</v>
      </c>
      <c r="B499" s="14">
        <v>0.96627506816517417</v>
      </c>
      <c r="C499" s="13" t="s">
        <v>82</v>
      </c>
      <c r="D499" s="13" t="s">
        <v>29</v>
      </c>
    </row>
    <row r="500" spans="1:4" x14ac:dyDescent="0.3">
      <c r="A500" s="13" t="s">
        <v>148</v>
      </c>
      <c r="B500" s="14">
        <v>0.96135025961408549</v>
      </c>
      <c r="C500" s="13" t="s">
        <v>82</v>
      </c>
      <c r="D500" s="13" t="s">
        <v>41</v>
      </c>
    </row>
    <row r="501" spans="1:4" x14ac:dyDescent="0.3">
      <c r="A501" s="13" t="s">
        <v>148</v>
      </c>
      <c r="B501" s="14">
        <v>0.80400090550222569</v>
      </c>
      <c r="C501" s="13" t="s">
        <v>83</v>
      </c>
      <c r="D501" s="13" t="s">
        <v>0</v>
      </c>
    </row>
    <row r="502" spans="1:4" x14ac:dyDescent="0.3">
      <c r="A502" s="13" t="s">
        <v>148</v>
      </c>
      <c r="B502" s="14">
        <v>0.85343169032251209</v>
      </c>
      <c r="C502" s="13" t="s">
        <v>83</v>
      </c>
      <c r="D502" s="13" t="s">
        <v>33</v>
      </c>
    </row>
    <row r="503" spans="1:4" x14ac:dyDescent="0.3">
      <c r="A503" s="13" t="s">
        <v>148</v>
      </c>
      <c r="B503" s="14">
        <v>0.71261839115664971</v>
      </c>
      <c r="C503" s="13" t="s">
        <v>83</v>
      </c>
      <c r="D503" s="13" t="s">
        <v>41</v>
      </c>
    </row>
    <row r="504" spans="1:4" x14ac:dyDescent="0.3">
      <c r="A504" s="13" t="s">
        <v>148</v>
      </c>
      <c r="B504" s="14">
        <v>0.44572999626932241</v>
      </c>
      <c r="C504" s="13" t="s">
        <v>84</v>
      </c>
      <c r="D504" s="13"/>
    </row>
    <row r="505" spans="1:4" x14ac:dyDescent="0.3">
      <c r="A505" s="13" t="s">
        <v>148</v>
      </c>
      <c r="B505" s="14">
        <v>0.88274135115801922</v>
      </c>
      <c r="C505" s="13" t="s">
        <v>84</v>
      </c>
      <c r="D505" s="13" t="s">
        <v>42</v>
      </c>
    </row>
    <row r="506" spans="1:4" x14ac:dyDescent="0.3">
      <c r="A506" s="13" t="s">
        <v>148</v>
      </c>
      <c r="B506" s="14">
        <v>0.91245703867986261</v>
      </c>
      <c r="C506" s="13" t="s">
        <v>85</v>
      </c>
      <c r="D506" s="13" t="s">
        <v>33</v>
      </c>
    </row>
    <row r="507" spans="1:4" x14ac:dyDescent="0.3">
      <c r="A507" s="13" t="s">
        <v>148</v>
      </c>
      <c r="B507" s="14">
        <v>0.83479567983779379</v>
      </c>
      <c r="C507" s="13" t="s">
        <v>85</v>
      </c>
      <c r="D507" s="13" t="s">
        <v>41</v>
      </c>
    </row>
    <row r="508" spans="1:4" x14ac:dyDescent="0.3">
      <c r="A508" s="13" t="s">
        <v>148</v>
      </c>
      <c r="B508" s="14">
        <v>0.98552232347273039</v>
      </c>
      <c r="C508" s="13" t="s">
        <v>86</v>
      </c>
      <c r="D508" s="13" t="s">
        <v>29</v>
      </c>
    </row>
    <row r="509" spans="1:4" x14ac:dyDescent="0.3">
      <c r="A509" s="13" t="s">
        <v>148</v>
      </c>
      <c r="B509" s="14">
        <v>0.78703571868901878</v>
      </c>
      <c r="C509" s="13" t="s">
        <v>87</v>
      </c>
      <c r="D509" s="13" t="s">
        <v>0</v>
      </c>
    </row>
    <row r="510" spans="1:4" x14ac:dyDescent="0.3">
      <c r="A510" s="13" t="s">
        <v>148</v>
      </c>
      <c r="B510" s="14">
        <v>0.70737661310385735</v>
      </c>
      <c r="C510" s="13" t="s">
        <v>87</v>
      </c>
      <c r="D510" s="13" t="s">
        <v>36</v>
      </c>
    </row>
    <row r="511" spans="1:4" x14ac:dyDescent="0.3">
      <c r="A511" s="13" t="s">
        <v>148</v>
      </c>
      <c r="B511" s="14">
        <v>0.94209707866775194</v>
      </c>
      <c r="C511" s="13" t="s">
        <v>88</v>
      </c>
      <c r="D511" s="13" t="s">
        <v>29</v>
      </c>
    </row>
    <row r="512" spans="1:4" x14ac:dyDescent="0.3">
      <c r="A512" s="13" t="s">
        <v>148</v>
      </c>
      <c r="B512" s="14">
        <v>0.81101721108331948</v>
      </c>
      <c r="C512" s="13" t="s">
        <v>89</v>
      </c>
      <c r="D512" s="13"/>
    </row>
    <row r="513" spans="1:4" x14ac:dyDescent="0.3">
      <c r="A513" s="13" t="s">
        <v>148</v>
      </c>
      <c r="B513" s="14">
        <v>0.86845840210936154</v>
      </c>
      <c r="C513" s="13" t="s">
        <v>89</v>
      </c>
      <c r="D513" s="13" t="s">
        <v>42</v>
      </c>
    </row>
    <row r="514" spans="1:4" x14ac:dyDescent="0.3">
      <c r="A514" s="13" t="s">
        <v>148</v>
      </c>
      <c r="B514" s="14">
        <v>0.73468923780478412</v>
      </c>
      <c r="C514" s="13" t="s">
        <v>89</v>
      </c>
      <c r="D514" s="13" t="s">
        <v>33</v>
      </c>
    </row>
    <row r="515" spans="1:4" x14ac:dyDescent="0.3">
      <c r="A515" s="13" t="s">
        <v>148</v>
      </c>
      <c r="B515" s="14">
        <v>0.81858165562717022</v>
      </c>
      <c r="C515" s="13" t="s">
        <v>89</v>
      </c>
      <c r="D515" s="13" t="s">
        <v>36</v>
      </c>
    </row>
    <row r="516" spans="1:4" x14ac:dyDescent="0.3">
      <c r="A516" s="13" t="s">
        <v>148</v>
      </c>
      <c r="B516" s="14">
        <v>0.4901469708265484</v>
      </c>
      <c r="C516" s="13" t="s">
        <v>89</v>
      </c>
      <c r="D516" s="13" t="s">
        <v>41</v>
      </c>
    </row>
    <row r="517" spans="1:4" x14ac:dyDescent="0.3">
      <c r="A517" s="13" t="s">
        <v>148</v>
      </c>
      <c r="B517" s="14">
        <v>0.76417095420329229</v>
      </c>
      <c r="C517" s="13" t="s">
        <v>90</v>
      </c>
      <c r="D517" s="13" t="s">
        <v>0</v>
      </c>
    </row>
    <row r="518" spans="1:4" x14ac:dyDescent="0.3">
      <c r="A518" s="13" t="s">
        <v>148</v>
      </c>
      <c r="B518" s="14">
        <v>0.87517246320491915</v>
      </c>
      <c r="C518" s="13" t="s">
        <v>90</v>
      </c>
      <c r="D518" s="13" t="s">
        <v>33</v>
      </c>
    </row>
    <row r="519" spans="1:4" x14ac:dyDescent="0.3">
      <c r="A519" s="13" t="s">
        <v>148</v>
      </c>
      <c r="B519" s="14">
        <v>0.82048078580095374</v>
      </c>
      <c r="C519" s="13" t="s">
        <v>90</v>
      </c>
      <c r="D519" s="13" t="s">
        <v>29</v>
      </c>
    </row>
    <row r="520" spans="1:4" x14ac:dyDescent="0.3">
      <c r="A520" s="13" t="s">
        <v>148</v>
      </c>
      <c r="B520" s="14">
        <v>0.69746718775100791</v>
      </c>
      <c r="C520" s="13" t="s">
        <v>90</v>
      </c>
      <c r="D520" s="13" t="s">
        <v>36</v>
      </c>
    </row>
    <row r="521" spans="1:4" x14ac:dyDescent="0.3">
      <c r="A521" s="13" t="s">
        <v>148</v>
      </c>
      <c r="B521" s="14">
        <v>0.77874096323866959</v>
      </c>
      <c r="C521" s="13" t="s">
        <v>90</v>
      </c>
      <c r="D521" s="13" t="s">
        <v>41</v>
      </c>
    </row>
    <row r="522" spans="1:4" x14ac:dyDescent="0.3">
      <c r="A522" s="13" t="s">
        <v>148</v>
      </c>
      <c r="B522" s="14">
        <v>0.96554549591408978</v>
      </c>
      <c r="C522" s="13" t="s">
        <v>91</v>
      </c>
      <c r="D522" s="13" t="s">
        <v>29</v>
      </c>
    </row>
    <row r="523" spans="1:4" x14ac:dyDescent="0.3">
      <c r="A523" s="13" t="s">
        <v>148</v>
      </c>
      <c r="B523" s="14">
        <v>0.8007438239873147</v>
      </c>
      <c r="C523" s="13" t="s">
        <v>92</v>
      </c>
      <c r="D523" s="13" t="s">
        <v>42</v>
      </c>
    </row>
    <row r="524" spans="1:4" x14ac:dyDescent="0.3">
      <c r="A524" s="13" t="s">
        <v>148</v>
      </c>
      <c r="B524" s="14">
        <v>0.83353523786409278</v>
      </c>
      <c r="C524" s="13" t="s">
        <v>93</v>
      </c>
      <c r="D524" s="13" t="s">
        <v>33</v>
      </c>
    </row>
    <row r="525" spans="1:4" x14ac:dyDescent="0.3">
      <c r="A525" s="13" t="s">
        <v>148</v>
      </c>
      <c r="B525" s="14">
        <v>0.80963341730333227</v>
      </c>
      <c r="C525" s="13" t="s">
        <v>94</v>
      </c>
      <c r="D525" s="13" t="s">
        <v>42</v>
      </c>
    </row>
    <row r="526" spans="1:4" x14ac:dyDescent="0.3">
      <c r="A526" s="13" t="s">
        <v>148</v>
      </c>
      <c r="B526" s="14">
        <v>1</v>
      </c>
      <c r="C526" s="13" t="s">
        <v>95</v>
      </c>
      <c r="D526" s="13" t="s">
        <v>41</v>
      </c>
    </row>
    <row r="527" spans="1:4" x14ac:dyDescent="0.3">
      <c r="A527" s="13" t="s">
        <v>148</v>
      </c>
      <c r="B527" s="14">
        <v>0.83369027256007033</v>
      </c>
      <c r="C527" s="13" t="s">
        <v>96</v>
      </c>
      <c r="D527" s="13" t="s">
        <v>33</v>
      </c>
    </row>
    <row r="528" spans="1:4" x14ac:dyDescent="0.3">
      <c r="A528" s="13" t="s">
        <v>148</v>
      </c>
      <c r="B528" s="14">
        <v>0.63926009684995821</v>
      </c>
      <c r="C528" s="13" t="s">
        <v>97</v>
      </c>
      <c r="D528" s="13" t="s">
        <v>41</v>
      </c>
    </row>
    <row r="529" spans="1:4" x14ac:dyDescent="0.3">
      <c r="A529" s="13" t="s">
        <v>148</v>
      </c>
      <c r="B529" s="14">
        <v>0.94976065675856958</v>
      </c>
      <c r="C529" s="13" t="s">
        <v>23</v>
      </c>
      <c r="D529" s="13" t="s">
        <v>0</v>
      </c>
    </row>
    <row r="530" spans="1:4" x14ac:dyDescent="0.3">
      <c r="A530" s="13" t="s">
        <v>148</v>
      </c>
      <c r="B530" s="14">
        <v>0.98894850501120546</v>
      </c>
      <c r="C530" s="13" t="s">
        <v>38</v>
      </c>
      <c r="D530" s="13" t="s">
        <v>42</v>
      </c>
    </row>
    <row r="531" spans="1:4" x14ac:dyDescent="0.3">
      <c r="A531" s="13" t="s">
        <v>148</v>
      </c>
      <c r="B531" s="14">
        <v>0.97327793868016776</v>
      </c>
      <c r="C531" s="13" t="s">
        <v>38</v>
      </c>
      <c r="D531" s="13" t="s">
        <v>36</v>
      </c>
    </row>
    <row r="532" spans="1:4" x14ac:dyDescent="0.3">
      <c r="A532" s="13" t="s">
        <v>148</v>
      </c>
      <c r="B532" s="14">
        <v>0.84942017276069715</v>
      </c>
      <c r="C532" s="13" t="s">
        <v>98</v>
      </c>
      <c r="D532" s="13" t="s">
        <v>29</v>
      </c>
    </row>
    <row r="533" spans="1:4" x14ac:dyDescent="0.3">
      <c r="A533" s="13" t="s">
        <v>148</v>
      </c>
      <c r="B533" s="14">
        <v>0.94641129489167397</v>
      </c>
      <c r="C533" s="13" t="s">
        <v>99</v>
      </c>
      <c r="D533" s="13" t="s">
        <v>42</v>
      </c>
    </row>
    <row r="534" spans="1:4" x14ac:dyDescent="0.3">
      <c r="A534" s="13" t="s">
        <v>148</v>
      </c>
      <c r="B534" s="14">
        <v>0.64593694899755971</v>
      </c>
      <c r="C534" s="13" t="s">
        <v>100</v>
      </c>
      <c r="D534" s="13" t="s">
        <v>42</v>
      </c>
    </row>
    <row r="535" spans="1:4" x14ac:dyDescent="0.3">
      <c r="A535" s="13" t="s">
        <v>148</v>
      </c>
      <c r="B535" s="14">
        <v>0.2925008085998575</v>
      </c>
      <c r="C535" s="13" t="s">
        <v>101</v>
      </c>
      <c r="D535" s="13" t="s">
        <v>36</v>
      </c>
    </row>
    <row r="536" spans="1:4" x14ac:dyDescent="0.3">
      <c r="A536" s="13" t="s">
        <v>148</v>
      </c>
      <c r="B536" s="14">
        <v>0.93771474143054367</v>
      </c>
      <c r="C536" s="13" t="s">
        <v>102</v>
      </c>
      <c r="D536" s="13" t="s">
        <v>0</v>
      </c>
    </row>
    <row r="537" spans="1:4" x14ac:dyDescent="0.3">
      <c r="A537" s="13" t="s">
        <v>148</v>
      </c>
      <c r="B537" s="14">
        <v>0.89257347150453148</v>
      </c>
      <c r="C537" s="13" t="s">
        <v>102</v>
      </c>
      <c r="D537" s="13" t="s">
        <v>42</v>
      </c>
    </row>
    <row r="538" spans="1:4" x14ac:dyDescent="0.3">
      <c r="A538" s="13" t="s">
        <v>148</v>
      </c>
      <c r="B538" s="14">
        <v>0.95935465576373924</v>
      </c>
      <c r="C538" s="13" t="s">
        <v>102</v>
      </c>
      <c r="D538" s="13" t="s">
        <v>33</v>
      </c>
    </row>
    <row r="539" spans="1:4" x14ac:dyDescent="0.3">
      <c r="A539" s="13" t="s">
        <v>148</v>
      </c>
      <c r="B539" s="14">
        <v>0.95490628583221837</v>
      </c>
      <c r="C539" s="13" t="s">
        <v>102</v>
      </c>
      <c r="D539" s="13" t="s">
        <v>29</v>
      </c>
    </row>
    <row r="540" spans="1:4" x14ac:dyDescent="0.3">
      <c r="A540" s="13" t="s">
        <v>148</v>
      </c>
      <c r="B540" s="14">
        <v>0.93901930294026115</v>
      </c>
      <c r="C540" s="13" t="s">
        <v>102</v>
      </c>
      <c r="D540" s="13" t="s">
        <v>36</v>
      </c>
    </row>
    <row r="541" spans="1:4" x14ac:dyDescent="0.3">
      <c r="A541" s="13" t="s">
        <v>148</v>
      </c>
      <c r="B541" s="14">
        <v>0.93532522837883281</v>
      </c>
      <c r="C541" s="13" t="s">
        <v>102</v>
      </c>
      <c r="D541" s="13" t="s">
        <v>41</v>
      </c>
    </row>
    <row r="542" spans="1:4" x14ac:dyDescent="0.3">
      <c r="A542" s="13" t="s">
        <v>148</v>
      </c>
      <c r="B542" s="14">
        <v>0.88028543021158645</v>
      </c>
      <c r="C542" s="13" t="s">
        <v>103</v>
      </c>
      <c r="D542" s="13" t="s">
        <v>0</v>
      </c>
    </row>
    <row r="543" spans="1:4" x14ac:dyDescent="0.3">
      <c r="A543" s="13" t="s">
        <v>148</v>
      </c>
      <c r="B543" s="14">
        <v>0.90668648813703578</v>
      </c>
      <c r="C543" s="13" t="s">
        <v>103</v>
      </c>
      <c r="D543" s="13" t="s">
        <v>33</v>
      </c>
    </row>
    <row r="544" spans="1:4" x14ac:dyDescent="0.3">
      <c r="A544" s="13" t="s">
        <v>148</v>
      </c>
      <c r="B544" s="14">
        <v>0.92023532716128609</v>
      </c>
      <c r="C544" s="13" t="s">
        <v>103</v>
      </c>
      <c r="D544" s="13" t="s">
        <v>29</v>
      </c>
    </row>
    <row r="545" spans="1:4" x14ac:dyDescent="0.3">
      <c r="A545" s="13" t="s">
        <v>148</v>
      </c>
      <c r="B545" s="14">
        <v>0.87625509782687694</v>
      </c>
      <c r="C545" s="13" t="s">
        <v>103</v>
      </c>
      <c r="D545" s="13" t="s">
        <v>36</v>
      </c>
    </row>
    <row r="546" spans="1:4" x14ac:dyDescent="0.3">
      <c r="A546" s="13" t="s">
        <v>148</v>
      </c>
      <c r="B546" s="14">
        <v>0.90676736393170676</v>
      </c>
      <c r="C546" s="13" t="s">
        <v>103</v>
      </c>
      <c r="D546" s="13" t="s">
        <v>41</v>
      </c>
    </row>
    <row r="547" spans="1:4" x14ac:dyDescent="0.3">
      <c r="A547" s="13" t="s">
        <v>148</v>
      </c>
      <c r="B547" s="14">
        <v>0.68406366175415678</v>
      </c>
      <c r="C547" s="13" t="s">
        <v>104</v>
      </c>
      <c r="D547" s="13" t="s">
        <v>41</v>
      </c>
    </row>
    <row r="548" spans="1:4" x14ac:dyDescent="0.3">
      <c r="A548" s="13" t="s">
        <v>148</v>
      </c>
      <c r="B548" s="14">
        <v>0.88294566246244477</v>
      </c>
      <c r="C548" s="13" t="s">
        <v>105</v>
      </c>
      <c r="D548" s="13" t="s">
        <v>33</v>
      </c>
    </row>
    <row r="549" spans="1:4" x14ac:dyDescent="0.3">
      <c r="A549" s="13" t="s">
        <v>148</v>
      </c>
      <c r="B549" s="14">
        <v>0.96600040274642107</v>
      </c>
      <c r="C549" s="13" t="s">
        <v>105</v>
      </c>
      <c r="D549" s="13" t="s">
        <v>29</v>
      </c>
    </row>
    <row r="550" spans="1:4" x14ac:dyDescent="0.3">
      <c r="A550" s="13" t="s">
        <v>148</v>
      </c>
      <c r="B550" s="14">
        <v>0.93827723461432855</v>
      </c>
      <c r="C550" s="13" t="s">
        <v>105</v>
      </c>
      <c r="D550" s="13" t="s">
        <v>41</v>
      </c>
    </row>
    <row r="551" spans="1:4" x14ac:dyDescent="0.3">
      <c r="A551" s="13" t="s">
        <v>148</v>
      </c>
      <c r="B551" s="14">
        <v>0.2859890674350955</v>
      </c>
      <c r="C551" s="13" t="s">
        <v>106</v>
      </c>
      <c r="D551" s="13" t="s">
        <v>0</v>
      </c>
    </row>
    <row r="552" spans="1:4" x14ac:dyDescent="0.3">
      <c r="A552" s="13" t="s">
        <v>148</v>
      </c>
      <c r="B552" s="14">
        <v>0.89429024796944756</v>
      </c>
      <c r="C552" s="13" t="s">
        <v>107</v>
      </c>
      <c r="D552" s="13"/>
    </row>
    <row r="553" spans="1:4" x14ac:dyDescent="0.3">
      <c r="A553" s="13" t="s">
        <v>148</v>
      </c>
      <c r="B553" s="14">
        <v>0.89820932792128516</v>
      </c>
      <c r="C553" s="13" t="s">
        <v>107</v>
      </c>
      <c r="D553" s="13" t="s">
        <v>41</v>
      </c>
    </row>
    <row r="554" spans="1:4" x14ac:dyDescent="0.3">
      <c r="A554" s="13" t="s">
        <v>148</v>
      </c>
      <c r="B554" s="14">
        <v>0.87964517450661384</v>
      </c>
      <c r="C554" s="13" t="s">
        <v>108</v>
      </c>
      <c r="D554" s="13" t="s">
        <v>29</v>
      </c>
    </row>
    <row r="555" spans="1:4" x14ac:dyDescent="0.3">
      <c r="A555" s="13" t="s">
        <v>148</v>
      </c>
      <c r="B555" s="14">
        <v>0.75253049001745553</v>
      </c>
      <c r="C555" s="13" t="s">
        <v>24</v>
      </c>
      <c r="D555" s="13"/>
    </row>
    <row r="556" spans="1:4" x14ac:dyDescent="0.3">
      <c r="A556" s="13" t="s">
        <v>148</v>
      </c>
      <c r="B556" s="14">
        <v>0.53399338973332067</v>
      </c>
      <c r="C556" s="13" t="s">
        <v>24</v>
      </c>
      <c r="D556" s="13" t="s">
        <v>0</v>
      </c>
    </row>
    <row r="557" spans="1:4" x14ac:dyDescent="0.3">
      <c r="A557" s="13" t="s">
        <v>148</v>
      </c>
      <c r="B557" s="14">
        <v>0.77817779196012837</v>
      </c>
      <c r="C557" s="13" t="s">
        <v>24</v>
      </c>
      <c r="D557" s="13" t="s">
        <v>42</v>
      </c>
    </row>
    <row r="558" spans="1:4" x14ac:dyDescent="0.3">
      <c r="A558" s="13" t="s">
        <v>148</v>
      </c>
      <c r="B558" s="14">
        <v>0.74926382174781736</v>
      </c>
      <c r="C558" s="13" t="s">
        <v>24</v>
      </c>
      <c r="D558" s="13" t="s">
        <v>33</v>
      </c>
    </row>
    <row r="559" spans="1:4" x14ac:dyDescent="0.3">
      <c r="A559" s="13" t="s">
        <v>148</v>
      </c>
      <c r="B559" s="14">
        <v>0.85492175533885639</v>
      </c>
      <c r="C559" s="13" t="s">
        <v>24</v>
      </c>
      <c r="D559" s="13" t="s">
        <v>29</v>
      </c>
    </row>
    <row r="560" spans="1:4" x14ac:dyDescent="0.3">
      <c r="A560" s="13" t="s">
        <v>148</v>
      </c>
      <c r="B560" s="14">
        <v>0.85261580776583146</v>
      </c>
      <c r="C560" s="13" t="s">
        <v>109</v>
      </c>
      <c r="D560" s="13" t="s">
        <v>41</v>
      </c>
    </row>
    <row r="561" spans="1:4" x14ac:dyDescent="0.3">
      <c r="A561" s="13" t="s">
        <v>148</v>
      </c>
      <c r="B561" s="14">
        <v>0.93139200924401344</v>
      </c>
      <c r="C561" s="13" t="s">
        <v>110</v>
      </c>
      <c r="D561" s="13" t="s">
        <v>0</v>
      </c>
    </row>
    <row r="562" spans="1:4" x14ac:dyDescent="0.3">
      <c r="A562" s="13" t="s">
        <v>148</v>
      </c>
      <c r="B562" s="14">
        <v>0.91831487214211382</v>
      </c>
      <c r="C562" s="13" t="s">
        <v>110</v>
      </c>
      <c r="D562" s="13" t="s">
        <v>33</v>
      </c>
    </row>
    <row r="563" spans="1:4" x14ac:dyDescent="0.3">
      <c r="A563" s="13" t="s">
        <v>148</v>
      </c>
      <c r="B563" s="14">
        <v>0.93360136687689033</v>
      </c>
      <c r="C563" s="13" t="s">
        <v>110</v>
      </c>
      <c r="D563" s="13" t="s">
        <v>29</v>
      </c>
    </row>
    <row r="564" spans="1:4" x14ac:dyDescent="0.3">
      <c r="A564" s="13" t="s">
        <v>148</v>
      </c>
      <c r="B564" s="14">
        <v>0.88868547179433199</v>
      </c>
      <c r="C564" s="13" t="s">
        <v>110</v>
      </c>
      <c r="D564" s="13" t="s">
        <v>36</v>
      </c>
    </row>
    <row r="565" spans="1:4" x14ac:dyDescent="0.3">
      <c r="A565" s="13" t="s">
        <v>148</v>
      </c>
      <c r="B565" s="14">
        <v>0.93616594562998301</v>
      </c>
      <c r="C565" s="13" t="s">
        <v>110</v>
      </c>
      <c r="D565" s="13" t="s">
        <v>41</v>
      </c>
    </row>
    <row r="566" spans="1:4" x14ac:dyDescent="0.3">
      <c r="A566" s="13" t="s">
        <v>148</v>
      </c>
      <c r="B566" s="14">
        <v>0.80752618487726913</v>
      </c>
      <c r="C566" s="13" t="s">
        <v>111</v>
      </c>
      <c r="D566" s="13" t="s">
        <v>41</v>
      </c>
    </row>
    <row r="567" spans="1:4" x14ac:dyDescent="0.3">
      <c r="A567" s="13" t="s">
        <v>148</v>
      </c>
      <c r="B567" s="14">
        <v>0.93706304692543463</v>
      </c>
      <c r="C567" s="13" t="s">
        <v>112</v>
      </c>
      <c r="D567" s="13" t="s">
        <v>0</v>
      </c>
    </row>
    <row r="568" spans="1:4" x14ac:dyDescent="0.3">
      <c r="A568" s="13" t="s">
        <v>148</v>
      </c>
      <c r="B568" s="14">
        <v>0.87044051468981343</v>
      </c>
      <c r="C568" s="13" t="s">
        <v>112</v>
      </c>
      <c r="D568" s="13" t="s">
        <v>42</v>
      </c>
    </row>
    <row r="569" spans="1:4" x14ac:dyDescent="0.3">
      <c r="A569" s="13" t="s">
        <v>148</v>
      </c>
      <c r="B569" s="14">
        <v>0.92828203540181109</v>
      </c>
      <c r="C569" s="13" t="s">
        <v>112</v>
      </c>
      <c r="D569" s="13" t="s">
        <v>33</v>
      </c>
    </row>
    <row r="570" spans="1:4" x14ac:dyDescent="0.3">
      <c r="A570" s="13" t="s">
        <v>148</v>
      </c>
      <c r="B570" s="14">
        <v>0.93018829897773148</v>
      </c>
      <c r="C570" s="13" t="s">
        <v>112</v>
      </c>
      <c r="D570" s="13" t="s">
        <v>29</v>
      </c>
    </row>
    <row r="571" spans="1:4" x14ac:dyDescent="0.3">
      <c r="A571" s="13" t="s">
        <v>148</v>
      </c>
      <c r="B571" s="14">
        <v>0.92188604589608258</v>
      </c>
      <c r="C571" s="13" t="s">
        <v>112</v>
      </c>
      <c r="D571" s="13" t="s">
        <v>36</v>
      </c>
    </row>
    <row r="572" spans="1:4" x14ac:dyDescent="0.3">
      <c r="A572" s="13" t="s">
        <v>148</v>
      </c>
      <c r="B572" s="14">
        <v>0.92845226897113375</v>
      </c>
      <c r="C572" s="13" t="s">
        <v>112</v>
      </c>
      <c r="D572" s="13" t="s">
        <v>41</v>
      </c>
    </row>
    <row r="573" spans="1:4" x14ac:dyDescent="0.3">
      <c r="A573" s="13" t="s">
        <v>148</v>
      </c>
      <c r="B573" s="14">
        <v>0.95511136942661234</v>
      </c>
      <c r="C573" s="13" t="s">
        <v>113</v>
      </c>
      <c r="D573" s="13" t="s">
        <v>41</v>
      </c>
    </row>
    <row r="574" spans="1:4" x14ac:dyDescent="0.3">
      <c r="A574" s="13" t="s">
        <v>148</v>
      </c>
      <c r="B574" s="14">
        <v>0.71268458207186813</v>
      </c>
      <c r="C574" s="13" t="s">
        <v>35</v>
      </c>
      <c r="D574" s="13" t="s">
        <v>33</v>
      </c>
    </row>
    <row r="575" spans="1:4" x14ac:dyDescent="0.3">
      <c r="A575" s="13" t="s">
        <v>148</v>
      </c>
      <c r="B575" s="14">
        <v>0.98419015454848013</v>
      </c>
      <c r="C575" s="13" t="s">
        <v>31</v>
      </c>
      <c r="D575" s="13" t="s">
        <v>33</v>
      </c>
    </row>
    <row r="576" spans="1:4" x14ac:dyDescent="0.3">
      <c r="A576" s="13" t="s">
        <v>148</v>
      </c>
      <c r="B576" s="14">
        <v>0.96007498952515991</v>
      </c>
      <c r="C576" s="13" t="s">
        <v>31</v>
      </c>
      <c r="D576" s="13" t="s">
        <v>29</v>
      </c>
    </row>
    <row r="577" spans="1:4" x14ac:dyDescent="0.3">
      <c r="A577" s="13" t="s">
        <v>148</v>
      </c>
      <c r="B577" s="14">
        <v>0.95324323954124313</v>
      </c>
      <c r="C577" s="13" t="s">
        <v>114</v>
      </c>
      <c r="D577" s="13" t="s">
        <v>29</v>
      </c>
    </row>
    <row r="578" spans="1:4" x14ac:dyDescent="0.3">
      <c r="A578" s="13" t="s">
        <v>148</v>
      </c>
      <c r="B578" s="14">
        <v>0.97639746042236653</v>
      </c>
      <c r="C578" s="13" t="s">
        <v>39</v>
      </c>
      <c r="D578" s="13" t="s">
        <v>36</v>
      </c>
    </row>
    <row r="579" spans="1:4" x14ac:dyDescent="0.3">
      <c r="A579" s="13" t="s">
        <v>148</v>
      </c>
      <c r="B579" s="14">
        <v>0.94805264999250494</v>
      </c>
      <c r="C579" s="13" t="s">
        <v>115</v>
      </c>
      <c r="D579" s="13" t="s">
        <v>0</v>
      </c>
    </row>
    <row r="580" spans="1:4" x14ac:dyDescent="0.3">
      <c r="A580" s="13" t="s">
        <v>148</v>
      </c>
      <c r="B580" s="14">
        <v>0.97330569662923083</v>
      </c>
      <c r="C580" s="13" t="s">
        <v>115</v>
      </c>
      <c r="D580" s="13" t="s">
        <v>42</v>
      </c>
    </row>
    <row r="581" spans="1:4" x14ac:dyDescent="0.3">
      <c r="A581" s="13" t="s">
        <v>148</v>
      </c>
      <c r="B581" s="14">
        <v>0.96485555693293568</v>
      </c>
      <c r="C581" s="13" t="s">
        <v>115</v>
      </c>
      <c r="D581" s="13" t="s">
        <v>33</v>
      </c>
    </row>
    <row r="582" spans="1:4" x14ac:dyDescent="0.3">
      <c r="A582" s="13" t="s">
        <v>148</v>
      </c>
      <c r="B582" s="14">
        <v>0.94365409375386278</v>
      </c>
      <c r="C582" s="13" t="s">
        <v>115</v>
      </c>
      <c r="D582" s="13" t="s">
        <v>29</v>
      </c>
    </row>
    <row r="583" spans="1:4" x14ac:dyDescent="0.3">
      <c r="A583" s="13" t="s">
        <v>148</v>
      </c>
      <c r="B583" s="14">
        <v>0.9629642575992049</v>
      </c>
      <c r="C583" s="13" t="s">
        <v>115</v>
      </c>
      <c r="D583" s="13" t="s">
        <v>36</v>
      </c>
    </row>
    <row r="584" spans="1:4" x14ac:dyDescent="0.3">
      <c r="A584" s="13" t="s">
        <v>148</v>
      </c>
      <c r="B584" s="14">
        <v>0.95740865504797545</v>
      </c>
      <c r="C584" s="13" t="s">
        <v>115</v>
      </c>
      <c r="D584" s="13" t="s">
        <v>41</v>
      </c>
    </row>
    <row r="585" spans="1:4" x14ac:dyDescent="0.3">
      <c r="A585" s="13" t="s">
        <v>148</v>
      </c>
      <c r="B585" s="14">
        <v>0.85657613330600757</v>
      </c>
      <c r="C585" s="13" t="s">
        <v>25</v>
      </c>
      <c r="D585" s="13"/>
    </row>
    <row r="586" spans="1:4" x14ac:dyDescent="0.3">
      <c r="A586" s="13" t="s">
        <v>148</v>
      </c>
      <c r="B586" s="14">
        <v>0.92882154498852398</v>
      </c>
      <c r="C586" s="13" t="s">
        <v>25</v>
      </c>
      <c r="D586" s="13" t="s">
        <v>0</v>
      </c>
    </row>
    <row r="587" spans="1:4" x14ac:dyDescent="0.3">
      <c r="A587" s="13" t="s">
        <v>148</v>
      </c>
      <c r="B587" s="14">
        <v>0.71990943905354465</v>
      </c>
      <c r="C587" s="13" t="s">
        <v>116</v>
      </c>
      <c r="D587" s="13" t="s">
        <v>0</v>
      </c>
    </row>
    <row r="588" spans="1:4" x14ac:dyDescent="0.3">
      <c r="A588" s="13" t="s">
        <v>148</v>
      </c>
      <c r="B588" s="14">
        <v>0.97795191050134378</v>
      </c>
      <c r="C588" s="13" t="s">
        <v>117</v>
      </c>
      <c r="D588" s="13" t="s">
        <v>29</v>
      </c>
    </row>
    <row r="589" spans="1:4" x14ac:dyDescent="0.3">
      <c r="A589" s="13" t="s">
        <v>148</v>
      </c>
      <c r="B589" s="14">
        <v>0.91917731167198258</v>
      </c>
      <c r="C589" s="13" t="s">
        <v>26</v>
      </c>
      <c r="D589" s="13" t="s">
        <v>0</v>
      </c>
    </row>
    <row r="590" spans="1:4" x14ac:dyDescent="0.3">
      <c r="A590" s="13" t="s">
        <v>148</v>
      </c>
      <c r="B590" s="14">
        <v>0.83280074839177687</v>
      </c>
      <c r="C590" s="13" t="s">
        <v>26</v>
      </c>
      <c r="D590" s="13" t="s">
        <v>33</v>
      </c>
    </row>
    <row r="591" spans="1:4" x14ac:dyDescent="0.3">
      <c r="A591" s="13" t="s">
        <v>148</v>
      </c>
      <c r="B591" s="14">
        <v>0.81226289752576353</v>
      </c>
      <c r="C591" s="13" t="s">
        <v>26</v>
      </c>
      <c r="D591" s="13" t="s">
        <v>29</v>
      </c>
    </row>
    <row r="592" spans="1:4" x14ac:dyDescent="0.3">
      <c r="A592" s="13" t="s">
        <v>148</v>
      </c>
      <c r="B592" s="14">
        <v>0.93915367496000879</v>
      </c>
      <c r="C592" s="13" t="s">
        <v>26</v>
      </c>
      <c r="D592" s="13" t="s">
        <v>36</v>
      </c>
    </row>
    <row r="593" spans="1:4" x14ac:dyDescent="0.3">
      <c r="A593" s="13" t="s">
        <v>148</v>
      </c>
      <c r="B593" s="14">
        <v>0.51260754592848845</v>
      </c>
      <c r="C593" s="13" t="s">
        <v>118</v>
      </c>
      <c r="D593" s="13" t="s">
        <v>29</v>
      </c>
    </row>
    <row r="594" spans="1:4" x14ac:dyDescent="0.3">
      <c r="A594" s="13" t="s">
        <v>148</v>
      </c>
      <c r="B594" s="14">
        <v>0.66890028382728639</v>
      </c>
      <c r="C594" s="13" t="s">
        <v>119</v>
      </c>
      <c r="D594" s="13" t="s">
        <v>42</v>
      </c>
    </row>
    <row r="595" spans="1:4" x14ac:dyDescent="0.3">
      <c r="A595" s="13" t="s">
        <v>148</v>
      </c>
      <c r="B595" s="14">
        <v>0.9880209690434566</v>
      </c>
      <c r="C595" s="13" t="s">
        <v>120</v>
      </c>
      <c r="D595" s="13" t="s">
        <v>41</v>
      </c>
    </row>
    <row r="596" spans="1:4" x14ac:dyDescent="0.3">
      <c r="A596" s="13" t="s">
        <v>148</v>
      </c>
      <c r="B596" s="14">
        <v>0.91317161093395804</v>
      </c>
      <c r="C596" s="13" t="s">
        <v>121</v>
      </c>
      <c r="D596" s="13"/>
    </row>
    <row r="597" spans="1:4" x14ac:dyDescent="0.3">
      <c r="A597" s="13" t="s">
        <v>148</v>
      </c>
      <c r="B597" s="14">
        <v>0.76745074255200796</v>
      </c>
      <c r="C597" s="13" t="s">
        <v>121</v>
      </c>
      <c r="D597" s="13" t="s">
        <v>0</v>
      </c>
    </row>
    <row r="598" spans="1:4" x14ac:dyDescent="0.3">
      <c r="A598" s="13" t="s">
        <v>148</v>
      </c>
      <c r="B598" s="14">
        <v>0.85323704097570896</v>
      </c>
      <c r="C598" s="13" t="s">
        <v>122</v>
      </c>
      <c r="D598" s="13" t="s">
        <v>42</v>
      </c>
    </row>
    <row r="599" spans="1:4" x14ac:dyDescent="0.3">
      <c r="A599" s="13" t="s">
        <v>148</v>
      </c>
      <c r="B599" s="14">
        <v>0.7414681943754563</v>
      </c>
      <c r="C599" s="13" t="s">
        <v>123</v>
      </c>
      <c r="D599" s="13" t="s">
        <v>29</v>
      </c>
    </row>
    <row r="600" spans="1:4" x14ac:dyDescent="0.3">
      <c r="A600" s="13" t="s">
        <v>148</v>
      </c>
      <c r="B600" s="14">
        <v>0.97005254060100143</v>
      </c>
      <c r="C600" s="13" t="s">
        <v>124</v>
      </c>
      <c r="D600" s="13" t="s">
        <v>0</v>
      </c>
    </row>
    <row r="601" spans="1:4" x14ac:dyDescent="0.3">
      <c r="A601" s="13" t="s">
        <v>148</v>
      </c>
      <c r="B601" s="14">
        <v>0.83726568428229464</v>
      </c>
      <c r="C601" s="13" t="s">
        <v>124</v>
      </c>
      <c r="D601" s="13" t="s">
        <v>42</v>
      </c>
    </row>
    <row r="602" spans="1:4" x14ac:dyDescent="0.3">
      <c r="A602" s="13" t="s">
        <v>148</v>
      </c>
      <c r="B602" s="14">
        <v>0.96066271433417316</v>
      </c>
      <c r="C602" s="13" t="s">
        <v>124</v>
      </c>
      <c r="D602" s="13" t="s">
        <v>33</v>
      </c>
    </row>
    <row r="603" spans="1:4" x14ac:dyDescent="0.3">
      <c r="A603" s="13" t="s">
        <v>148</v>
      </c>
      <c r="B603" s="14">
        <v>0.96383598514264845</v>
      </c>
      <c r="C603" s="13" t="s">
        <v>124</v>
      </c>
      <c r="D603" s="13" t="s">
        <v>29</v>
      </c>
    </row>
    <row r="604" spans="1:4" x14ac:dyDescent="0.3">
      <c r="A604" s="13" t="s">
        <v>148</v>
      </c>
      <c r="B604" s="14">
        <v>0.94664490240160148</v>
      </c>
      <c r="C604" s="13" t="s">
        <v>124</v>
      </c>
      <c r="D604" s="13" t="s">
        <v>36</v>
      </c>
    </row>
    <row r="605" spans="1:4" x14ac:dyDescent="0.3">
      <c r="A605" s="13" t="s">
        <v>148</v>
      </c>
      <c r="B605" s="14">
        <v>0.96389658423878188</v>
      </c>
      <c r="C605" s="13" t="s">
        <v>124</v>
      </c>
      <c r="D605" s="13" t="s">
        <v>41</v>
      </c>
    </row>
    <row r="606" spans="1:4" x14ac:dyDescent="0.3">
      <c r="A606" s="13" t="s">
        <v>148</v>
      </c>
      <c r="B606" s="14">
        <v>0.58856033179266309</v>
      </c>
      <c r="C606" s="13" t="s">
        <v>125</v>
      </c>
      <c r="D606" s="13" t="s">
        <v>41</v>
      </c>
    </row>
    <row r="607" spans="1:4" x14ac:dyDescent="0.3">
      <c r="A607" s="13" t="s">
        <v>148</v>
      </c>
      <c r="B607" s="14">
        <v>0.95995849154424495</v>
      </c>
      <c r="C607" s="13" t="s">
        <v>126</v>
      </c>
      <c r="D607" s="13" t="s">
        <v>36</v>
      </c>
    </row>
    <row r="608" spans="1:4" x14ac:dyDescent="0.3">
      <c r="A608" s="13" t="s">
        <v>148</v>
      </c>
      <c r="B608" s="14">
        <v>0.8724413508040052</v>
      </c>
      <c r="C608" s="13" t="s">
        <v>127</v>
      </c>
      <c r="D608" s="13" t="s">
        <v>41</v>
      </c>
    </row>
    <row r="609" spans="1:4" x14ac:dyDescent="0.3">
      <c r="A609" s="13" t="s">
        <v>148</v>
      </c>
      <c r="B609" s="14">
        <v>0.9550676669403565</v>
      </c>
      <c r="C609" s="13" t="s">
        <v>128</v>
      </c>
      <c r="D609" s="13" t="s">
        <v>0</v>
      </c>
    </row>
    <row r="610" spans="1:4" x14ac:dyDescent="0.3">
      <c r="A610" s="13" t="s">
        <v>148</v>
      </c>
      <c r="B610" s="14">
        <v>0.95691091011960072</v>
      </c>
      <c r="C610" s="13" t="s">
        <v>128</v>
      </c>
      <c r="D610" s="13" t="s">
        <v>33</v>
      </c>
    </row>
    <row r="611" spans="1:4" x14ac:dyDescent="0.3">
      <c r="A611" s="13" t="s">
        <v>148</v>
      </c>
      <c r="B611" s="14">
        <v>0.93433070985051803</v>
      </c>
      <c r="C611" s="13" t="s">
        <v>128</v>
      </c>
      <c r="D611" s="13" t="s">
        <v>29</v>
      </c>
    </row>
    <row r="612" spans="1:4" x14ac:dyDescent="0.3">
      <c r="A612" s="13" t="s">
        <v>148</v>
      </c>
      <c r="B612" s="14">
        <v>0.96068078710830662</v>
      </c>
      <c r="C612" s="13" t="s">
        <v>128</v>
      </c>
      <c r="D612" s="13" t="s">
        <v>41</v>
      </c>
    </row>
    <row r="613" spans="1:4" x14ac:dyDescent="0.3">
      <c r="A613" s="13" t="s">
        <v>148</v>
      </c>
      <c r="B613" s="14">
        <v>0.90667362559849007</v>
      </c>
      <c r="C613" s="13" t="s">
        <v>129</v>
      </c>
      <c r="D613" s="13" t="s">
        <v>29</v>
      </c>
    </row>
    <row r="614" spans="1:4" x14ac:dyDescent="0.3">
      <c r="A614" s="13" t="s">
        <v>148</v>
      </c>
      <c r="B614" s="14">
        <v>0.97829682642824356</v>
      </c>
      <c r="C614" s="13" t="s">
        <v>27</v>
      </c>
      <c r="D614" s="13" t="s">
        <v>0</v>
      </c>
    </row>
    <row r="615" spans="1:4" x14ac:dyDescent="0.3">
      <c r="A615" s="13" t="s">
        <v>148</v>
      </c>
      <c r="B615" s="14">
        <v>0.98177760086000576</v>
      </c>
      <c r="C615" s="13" t="s">
        <v>27</v>
      </c>
      <c r="D615" s="13" t="s">
        <v>41</v>
      </c>
    </row>
    <row r="616" spans="1:4" x14ac:dyDescent="0.3">
      <c r="A616" s="13" t="s">
        <v>148</v>
      </c>
      <c r="B616" s="14">
        <v>0.43380520496329739</v>
      </c>
      <c r="C616" s="13" t="s">
        <v>130</v>
      </c>
      <c r="D616" s="13" t="s">
        <v>41</v>
      </c>
    </row>
    <row r="617" spans="1:4" x14ac:dyDescent="0.3">
      <c r="A617" s="13" t="s">
        <v>148</v>
      </c>
      <c r="B617" s="14">
        <v>0.97298716965741461</v>
      </c>
      <c r="C617" s="13" t="s">
        <v>131</v>
      </c>
      <c r="D617" s="13" t="s">
        <v>0</v>
      </c>
    </row>
    <row r="618" spans="1:4" x14ac:dyDescent="0.3">
      <c r="A618" s="13" t="s">
        <v>148</v>
      </c>
      <c r="B618" s="14">
        <v>0.94402011402856401</v>
      </c>
      <c r="C618" s="13" t="s">
        <v>131</v>
      </c>
      <c r="D618" s="13" t="s">
        <v>42</v>
      </c>
    </row>
    <row r="619" spans="1:4" x14ac:dyDescent="0.3">
      <c r="A619" s="13" t="s">
        <v>148</v>
      </c>
      <c r="B619" s="14">
        <v>0.96777701502269009</v>
      </c>
      <c r="C619" s="13" t="s">
        <v>131</v>
      </c>
      <c r="D619" s="13" t="s">
        <v>33</v>
      </c>
    </row>
    <row r="620" spans="1:4" x14ac:dyDescent="0.3">
      <c r="A620" s="13" t="s">
        <v>148</v>
      </c>
      <c r="B620" s="14">
        <v>0.96333516627475424</v>
      </c>
      <c r="C620" s="13" t="s">
        <v>131</v>
      </c>
      <c r="D620" s="13" t="s">
        <v>29</v>
      </c>
    </row>
    <row r="621" spans="1:4" x14ac:dyDescent="0.3">
      <c r="A621" s="13" t="s">
        <v>148</v>
      </c>
      <c r="B621" s="14">
        <v>0.9750951320301956</v>
      </c>
      <c r="C621" s="13" t="s">
        <v>131</v>
      </c>
      <c r="D621" s="13" t="s">
        <v>36</v>
      </c>
    </row>
    <row r="622" spans="1:4" x14ac:dyDescent="0.3">
      <c r="A622" s="13" t="s">
        <v>148</v>
      </c>
      <c r="B622" s="14">
        <v>0.9710065488056312</v>
      </c>
      <c r="C622" s="13" t="s">
        <v>131</v>
      </c>
      <c r="D622" s="13" t="s">
        <v>41</v>
      </c>
    </row>
    <row r="623" spans="1:4" x14ac:dyDescent="0.3">
      <c r="A623" s="13" t="s">
        <v>148</v>
      </c>
      <c r="B623" s="14">
        <v>0.97659137835959875</v>
      </c>
      <c r="C623" s="13" t="s">
        <v>44</v>
      </c>
      <c r="D623" s="13" t="s">
        <v>42</v>
      </c>
    </row>
    <row r="624" spans="1:4" x14ac:dyDescent="0.3">
      <c r="A624" s="13" t="s">
        <v>148</v>
      </c>
      <c r="B624" s="14">
        <v>0.89390082049058728</v>
      </c>
      <c r="C624" s="13" t="s">
        <v>45</v>
      </c>
      <c r="D624" s="13" t="s">
        <v>42</v>
      </c>
    </row>
    <row r="625" spans="1:4" x14ac:dyDescent="0.3">
      <c r="A625" s="13" t="s">
        <v>148</v>
      </c>
      <c r="B625" s="14">
        <v>0.95361572535617323</v>
      </c>
      <c r="C625" s="13" t="s">
        <v>46</v>
      </c>
      <c r="D625" s="13" t="s">
        <v>42</v>
      </c>
    </row>
    <row r="626" spans="1:4" x14ac:dyDescent="0.3">
      <c r="A626" s="13" t="s">
        <v>148</v>
      </c>
      <c r="B626" s="14">
        <v>0.76202953548940633</v>
      </c>
      <c r="C626" s="13" t="s">
        <v>132</v>
      </c>
      <c r="D626" s="13" t="s">
        <v>29</v>
      </c>
    </row>
    <row r="627" spans="1:4" x14ac:dyDescent="0.3">
      <c r="A627" s="13" t="s">
        <v>148</v>
      </c>
      <c r="B627" s="14">
        <v>0.94039668785972197</v>
      </c>
      <c r="C627" s="13" t="s">
        <v>133</v>
      </c>
      <c r="D627" s="13"/>
    </row>
    <row r="628" spans="1:4" x14ac:dyDescent="0.3">
      <c r="A628" s="13" t="s">
        <v>148</v>
      </c>
      <c r="B628" s="14">
        <v>0.7761400384386965</v>
      </c>
      <c r="C628" s="13" t="s">
        <v>133</v>
      </c>
      <c r="D628" s="13" t="s">
        <v>0</v>
      </c>
    </row>
    <row r="629" spans="1:4" x14ac:dyDescent="0.3">
      <c r="A629" s="13" t="s">
        <v>148</v>
      </c>
      <c r="B629" s="14">
        <v>0.84362208539592032</v>
      </c>
      <c r="C629" s="13" t="s">
        <v>134</v>
      </c>
      <c r="D629" s="13" t="s">
        <v>36</v>
      </c>
    </row>
    <row r="630" spans="1:4" x14ac:dyDescent="0.3">
      <c r="A630" s="13" t="s">
        <v>148</v>
      </c>
      <c r="B630" s="14">
        <v>0.82613068876527129</v>
      </c>
      <c r="C630" s="13" t="s">
        <v>135</v>
      </c>
      <c r="D630" s="13" t="s">
        <v>0</v>
      </c>
    </row>
    <row r="631" spans="1:4" x14ac:dyDescent="0.3">
      <c r="A631" s="13" t="s">
        <v>148</v>
      </c>
      <c r="B631" s="14">
        <v>0.84967654684031624</v>
      </c>
      <c r="C631" s="13" t="s">
        <v>136</v>
      </c>
      <c r="D631" s="13"/>
    </row>
    <row r="632" spans="1:4" x14ac:dyDescent="0.3">
      <c r="A632" s="13" t="s">
        <v>148</v>
      </c>
      <c r="B632" s="14">
        <v>0.96798781041500759</v>
      </c>
      <c r="C632" s="13" t="s">
        <v>136</v>
      </c>
      <c r="D632" s="13" t="s">
        <v>42</v>
      </c>
    </row>
    <row r="633" spans="1:4" x14ac:dyDescent="0.3">
      <c r="A633" s="13" t="s">
        <v>148</v>
      </c>
      <c r="B633" s="14">
        <v>0.80836503909361923</v>
      </c>
      <c r="C633" s="13" t="s">
        <v>137</v>
      </c>
      <c r="D633" s="13" t="s">
        <v>42</v>
      </c>
    </row>
    <row r="634" spans="1:4" x14ac:dyDescent="0.3">
      <c r="A634" s="13" t="s">
        <v>148</v>
      </c>
      <c r="B634" s="14">
        <v>0.84311196781819286</v>
      </c>
      <c r="C634" s="13" t="s">
        <v>138</v>
      </c>
      <c r="D634" s="13" t="s">
        <v>0</v>
      </c>
    </row>
    <row r="635" spans="1:4" x14ac:dyDescent="0.3">
      <c r="A635" s="13" t="s">
        <v>148</v>
      </c>
      <c r="B635" s="14">
        <v>0.88583541241883368</v>
      </c>
      <c r="C635" s="13" t="s">
        <v>139</v>
      </c>
      <c r="D635" s="13" t="s">
        <v>42</v>
      </c>
    </row>
    <row r="636" spans="1:4" x14ac:dyDescent="0.3">
      <c r="A636" s="13" t="s">
        <v>148</v>
      </c>
      <c r="B636" s="14">
        <v>0.73078262885397605</v>
      </c>
      <c r="C636" s="13" t="s">
        <v>140</v>
      </c>
      <c r="D636" s="13" t="s">
        <v>36</v>
      </c>
    </row>
    <row r="637" spans="1:4" x14ac:dyDescent="0.3">
      <c r="A637" s="13" t="s">
        <v>148</v>
      </c>
      <c r="B637" s="14">
        <v>0.82428411374807964</v>
      </c>
      <c r="C637" s="13" t="s">
        <v>40</v>
      </c>
      <c r="D637" s="13"/>
    </row>
    <row r="638" spans="1:4" x14ac:dyDescent="0.3">
      <c r="A638" s="13" t="s">
        <v>148</v>
      </c>
      <c r="B638" s="14">
        <v>0.93106457731185466</v>
      </c>
      <c r="C638" s="13" t="s">
        <v>40</v>
      </c>
      <c r="D638" s="13" t="s">
        <v>42</v>
      </c>
    </row>
    <row r="639" spans="1:4" x14ac:dyDescent="0.3">
      <c r="A639" s="13" t="s">
        <v>148</v>
      </c>
      <c r="B639" s="14">
        <v>0.94166772577268676</v>
      </c>
      <c r="C639" s="13" t="s">
        <v>40</v>
      </c>
      <c r="D639" s="13" t="s">
        <v>36</v>
      </c>
    </row>
    <row r="640" spans="1:4" x14ac:dyDescent="0.3">
      <c r="A640" s="13" t="s">
        <v>148</v>
      </c>
      <c r="B640" s="14">
        <v>0.82339500707849</v>
      </c>
      <c r="C640" s="13" t="s">
        <v>141</v>
      </c>
      <c r="D640" s="13" t="s">
        <v>29</v>
      </c>
    </row>
    <row r="641" spans="1:4" x14ac:dyDescent="0.3">
      <c r="A641" s="13" t="s">
        <v>148</v>
      </c>
      <c r="B641" s="14">
        <v>0.43894992654190101</v>
      </c>
      <c r="C641" s="13" t="s">
        <v>142</v>
      </c>
      <c r="D641" s="13" t="s">
        <v>41</v>
      </c>
    </row>
    <row r="642" spans="1:4" x14ac:dyDescent="0.3">
      <c r="A642" s="13" t="s">
        <v>148</v>
      </c>
      <c r="B642" s="14">
        <v>0.76398011900075735</v>
      </c>
      <c r="C642" s="13" t="s">
        <v>143</v>
      </c>
      <c r="D642" s="13" t="s">
        <v>42</v>
      </c>
    </row>
    <row r="643" spans="1:4" x14ac:dyDescent="0.3">
      <c r="A643" s="13" t="s">
        <v>148</v>
      </c>
      <c r="B643" s="14">
        <v>0.92714957998413705</v>
      </c>
      <c r="C643" s="13" t="s">
        <v>144</v>
      </c>
      <c r="D643" s="13" t="s">
        <v>42</v>
      </c>
    </row>
    <row r="644" spans="1:4" x14ac:dyDescent="0.3">
      <c r="A644" s="13" t="s">
        <v>148</v>
      </c>
      <c r="B644" s="14">
        <v>0.95047533304606602</v>
      </c>
      <c r="C644" s="13" t="s">
        <v>47</v>
      </c>
      <c r="D644" s="13" t="s">
        <v>42</v>
      </c>
    </row>
    <row r="645" spans="1:4" x14ac:dyDescent="0.3">
      <c r="A645" s="13" t="s">
        <v>148</v>
      </c>
      <c r="B645" s="14">
        <v>0.94891330437339205</v>
      </c>
      <c r="C645" s="13" t="s">
        <v>145</v>
      </c>
      <c r="D645" s="13" t="s">
        <v>0</v>
      </c>
    </row>
    <row r="646" spans="1:4" x14ac:dyDescent="0.3">
      <c r="A646" s="13" t="s">
        <v>148</v>
      </c>
      <c r="B646" s="14">
        <v>0.89224516626593919</v>
      </c>
      <c r="C646" s="13" t="s">
        <v>146</v>
      </c>
      <c r="D646" s="13" t="s">
        <v>41</v>
      </c>
    </row>
    <row r="647" spans="1:4" x14ac:dyDescent="0.3">
      <c r="A647" s="13" t="s">
        <v>148</v>
      </c>
      <c r="B647" s="14">
        <v>0.85840242273577494</v>
      </c>
      <c r="C647" s="13" t="s">
        <v>32</v>
      </c>
      <c r="D647" s="13" t="s">
        <v>33</v>
      </c>
    </row>
    <row r="648" spans="1:4" x14ac:dyDescent="0.3">
      <c r="A648" s="13" t="s">
        <v>148</v>
      </c>
      <c r="B648" s="14">
        <v>0.97587427140777294</v>
      </c>
      <c r="C648" s="13" t="s">
        <v>32</v>
      </c>
      <c r="D648" s="13" t="s">
        <v>29</v>
      </c>
    </row>
    <row r="649" spans="1:4" x14ac:dyDescent="0.3">
      <c r="A649" s="13" t="s">
        <v>148</v>
      </c>
      <c r="B649" s="14">
        <v>0.96294332034131824</v>
      </c>
      <c r="C649" s="13" t="s">
        <v>32</v>
      </c>
      <c r="D649" s="13" t="s">
        <v>36</v>
      </c>
    </row>
    <row r="650" spans="1:4" x14ac:dyDescent="0.3">
      <c r="A650" s="13" t="s">
        <v>149</v>
      </c>
      <c r="B650" s="14">
        <v>1</v>
      </c>
      <c r="C650" s="13" t="s">
        <v>53</v>
      </c>
      <c r="D650" s="13" t="s">
        <v>0</v>
      </c>
    </row>
    <row r="651" spans="1:4" x14ac:dyDescent="0.3">
      <c r="A651" s="13" t="s">
        <v>149</v>
      </c>
      <c r="B651" s="14">
        <v>0.8547539809455883</v>
      </c>
      <c r="C651" s="13" t="s">
        <v>54</v>
      </c>
      <c r="D651" s="13" t="s">
        <v>29</v>
      </c>
    </row>
    <row r="652" spans="1:4" x14ac:dyDescent="0.3">
      <c r="A652" s="13" t="s">
        <v>149</v>
      </c>
      <c r="B652" s="14">
        <v>0.90323636003382202</v>
      </c>
      <c r="C652" s="13" t="s">
        <v>55</v>
      </c>
      <c r="D652" s="13" t="s">
        <v>0</v>
      </c>
    </row>
    <row r="653" spans="1:4" x14ac:dyDescent="0.3">
      <c r="A653" s="13" t="s">
        <v>149</v>
      </c>
      <c r="B653" s="14">
        <v>0.97661742255975381</v>
      </c>
      <c r="C653" s="13" t="s">
        <v>55</v>
      </c>
      <c r="D653" s="13" t="s">
        <v>33</v>
      </c>
    </row>
    <row r="654" spans="1:4" x14ac:dyDescent="0.3">
      <c r="A654" s="13" t="s">
        <v>149</v>
      </c>
      <c r="B654" s="14">
        <v>0.90218887354218757</v>
      </c>
      <c r="C654" s="13" t="s">
        <v>55</v>
      </c>
      <c r="D654" s="13" t="s">
        <v>29</v>
      </c>
    </row>
    <row r="655" spans="1:4" x14ac:dyDescent="0.3">
      <c r="A655" s="13" t="s">
        <v>149</v>
      </c>
      <c r="B655" s="14">
        <v>0.6361625540012622</v>
      </c>
      <c r="C655" s="13" t="s">
        <v>56</v>
      </c>
      <c r="D655" s="13" t="s">
        <v>29</v>
      </c>
    </row>
    <row r="656" spans="1:4" x14ac:dyDescent="0.3">
      <c r="A656" s="13" t="s">
        <v>149</v>
      </c>
      <c r="B656" s="14">
        <v>0.46958116683434248</v>
      </c>
      <c r="C656" s="13" t="s">
        <v>57</v>
      </c>
      <c r="D656" s="13" t="s">
        <v>0</v>
      </c>
    </row>
    <row r="657" spans="1:4" x14ac:dyDescent="0.3">
      <c r="A657" s="13" t="s">
        <v>149</v>
      </c>
      <c r="B657" s="14">
        <v>0.50519353436947101</v>
      </c>
      <c r="C657" s="13" t="s">
        <v>57</v>
      </c>
      <c r="D657" s="13" t="s">
        <v>33</v>
      </c>
    </row>
    <row r="658" spans="1:4" x14ac:dyDescent="0.3">
      <c r="A658" s="13" t="s">
        <v>149</v>
      </c>
      <c r="B658" s="14">
        <v>0.46150041098540751</v>
      </c>
      <c r="C658" s="13" t="s">
        <v>57</v>
      </c>
      <c r="D658" s="13" t="s">
        <v>29</v>
      </c>
    </row>
    <row r="659" spans="1:4" x14ac:dyDescent="0.3">
      <c r="A659" s="13" t="s">
        <v>149</v>
      </c>
      <c r="B659" s="14">
        <v>0.51625889990422291</v>
      </c>
      <c r="C659" s="13" t="s">
        <v>57</v>
      </c>
      <c r="D659" s="13" t="s">
        <v>36</v>
      </c>
    </row>
    <row r="660" spans="1:4" x14ac:dyDescent="0.3">
      <c r="A660" s="13" t="s">
        <v>149</v>
      </c>
      <c r="B660" s="14">
        <v>0.32789866628525738</v>
      </c>
      <c r="C660" s="13" t="s">
        <v>57</v>
      </c>
      <c r="D660" s="13" t="s">
        <v>41</v>
      </c>
    </row>
    <row r="661" spans="1:4" x14ac:dyDescent="0.3">
      <c r="A661" s="13" t="s">
        <v>149</v>
      </c>
      <c r="B661" s="14">
        <v>0.930060002717644</v>
      </c>
      <c r="C661" s="13" t="s">
        <v>37</v>
      </c>
      <c r="D661" s="13"/>
    </row>
    <row r="662" spans="1:4" x14ac:dyDescent="0.3">
      <c r="A662" s="13" t="s">
        <v>149</v>
      </c>
      <c r="B662" s="14">
        <v>0.98137141291182106</v>
      </c>
      <c r="C662" s="13" t="s">
        <v>37</v>
      </c>
      <c r="D662" s="13" t="s">
        <v>42</v>
      </c>
    </row>
    <row r="663" spans="1:4" x14ac:dyDescent="0.3">
      <c r="A663" s="13" t="s">
        <v>149</v>
      </c>
      <c r="B663" s="14">
        <v>0.97859280674142957</v>
      </c>
      <c r="C663" s="13" t="s">
        <v>37</v>
      </c>
      <c r="D663" s="13" t="s">
        <v>36</v>
      </c>
    </row>
    <row r="664" spans="1:4" x14ac:dyDescent="0.3">
      <c r="A664" s="13" t="s">
        <v>149</v>
      </c>
      <c r="B664" s="14">
        <v>0.94670853037562208</v>
      </c>
      <c r="C664" s="13" t="s">
        <v>30</v>
      </c>
      <c r="D664" s="13" t="s">
        <v>42</v>
      </c>
    </row>
    <row r="665" spans="1:4" x14ac:dyDescent="0.3">
      <c r="A665" s="13" t="s">
        <v>149</v>
      </c>
      <c r="B665" s="14">
        <v>0.98190763293782346</v>
      </c>
      <c r="C665" s="13" t="s">
        <v>30</v>
      </c>
      <c r="D665" s="13" t="s">
        <v>29</v>
      </c>
    </row>
    <row r="666" spans="1:4" x14ac:dyDescent="0.3">
      <c r="A666" s="13" t="s">
        <v>149</v>
      </c>
      <c r="B666" s="14">
        <v>0.97640275199746696</v>
      </c>
      <c r="C666" s="13" t="s">
        <v>30</v>
      </c>
      <c r="D666" s="13" t="s">
        <v>36</v>
      </c>
    </row>
    <row r="667" spans="1:4" x14ac:dyDescent="0.3">
      <c r="A667" s="13" t="s">
        <v>149</v>
      </c>
      <c r="B667" s="14">
        <v>0.94036635996724693</v>
      </c>
      <c r="C667" s="13" t="s">
        <v>28</v>
      </c>
      <c r="D667" s="13" t="s">
        <v>33</v>
      </c>
    </row>
    <row r="668" spans="1:4" x14ac:dyDescent="0.3">
      <c r="A668" s="13" t="s">
        <v>149</v>
      </c>
      <c r="B668" s="14">
        <v>0.89347468689846699</v>
      </c>
      <c r="C668" s="13" t="s">
        <v>34</v>
      </c>
      <c r="D668" s="13" t="s">
        <v>33</v>
      </c>
    </row>
    <row r="669" spans="1:4" x14ac:dyDescent="0.3">
      <c r="A669" s="13" t="s">
        <v>149</v>
      </c>
      <c r="B669" s="14">
        <v>0.93237744646096021</v>
      </c>
      <c r="C669" s="13" t="s">
        <v>58</v>
      </c>
      <c r="D669" s="13" t="s">
        <v>29</v>
      </c>
    </row>
    <row r="670" spans="1:4" x14ac:dyDescent="0.3">
      <c r="A670" s="13" t="s">
        <v>149</v>
      </c>
      <c r="B670" s="14">
        <v>0.6837989842083616</v>
      </c>
      <c r="C670" s="13" t="s">
        <v>59</v>
      </c>
      <c r="D670" s="13" t="s">
        <v>0</v>
      </c>
    </row>
    <row r="671" spans="1:4" x14ac:dyDescent="0.3">
      <c r="A671" s="13" t="s">
        <v>149</v>
      </c>
      <c r="B671" s="14">
        <v>0.64558782030003825</v>
      </c>
      <c r="C671" s="13" t="s">
        <v>59</v>
      </c>
      <c r="D671" s="13" t="s">
        <v>33</v>
      </c>
    </row>
    <row r="672" spans="1:4" x14ac:dyDescent="0.3">
      <c r="A672" s="13" t="s">
        <v>149</v>
      </c>
      <c r="B672" s="14">
        <v>0.85645548476890676</v>
      </c>
      <c r="C672" s="13" t="s">
        <v>60</v>
      </c>
      <c r="D672" s="13" t="s">
        <v>33</v>
      </c>
    </row>
    <row r="673" spans="1:4" x14ac:dyDescent="0.3">
      <c r="A673" s="13" t="s">
        <v>149</v>
      </c>
      <c r="B673" s="14">
        <v>0.43624891335394078</v>
      </c>
      <c r="C673" s="13" t="s">
        <v>61</v>
      </c>
      <c r="D673" s="13" t="s">
        <v>36</v>
      </c>
    </row>
    <row r="674" spans="1:4" x14ac:dyDescent="0.3">
      <c r="A674" s="13" t="s">
        <v>149</v>
      </c>
      <c r="B674" s="14">
        <v>0.82410031246332249</v>
      </c>
      <c r="C674" s="13" t="s">
        <v>62</v>
      </c>
      <c r="D674" s="13"/>
    </row>
    <row r="675" spans="1:4" x14ac:dyDescent="0.3">
      <c r="A675" s="13" t="s">
        <v>149</v>
      </c>
      <c r="B675" s="14">
        <v>0.69160971298276053</v>
      </c>
      <c r="C675" s="13" t="s">
        <v>62</v>
      </c>
      <c r="D675" s="13" t="s">
        <v>0</v>
      </c>
    </row>
    <row r="676" spans="1:4" x14ac:dyDescent="0.3">
      <c r="A676" s="13" t="s">
        <v>149</v>
      </c>
      <c r="B676" s="14">
        <v>0.78919901013315574</v>
      </c>
      <c r="C676" s="13" t="s">
        <v>63</v>
      </c>
      <c r="D676" s="13"/>
    </row>
    <row r="677" spans="1:4" x14ac:dyDescent="0.3">
      <c r="A677" s="13" t="s">
        <v>149</v>
      </c>
      <c r="B677" s="14">
        <v>0.78138952821259966</v>
      </c>
      <c r="C677" s="13" t="s">
        <v>63</v>
      </c>
      <c r="D677" s="13" t="s">
        <v>42</v>
      </c>
    </row>
    <row r="678" spans="1:4" x14ac:dyDescent="0.3">
      <c r="A678" s="13" t="s">
        <v>149</v>
      </c>
      <c r="B678" s="14">
        <v>0.55404974990510236</v>
      </c>
      <c r="C678" s="13" t="s">
        <v>64</v>
      </c>
      <c r="D678" s="13" t="s">
        <v>0</v>
      </c>
    </row>
    <row r="679" spans="1:4" x14ac:dyDescent="0.3">
      <c r="A679" s="13" t="s">
        <v>149</v>
      </c>
      <c r="B679" s="14">
        <v>0.84902229507338289</v>
      </c>
      <c r="C679" s="13" t="s">
        <v>65</v>
      </c>
      <c r="D679" s="13" t="s">
        <v>41</v>
      </c>
    </row>
    <row r="680" spans="1:4" x14ac:dyDescent="0.3">
      <c r="A680" s="13" t="s">
        <v>149</v>
      </c>
      <c r="B680" s="14">
        <v>0.93824549964643422</v>
      </c>
      <c r="C680" s="13" t="s">
        <v>66</v>
      </c>
      <c r="D680" s="13" t="s">
        <v>29</v>
      </c>
    </row>
    <row r="681" spans="1:4" x14ac:dyDescent="0.3">
      <c r="A681" s="13" t="s">
        <v>149</v>
      </c>
      <c r="B681" s="14">
        <v>0.9438754989271384</v>
      </c>
      <c r="C681" s="13" t="s">
        <v>66</v>
      </c>
      <c r="D681" s="13" t="s">
        <v>41</v>
      </c>
    </row>
    <row r="682" spans="1:4" x14ac:dyDescent="0.3">
      <c r="A682" s="13" t="s">
        <v>149</v>
      </c>
      <c r="B682" s="14">
        <v>0.97219802160257185</v>
      </c>
      <c r="C682" s="13" t="s">
        <v>67</v>
      </c>
      <c r="D682" s="13" t="s">
        <v>0</v>
      </c>
    </row>
    <row r="683" spans="1:4" x14ac:dyDescent="0.3">
      <c r="A683" s="13" t="s">
        <v>149</v>
      </c>
      <c r="B683" s="14">
        <v>0.9692140043161368</v>
      </c>
      <c r="C683" s="13" t="s">
        <v>67</v>
      </c>
      <c r="D683" s="13" t="s">
        <v>33</v>
      </c>
    </row>
    <row r="684" spans="1:4" x14ac:dyDescent="0.3">
      <c r="A684" s="13" t="s">
        <v>149</v>
      </c>
      <c r="B684" s="14">
        <v>0.93538901812749931</v>
      </c>
      <c r="C684" s="13" t="s">
        <v>67</v>
      </c>
      <c r="D684" s="13" t="s">
        <v>29</v>
      </c>
    </row>
    <row r="685" spans="1:4" x14ac:dyDescent="0.3">
      <c r="A685" s="13" t="s">
        <v>149</v>
      </c>
      <c r="B685" s="14">
        <v>0.95008043806179332</v>
      </c>
      <c r="C685" s="13" t="s">
        <v>67</v>
      </c>
      <c r="D685" s="13" t="s">
        <v>36</v>
      </c>
    </row>
    <row r="686" spans="1:4" x14ac:dyDescent="0.3">
      <c r="A686" s="13" t="s">
        <v>149</v>
      </c>
      <c r="B686" s="14">
        <v>0.95657391701715022</v>
      </c>
      <c r="C686" s="13" t="s">
        <v>67</v>
      </c>
      <c r="D686" s="13" t="s">
        <v>41</v>
      </c>
    </row>
    <row r="687" spans="1:4" x14ac:dyDescent="0.3">
      <c r="A687" s="13" t="s">
        <v>149</v>
      </c>
      <c r="B687" s="14">
        <v>0.83001883808463428</v>
      </c>
      <c r="C687" s="13" t="s">
        <v>68</v>
      </c>
      <c r="D687" s="13" t="s">
        <v>0</v>
      </c>
    </row>
    <row r="688" spans="1:4" x14ac:dyDescent="0.3">
      <c r="A688" s="13" t="s">
        <v>149</v>
      </c>
      <c r="B688" s="14">
        <v>0.51155302653378787</v>
      </c>
      <c r="C688" s="13" t="s">
        <v>69</v>
      </c>
      <c r="D688" s="13" t="s">
        <v>36</v>
      </c>
    </row>
    <row r="689" spans="1:4" x14ac:dyDescent="0.3">
      <c r="A689" s="13" t="s">
        <v>149</v>
      </c>
      <c r="B689" s="14">
        <v>0.93273180317790561</v>
      </c>
      <c r="C689" s="13" t="s">
        <v>15</v>
      </c>
      <c r="D689" s="13"/>
    </row>
    <row r="690" spans="1:4" x14ac:dyDescent="0.3">
      <c r="A690" s="13" t="s">
        <v>149</v>
      </c>
      <c r="B690" s="14">
        <v>0.48520852313689711</v>
      </c>
      <c r="C690" s="13" t="s">
        <v>15</v>
      </c>
      <c r="D690" s="13" t="s">
        <v>0</v>
      </c>
    </row>
    <row r="691" spans="1:4" x14ac:dyDescent="0.3">
      <c r="A691" s="13" t="s">
        <v>149</v>
      </c>
      <c r="B691" s="14">
        <v>0.93769426739446993</v>
      </c>
      <c r="C691" s="13" t="s">
        <v>15</v>
      </c>
      <c r="D691" s="13" t="s">
        <v>42</v>
      </c>
    </row>
    <row r="692" spans="1:4" x14ac:dyDescent="0.3">
      <c r="A692" s="13" t="s">
        <v>149</v>
      </c>
      <c r="B692" s="14">
        <v>0.94116254607746519</v>
      </c>
      <c r="C692" s="13" t="s">
        <v>15</v>
      </c>
      <c r="D692" s="13" t="s">
        <v>36</v>
      </c>
    </row>
    <row r="693" spans="1:4" x14ac:dyDescent="0.3">
      <c r="A693" s="13" t="s">
        <v>149</v>
      </c>
      <c r="B693" s="14">
        <v>0.70193042964606878</v>
      </c>
      <c r="C693" s="13" t="s">
        <v>70</v>
      </c>
      <c r="D693" s="13" t="s">
        <v>33</v>
      </c>
    </row>
    <row r="694" spans="1:4" x14ac:dyDescent="0.3">
      <c r="A694" s="13" t="s">
        <v>149</v>
      </c>
      <c r="B694" s="14">
        <v>0.94852165437429015</v>
      </c>
      <c r="C694" s="13" t="s">
        <v>43</v>
      </c>
      <c r="D694" s="13"/>
    </row>
    <row r="695" spans="1:4" x14ac:dyDescent="0.3">
      <c r="A695" s="13" t="s">
        <v>149</v>
      </c>
      <c r="B695" s="14">
        <v>0.92374329551245982</v>
      </c>
      <c r="C695" s="13" t="s">
        <v>43</v>
      </c>
      <c r="D695" s="13" t="s">
        <v>42</v>
      </c>
    </row>
    <row r="696" spans="1:4" x14ac:dyDescent="0.3">
      <c r="A696" s="13" t="s">
        <v>149</v>
      </c>
      <c r="B696" s="14">
        <v>0.86506447938602982</v>
      </c>
      <c r="C696" s="13" t="s">
        <v>71</v>
      </c>
      <c r="D696" s="13" t="s">
        <v>42</v>
      </c>
    </row>
    <row r="697" spans="1:4" x14ac:dyDescent="0.3">
      <c r="A697" s="13" t="s">
        <v>149</v>
      </c>
      <c r="B697" s="14">
        <v>0.93635891501466517</v>
      </c>
      <c r="C697" s="13" t="s">
        <v>72</v>
      </c>
      <c r="D697" s="13" t="s">
        <v>36</v>
      </c>
    </row>
    <row r="698" spans="1:4" x14ac:dyDescent="0.3">
      <c r="A698" s="13" t="s">
        <v>149</v>
      </c>
      <c r="B698" s="14">
        <v>0.89356590734645702</v>
      </c>
      <c r="C698" s="13" t="s">
        <v>73</v>
      </c>
      <c r="D698" s="13" t="s">
        <v>33</v>
      </c>
    </row>
    <row r="699" spans="1:4" x14ac:dyDescent="0.3">
      <c r="A699" s="13" t="s">
        <v>149</v>
      </c>
      <c r="B699" s="14">
        <v>0.92333756806070222</v>
      </c>
      <c r="C699" s="13" t="s">
        <v>74</v>
      </c>
      <c r="D699" s="13"/>
    </row>
    <row r="700" spans="1:4" x14ac:dyDescent="0.3">
      <c r="A700" s="13" t="s">
        <v>149</v>
      </c>
      <c r="B700" s="14">
        <v>0.82440511044838782</v>
      </c>
      <c r="C700" s="13" t="s">
        <v>74</v>
      </c>
      <c r="D700" s="13" t="s">
        <v>41</v>
      </c>
    </row>
    <row r="701" spans="1:4" x14ac:dyDescent="0.3">
      <c r="A701" s="13" t="s">
        <v>149</v>
      </c>
      <c r="B701" s="14">
        <v>0.94561242552834046</v>
      </c>
      <c r="C701" s="13" t="s">
        <v>75</v>
      </c>
      <c r="D701" s="13" t="s">
        <v>0</v>
      </c>
    </row>
    <row r="702" spans="1:4" x14ac:dyDescent="0.3">
      <c r="A702" s="13" t="s">
        <v>149</v>
      </c>
      <c r="B702" s="14">
        <v>0.94242305512172309</v>
      </c>
      <c r="C702" s="13" t="s">
        <v>75</v>
      </c>
      <c r="D702" s="13" t="s">
        <v>33</v>
      </c>
    </row>
    <row r="703" spans="1:4" x14ac:dyDescent="0.3">
      <c r="A703" s="13" t="s">
        <v>149</v>
      </c>
      <c r="B703" s="14">
        <v>0.93944361516677022</v>
      </c>
      <c r="C703" s="13" t="s">
        <v>75</v>
      </c>
      <c r="D703" s="13" t="s">
        <v>29</v>
      </c>
    </row>
    <row r="704" spans="1:4" x14ac:dyDescent="0.3">
      <c r="A704" s="13" t="s">
        <v>149</v>
      </c>
      <c r="B704" s="14">
        <v>0.72576011158472165</v>
      </c>
      <c r="C704" s="13" t="s">
        <v>76</v>
      </c>
      <c r="D704" s="13" t="s">
        <v>0</v>
      </c>
    </row>
    <row r="705" spans="1:4" x14ac:dyDescent="0.3">
      <c r="A705" s="13" t="s">
        <v>149</v>
      </c>
      <c r="B705" s="14">
        <v>0.62154877669886721</v>
      </c>
      <c r="C705" s="13" t="s">
        <v>77</v>
      </c>
      <c r="D705" s="13"/>
    </row>
    <row r="706" spans="1:4" x14ac:dyDescent="0.3">
      <c r="A706" s="13" t="s">
        <v>149</v>
      </c>
      <c r="B706" s="14">
        <v>0.44891380920927137</v>
      </c>
      <c r="C706" s="13" t="s">
        <v>77</v>
      </c>
      <c r="D706" s="13" t="s">
        <v>29</v>
      </c>
    </row>
    <row r="707" spans="1:4" x14ac:dyDescent="0.3">
      <c r="A707" s="13" t="s">
        <v>149</v>
      </c>
      <c r="B707" s="14">
        <v>0.97616590226359801</v>
      </c>
      <c r="C707" s="13" t="s">
        <v>78</v>
      </c>
      <c r="D707" s="13" t="s">
        <v>33</v>
      </c>
    </row>
    <row r="708" spans="1:4" x14ac:dyDescent="0.3">
      <c r="A708" s="13" t="s">
        <v>149</v>
      </c>
      <c r="B708" s="14">
        <v>0.98126050810985965</v>
      </c>
      <c r="C708" s="13" t="s">
        <v>78</v>
      </c>
      <c r="D708" s="13" t="s">
        <v>29</v>
      </c>
    </row>
    <row r="709" spans="1:4" x14ac:dyDescent="0.3">
      <c r="A709" s="13" t="s">
        <v>149</v>
      </c>
      <c r="B709" s="14">
        <v>0.86252475938215922</v>
      </c>
      <c r="C709" s="13" t="s">
        <v>79</v>
      </c>
      <c r="D709" s="13" t="s">
        <v>33</v>
      </c>
    </row>
    <row r="710" spans="1:4" x14ac:dyDescent="0.3">
      <c r="A710" s="13" t="s">
        <v>149</v>
      </c>
      <c r="B710" s="14">
        <v>0.95495879333997502</v>
      </c>
      <c r="C710" s="13" t="s">
        <v>22</v>
      </c>
      <c r="D710" s="13" t="s">
        <v>0</v>
      </c>
    </row>
    <row r="711" spans="1:4" x14ac:dyDescent="0.3">
      <c r="A711" s="13" t="s">
        <v>149</v>
      </c>
      <c r="B711" s="14">
        <v>0.9610640343637733</v>
      </c>
      <c r="C711" s="13" t="s">
        <v>22</v>
      </c>
      <c r="D711" s="13" t="s">
        <v>41</v>
      </c>
    </row>
    <row r="712" spans="1:4" x14ac:dyDescent="0.3">
      <c r="A712" s="13" t="s">
        <v>149</v>
      </c>
      <c r="B712" s="14">
        <v>0.47008574367601152</v>
      </c>
      <c r="C712" s="13" t="s">
        <v>80</v>
      </c>
      <c r="D712" s="13" t="s">
        <v>29</v>
      </c>
    </row>
    <row r="713" spans="1:4" x14ac:dyDescent="0.3">
      <c r="A713" s="13" t="s">
        <v>149</v>
      </c>
      <c r="B713" s="14">
        <v>0.29193079708291308</v>
      </c>
      <c r="C713" s="13" t="s">
        <v>81</v>
      </c>
      <c r="D713" s="13" t="s">
        <v>33</v>
      </c>
    </row>
    <row r="714" spans="1:4" x14ac:dyDescent="0.3">
      <c r="A714" s="13" t="s">
        <v>149</v>
      </c>
      <c r="B714" s="14">
        <v>0.95882542491001821</v>
      </c>
      <c r="C714" s="13" t="s">
        <v>82</v>
      </c>
      <c r="D714" s="13" t="s">
        <v>33</v>
      </c>
    </row>
    <row r="715" spans="1:4" x14ac:dyDescent="0.3">
      <c r="A715" s="13" t="s">
        <v>149</v>
      </c>
      <c r="B715" s="14">
        <v>0.96046005542500157</v>
      </c>
      <c r="C715" s="13" t="s">
        <v>82</v>
      </c>
      <c r="D715" s="13" t="s">
        <v>29</v>
      </c>
    </row>
    <row r="716" spans="1:4" x14ac:dyDescent="0.3">
      <c r="A716" s="13" t="s">
        <v>149</v>
      </c>
      <c r="B716" s="14">
        <v>0.96130766448069438</v>
      </c>
      <c r="C716" s="13" t="s">
        <v>82</v>
      </c>
      <c r="D716" s="13" t="s">
        <v>41</v>
      </c>
    </row>
    <row r="717" spans="1:4" x14ac:dyDescent="0.3">
      <c r="A717" s="13" t="s">
        <v>149</v>
      </c>
      <c r="B717" s="14">
        <v>0.81789283638975108</v>
      </c>
      <c r="C717" s="13" t="s">
        <v>83</v>
      </c>
      <c r="D717" s="13" t="s">
        <v>0</v>
      </c>
    </row>
    <row r="718" spans="1:4" x14ac:dyDescent="0.3">
      <c r="A718" s="13" t="s">
        <v>149</v>
      </c>
      <c r="B718" s="14">
        <v>0.83103187551180668</v>
      </c>
      <c r="C718" s="13" t="s">
        <v>83</v>
      </c>
      <c r="D718" s="13" t="s">
        <v>33</v>
      </c>
    </row>
    <row r="719" spans="1:4" x14ac:dyDescent="0.3">
      <c r="A719" s="13" t="s">
        <v>149</v>
      </c>
      <c r="B719" s="14">
        <v>0.73936777551203681</v>
      </c>
      <c r="C719" s="13" t="s">
        <v>83</v>
      </c>
      <c r="D719" s="13" t="s">
        <v>41</v>
      </c>
    </row>
    <row r="720" spans="1:4" x14ac:dyDescent="0.3">
      <c r="A720" s="13" t="s">
        <v>149</v>
      </c>
      <c r="B720" s="14">
        <v>0.77778688729611289</v>
      </c>
      <c r="C720" s="13" t="s">
        <v>84</v>
      </c>
      <c r="D720" s="13"/>
    </row>
    <row r="721" spans="1:4" x14ac:dyDescent="0.3">
      <c r="A721" s="13" t="s">
        <v>149</v>
      </c>
      <c r="B721" s="14">
        <v>0.89948383841021318</v>
      </c>
      <c r="C721" s="13" t="s">
        <v>84</v>
      </c>
      <c r="D721" s="13" t="s">
        <v>42</v>
      </c>
    </row>
    <row r="722" spans="1:4" x14ac:dyDescent="0.3">
      <c r="A722" s="13" t="s">
        <v>149</v>
      </c>
      <c r="B722" s="14">
        <v>0.89065937223330649</v>
      </c>
      <c r="C722" s="13" t="s">
        <v>85</v>
      </c>
      <c r="D722" s="13" t="s">
        <v>33</v>
      </c>
    </row>
    <row r="723" spans="1:4" x14ac:dyDescent="0.3">
      <c r="A723" s="13" t="s">
        <v>149</v>
      </c>
      <c r="B723" s="14">
        <v>0.83681096770716712</v>
      </c>
      <c r="C723" s="13" t="s">
        <v>85</v>
      </c>
      <c r="D723" s="13" t="s">
        <v>41</v>
      </c>
    </row>
    <row r="724" spans="1:4" x14ac:dyDescent="0.3">
      <c r="A724" s="13" t="s">
        <v>149</v>
      </c>
      <c r="B724" s="14">
        <v>0.95850051922259194</v>
      </c>
      <c r="C724" s="13" t="s">
        <v>86</v>
      </c>
      <c r="D724" s="13" t="s">
        <v>29</v>
      </c>
    </row>
    <row r="725" spans="1:4" x14ac:dyDescent="0.3">
      <c r="A725" s="13" t="s">
        <v>149</v>
      </c>
      <c r="B725" s="14">
        <v>0.77354548811996104</v>
      </c>
      <c r="C725" s="13" t="s">
        <v>87</v>
      </c>
      <c r="D725" s="13" t="s">
        <v>0</v>
      </c>
    </row>
    <row r="726" spans="1:4" x14ac:dyDescent="0.3">
      <c r="A726" s="13" t="s">
        <v>149</v>
      </c>
      <c r="B726" s="14">
        <v>0.57258478043004402</v>
      </c>
      <c r="C726" s="13" t="s">
        <v>87</v>
      </c>
      <c r="D726" s="13" t="s">
        <v>29</v>
      </c>
    </row>
    <row r="727" spans="1:4" x14ac:dyDescent="0.3">
      <c r="A727" s="13" t="s">
        <v>149</v>
      </c>
      <c r="B727" s="14">
        <v>0.55180678713451325</v>
      </c>
      <c r="C727" s="13" t="s">
        <v>87</v>
      </c>
      <c r="D727" s="13" t="s">
        <v>36</v>
      </c>
    </row>
    <row r="728" spans="1:4" x14ac:dyDescent="0.3">
      <c r="A728" s="13" t="s">
        <v>149</v>
      </c>
      <c r="B728" s="14">
        <v>0.95653495433965197</v>
      </c>
      <c r="C728" s="13" t="s">
        <v>88</v>
      </c>
      <c r="D728" s="13" t="s">
        <v>29</v>
      </c>
    </row>
    <row r="729" spans="1:4" x14ac:dyDescent="0.3">
      <c r="A729" s="13" t="s">
        <v>149</v>
      </c>
      <c r="B729" s="14">
        <v>0.86686288534439604</v>
      </c>
      <c r="C729" s="13" t="s">
        <v>89</v>
      </c>
      <c r="D729" s="13"/>
    </row>
    <row r="730" spans="1:4" x14ac:dyDescent="0.3">
      <c r="A730" s="13" t="s">
        <v>149</v>
      </c>
      <c r="B730" s="14">
        <v>0.90713084432941893</v>
      </c>
      <c r="C730" s="13" t="s">
        <v>89</v>
      </c>
      <c r="D730" s="13" t="s">
        <v>42</v>
      </c>
    </row>
    <row r="731" spans="1:4" x14ac:dyDescent="0.3">
      <c r="A731" s="13" t="s">
        <v>149</v>
      </c>
      <c r="B731" s="14">
        <v>0.70596792327283553</v>
      </c>
      <c r="C731" s="13" t="s">
        <v>89</v>
      </c>
      <c r="D731" s="13" t="s">
        <v>33</v>
      </c>
    </row>
    <row r="732" spans="1:4" x14ac:dyDescent="0.3">
      <c r="A732" s="13" t="s">
        <v>149</v>
      </c>
      <c r="B732" s="14">
        <v>0.80492460526047094</v>
      </c>
      <c r="C732" s="13" t="s">
        <v>89</v>
      </c>
      <c r="D732" s="13" t="s">
        <v>36</v>
      </c>
    </row>
    <row r="733" spans="1:4" x14ac:dyDescent="0.3">
      <c r="A733" s="13" t="s">
        <v>149</v>
      </c>
      <c r="B733" s="14">
        <v>0.53662355743287848</v>
      </c>
      <c r="C733" s="13" t="s">
        <v>89</v>
      </c>
      <c r="D733" s="13" t="s">
        <v>41</v>
      </c>
    </row>
    <row r="734" spans="1:4" x14ac:dyDescent="0.3">
      <c r="A734" s="13" t="s">
        <v>149</v>
      </c>
      <c r="B734" s="14">
        <v>0.76713802709487067</v>
      </c>
      <c r="C734" s="13" t="s">
        <v>90</v>
      </c>
      <c r="D734" s="13" t="s">
        <v>0</v>
      </c>
    </row>
    <row r="735" spans="1:4" x14ac:dyDescent="0.3">
      <c r="A735" s="13" t="s">
        <v>149</v>
      </c>
      <c r="B735" s="14">
        <v>0.88976631472255763</v>
      </c>
      <c r="C735" s="13" t="s">
        <v>90</v>
      </c>
      <c r="D735" s="13" t="s">
        <v>33</v>
      </c>
    </row>
    <row r="736" spans="1:4" x14ac:dyDescent="0.3">
      <c r="A736" s="13" t="s">
        <v>149</v>
      </c>
      <c r="B736" s="14">
        <v>0.80142264781618211</v>
      </c>
      <c r="C736" s="13" t="s">
        <v>90</v>
      </c>
      <c r="D736" s="13" t="s">
        <v>29</v>
      </c>
    </row>
    <row r="737" spans="1:4" x14ac:dyDescent="0.3">
      <c r="A737" s="13" t="s">
        <v>149</v>
      </c>
      <c r="B737" s="14">
        <v>0.70830814124463648</v>
      </c>
      <c r="C737" s="13" t="s">
        <v>90</v>
      </c>
      <c r="D737" s="13" t="s">
        <v>36</v>
      </c>
    </row>
    <row r="738" spans="1:4" x14ac:dyDescent="0.3">
      <c r="A738" s="13" t="s">
        <v>149</v>
      </c>
      <c r="B738" s="14">
        <v>0.77670002419837247</v>
      </c>
      <c r="C738" s="13" t="s">
        <v>90</v>
      </c>
      <c r="D738" s="13" t="s">
        <v>41</v>
      </c>
    </row>
    <row r="739" spans="1:4" x14ac:dyDescent="0.3">
      <c r="A739" s="13" t="s">
        <v>149</v>
      </c>
      <c r="B739" s="14">
        <v>0.9435882651769365</v>
      </c>
      <c r="C739" s="13" t="s">
        <v>91</v>
      </c>
      <c r="D739" s="13" t="s">
        <v>29</v>
      </c>
    </row>
    <row r="740" spans="1:4" x14ac:dyDescent="0.3">
      <c r="A740" s="13" t="s">
        <v>149</v>
      </c>
      <c r="B740" s="14">
        <v>0.86591328760210717</v>
      </c>
      <c r="C740" s="13" t="s">
        <v>92</v>
      </c>
      <c r="D740" s="13" t="s">
        <v>42</v>
      </c>
    </row>
    <row r="741" spans="1:4" x14ac:dyDescent="0.3">
      <c r="A741" s="13" t="s">
        <v>149</v>
      </c>
      <c r="B741" s="14">
        <v>0.8170470526064455</v>
      </c>
      <c r="C741" s="13" t="s">
        <v>93</v>
      </c>
      <c r="D741" s="13" t="s">
        <v>33</v>
      </c>
    </row>
    <row r="742" spans="1:4" x14ac:dyDescent="0.3">
      <c r="A742" s="13" t="s">
        <v>149</v>
      </c>
      <c r="B742" s="14">
        <v>0.81986173818949226</v>
      </c>
      <c r="C742" s="13" t="s">
        <v>94</v>
      </c>
      <c r="D742" s="13" t="s">
        <v>42</v>
      </c>
    </row>
    <row r="743" spans="1:4" x14ac:dyDescent="0.3">
      <c r="A743" s="13" t="s">
        <v>149</v>
      </c>
      <c r="B743" s="14">
        <v>0.999732572085408</v>
      </c>
      <c r="C743" s="13" t="s">
        <v>95</v>
      </c>
      <c r="D743" s="13" t="s">
        <v>41</v>
      </c>
    </row>
    <row r="744" spans="1:4" x14ac:dyDescent="0.3">
      <c r="A744" s="13" t="s">
        <v>149</v>
      </c>
      <c r="B744" s="14">
        <v>0.86242416246235487</v>
      </c>
      <c r="C744" s="13" t="s">
        <v>96</v>
      </c>
      <c r="D744" s="13" t="s">
        <v>33</v>
      </c>
    </row>
    <row r="745" spans="1:4" x14ac:dyDescent="0.3">
      <c r="A745" s="13" t="s">
        <v>149</v>
      </c>
      <c r="B745" s="14">
        <v>0.64047146178543257</v>
      </c>
      <c r="C745" s="13" t="s">
        <v>97</v>
      </c>
      <c r="D745" s="13" t="s">
        <v>41</v>
      </c>
    </row>
    <row r="746" spans="1:4" x14ac:dyDescent="0.3">
      <c r="A746" s="13" t="s">
        <v>149</v>
      </c>
      <c r="B746" s="14">
        <v>0.96287735016027165</v>
      </c>
      <c r="C746" s="13" t="s">
        <v>23</v>
      </c>
      <c r="D746" s="13" t="s">
        <v>0</v>
      </c>
    </row>
    <row r="747" spans="1:4" x14ac:dyDescent="0.3">
      <c r="A747" s="13" t="s">
        <v>149</v>
      </c>
      <c r="B747" s="14">
        <v>0.98810265631476757</v>
      </c>
      <c r="C747" s="13" t="s">
        <v>38</v>
      </c>
      <c r="D747" s="13" t="s">
        <v>42</v>
      </c>
    </row>
    <row r="748" spans="1:4" x14ac:dyDescent="0.3">
      <c r="A748" s="13" t="s">
        <v>149</v>
      </c>
      <c r="B748" s="14">
        <v>0.98439968648240361</v>
      </c>
      <c r="C748" s="13" t="s">
        <v>38</v>
      </c>
      <c r="D748" s="13" t="s">
        <v>36</v>
      </c>
    </row>
    <row r="749" spans="1:4" x14ac:dyDescent="0.3">
      <c r="A749" s="13" t="s">
        <v>149</v>
      </c>
      <c r="B749" s="14">
        <v>0.83750863989262203</v>
      </c>
      <c r="C749" s="13" t="s">
        <v>98</v>
      </c>
      <c r="D749" s="13" t="s">
        <v>29</v>
      </c>
    </row>
    <row r="750" spans="1:4" x14ac:dyDescent="0.3">
      <c r="A750" s="13" t="s">
        <v>149</v>
      </c>
      <c r="B750" s="14">
        <v>0.95861732784233022</v>
      </c>
      <c r="C750" s="13" t="s">
        <v>99</v>
      </c>
      <c r="D750" s="13" t="s">
        <v>42</v>
      </c>
    </row>
    <row r="751" spans="1:4" x14ac:dyDescent="0.3">
      <c r="A751" s="13" t="s">
        <v>149</v>
      </c>
      <c r="B751" s="14">
        <v>0.78545809101966024</v>
      </c>
      <c r="C751" s="13" t="s">
        <v>100</v>
      </c>
      <c r="D751" s="13" t="s">
        <v>42</v>
      </c>
    </row>
    <row r="752" spans="1:4" x14ac:dyDescent="0.3">
      <c r="A752" s="13" t="s">
        <v>149</v>
      </c>
      <c r="B752" s="14">
        <v>0.44733539546167339</v>
      </c>
      <c r="C752" s="13" t="s">
        <v>101</v>
      </c>
      <c r="D752" s="13" t="s">
        <v>36</v>
      </c>
    </row>
    <row r="753" spans="1:4" x14ac:dyDescent="0.3">
      <c r="A753" s="13" t="s">
        <v>149</v>
      </c>
      <c r="B753" s="14">
        <v>0.95963467557036342</v>
      </c>
      <c r="C753" s="13" t="s">
        <v>102</v>
      </c>
      <c r="D753" s="13" t="s">
        <v>0</v>
      </c>
    </row>
    <row r="754" spans="1:4" x14ac:dyDescent="0.3">
      <c r="A754" s="13" t="s">
        <v>149</v>
      </c>
      <c r="B754" s="14">
        <v>0.94192744869623246</v>
      </c>
      <c r="C754" s="13" t="s">
        <v>102</v>
      </c>
      <c r="D754" s="13" t="s">
        <v>42</v>
      </c>
    </row>
    <row r="755" spans="1:4" x14ac:dyDescent="0.3">
      <c r="A755" s="13" t="s">
        <v>149</v>
      </c>
      <c r="B755" s="14">
        <v>0.95602043887858323</v>
      </c>
      <c r="C755" s="13" t="s">
        <v>102</v>
      </c>
      <c r="D755" s="13" t="s">
        <v>33</v>
      </c>
    </row>
    <row r="756" spans="1:4" x14ac:dyDescent="0.3">
      <c r="A756" s="13" t="s">
        <v>149</v>
      </c>
      <c r="B756" s="14">
        <v>0.96373176837242136</v>
      </c>
      <c r="C756" s="13" t="s">
        <v>102</v>
      </c>
      <c r="D756" s="13" t="s">
        <v>29</v>
      </c>
    </row>
    <row r="757" spans="1:4" x14ac:dyDescent="0.3">
      <c r="A757" s="13" t="s">
        <v>149</v>
      </c>
      <c r="B757" s="14">
        <v>0.96961346606480037</v>
      </c>
      <c r="C757" s="13" t="s">
        <v>102</v>
      </c>
      <c r="D757" s="13" t="s">
        <v>36</v>
      </c>
    </row>
    <row r="758" spans="1:4" x14ac:dyDescent="0.3">
      <c r="A758" s="13" t="s">
        <v>149</v>
      </c>
      <c r="B758" s="14">
        <v>0.94596260815825206</v>
      </c>
      <c r="C758" s="13" t="s">
        <v>102</v>
      </c>
      <c r="D758" s="13" t="s">
        <v>41</v>
      </c>
    </row>
    <row r="759" spans="1:4" x14ac:dyDescent="0.3">
      <c r="A759" s="13" t="s">
        <v>149</v>
      </c>
      <c r="B759" s="14">
        <v>0.90663417346040653</v>
      </c>
      <c r="C759" s="13" t="s">
        <v>103</v>
      </c>
      <c r="D759" s="13" t="s">
        <v>0</v>
      </c>
    </row>
    <row r="760" spans="1:4" x14ac:dyDescent="0.3">
      <c r="A760" s="13" t="s">
        <v>149</v>
      </c>
      <c r="B760" s="14">
        <v>0.9226044539437902</v>
      </c>
      <c r="C760" s="13" t="s">
        <v>103</v>
      </c>
      <c r="D760" s="13" t="s">
        <v>33</v>
      </c>
    </row>
    <row r="761" spans="1:4" x14ac:dyDescent="0.3">
      <c r="A761" s="13" t="s">
        <v>149</v>
      </c>
      <c r="B761" s="14">
        <v>0.94056942334683957</v>
      </c>
      <c r="C761" s="13" t="s">
        <v>103</v>
      </c>
      <c r="D761" s="13" t="s">
        <v>29</v>
      </c>
    </row>
    <row r="762" spans="1:4" x14ac:dyDescent="0.3">
      <c r="A762" s="13" t="s">
        <v>149</v>
      </c>
      <c r="B762" s="14">
        <v>0.92068623471650879</v>
      </c>
      <c r="C762" s="13" t="s">
        <v>103</v>
      </c>
      <c r="D762" s="13" t="s">
        <v>36</v>
      </c>
    </row>
    <row r="763" spans="1:4" x14ac:dyDescent="0.3">
      <c r="A763" s="13" t="s">
        <v>149</v>
      </c>
      <c r="B763" s="14">
        <v>0.92773526357449443</v>
      </c>
      <c r="C763" s="13" t="s">
        <v>103</v>
      </c>
      <c r="D763" s="13" t="s">
        <v>41</v>
      </c>
    </row>
    <row r="764" spans="1:4" x14ac:dyDescent="0.3">
      <c r="A764" s="13" t="s">
        <v>149</v>
      </c>
      <c r="B764" s="14">
        <v>0.69075943500005299</v>
      </c>
      <c r="C764" s="13" t="s">
        <v>104</v>
      </c>
      <c r="D764" s="13" t="s">
        <v>41</v>
      </c>
    </row>
    <row r="765" spans="1:4" x14ac:dyDescent="0.3">
      <c r="A765" s="13" t="s">
        <v>149</v>
      </c>
      <c r="B765" s="14">
        <v>0.89118297913770406</v>
      </c>
      <c r="C765" s="13" t="s">
        <v>105</v>
      </c>
      <c r="D765" s="13" t="s">
        <v>33</v>
      </c>
    </row>
    <row r="766" spans="1:4" x14ac:dyDescent="0.3">
      <c r="A766" s="13" t="s">
        <v>149</v>
      </c>
      <c r="B766" s="14">
        <v>0.96841027637830246</v>
      </c>
      <c r="C766" s="13" t="s">
        <v>105</v>
      </c>
      <c r="D766" s="13" t="s">
        <v>29</v>
      </c>
    </row>
    <row r="767" spans="1:4" x14ac:dyDescent="0.3">
      <c r="A767" s="13" t="s">
        <v>149</v>
      </c>
      <c r="B767" s="14">
        <v>0.93564413096231924</v>
      </c>
      <c r="C767" s="13" t="s">
        <v>105</v>
      </c>
      <c r="D767" s="13" t="s">
        <v>41</v>
      </c>
    </row>
    <row r="768" spans="1:4" x14ac:dyDescent="0.3">
      <c r="A768" s="13" t="s">
        <v>149</v>
      </c>
      <c r="B768" s="14">
        <v>0.31471908106439</v>
      </c>
      <c r="C768" s="13" t="s">
        <v>106</v>
      </c>
      <c r="D768" s="13" t="s">
        <v>0</v>
      </c>
    </row>
    <row r="769" spans="1:4" x14ac:dyDescent="0.3">
      <c r="A769" s="13" t="s">
        <v>149</v>
      </c>
      <c r="B769" s="14">
        <v>0.94523632824570469</v>
      </c>
      <c r="C769" s="13" t="s">
        <v>107</v>
      </c>
      <c r="D769" s="13"/>
    </row>
    <row r="770" spans="1:4" x14ac:dyDescent="0.3">
      <c r="A770" s="13" t="s">
        <v>149</v>
      </c>
      <c r="B770" s="14">
        <v>0.95035521482609397</v>
      </c>
      <c r="C770" s="13" t="s">
        <v>107</v>
      </c>
      <c r="D770" s="13" t="s">
        <v>41</v>
      </c>
    </row>
    <row r="771" spans="1:4" x14ac:dyDescent="0.3">
      <c r="A771" s="13" t="s">
        <v>149</v>
      </c>
      <c r="B771" s="14">
        <v>0.89627607494574413</v>
      </c>
      <c r="C771" s="13" t="s">
        <v>108</v>
      </c>
      <c r="D771" s="13" t="s">
        <v>29</v>
      </c>
    </row>
    <row r="772" spans="1:4" x14ac:dyDescent="0.3">
      <c r="A772" s="13" t="s">
        <v>149</v>
      </c>
      <c r="B772" s="14">
        <v>0.887603565788466</v>
      </c>
      <c r="C772" s="13" t="s">
        <v>24</v>
      </c>
      <c r="D772" s="13"/>
    </row>
    <row r="773" spans="1:4" x14ac:dyDescent="0.3">
      <c r="A773" s="13" t="s">
        <v>149</v>
      </c>
      <c r="B773" s="14">
        <v>0.5801127329157546</v>
      </c>
      <c r="C773" s="13" t="s">
        <v>24</v>
      </c>
      <c r="D773" s="13" t="s">
        <v>0</v>
      </c>
    </row>
    <row r="774" spans="1:4" x14ac:dyDescent="0.3">
      <c r="A774" s="13" t="s">
        <v>149</v>
      </c>
      <c r="B774" s="14">
        <v>0.85336577498922017</v>
      </c>
      <c r="C774" s="13" t="s">
        <v>24</v>
      </c>
      <c r="D774" s="13" t="s">
        <v>42</v>
      </c>
    </row>
    <row r="775" spans="1:4" x14ac:dyDescent="0.3">
      <c r="A775" s="13" t="s">
        <v>149</v>
      </c>
      <c r="B775" s="14">
        <v>0.66331329723387755</v>
      </c>
      <c r="C775" s="13" t="s">
        <v>24</v>
      </c>
      <c r="D775" s="13" t="s">
        <v>33</v>
      </c>
    </row>
    <row r="776" spans="1:4" x14ac:dyDescent="0.3">
      <c r="A776" s="13" t="s">
        <v>149</v>
      </c>
      <c r="B776" s="14">
        <v>0.93375609644490032</v>
      </c>
      <c r="C776" s="13" t="s">
        <v>24</v>
      </c>
      <c r="D776" s="13" t="s">
        <v>29</v>
      </c>
    </row>
    <row r="777" spans="1:4" x14ac:dyDescent="0.3">
      <c r="A777" s="13" t="s">
        <v>149</v>
      </c>
      <c r="B777" s="14">
        <v>0.87255889500214778</v>
      </c>
      <c r="C777" s="13" t="s">
        <v>109</v>
      </c>
      <c r="D777" s="13" t="s">
        <v>41</v>
      </c>
    </row>
    <row r="778" spans="1:4" x14ac:dyDescent="0.3">
      <c r="A778" s="13" t="s">
        <v>149</v>
      </c>
      <c r="B778" s="14">
        <v>0.95015643052089627</v>
      </c>
      <c r="C778" s="13" t="s">
        <v>110</v>
      </c>
      <c r="D778" s="13" t="s">
        <v>0</v>
      </c>
    </row>
    <row r="779" spans="1:4" x14ac:dyDescent="0.3">
      <c r="A779" s="13" t="s">
        <v>149</v>
      </c>
      <c r="B779" s="14">
        <v>0.93840604426177809</v>
      </c>
      <c r="C779" s="13" t="s">
        <v>110</v>
      </c>
      <c r="D779" s="13" t="s">
        <v>33</v>
      </c>
    </row>
    <row r="780" spans="1:4" x14ac:dyDescent="0.3">
      <c r="A780" s="13" t="s">
        <v>149</v>
      </c>
      <c r="B780" s="14">
        <v>0.94533027242710199</v>
      </c>
      <c r="C780" s="13" t="s">
        <v>110</v>
      </c>
      <c r="D780" s="13" t="s">
        <v>29</v>
      </c>
    </row>
    <row r="781" spans="1:4" x14ac:dyDescent="0.3">
      <c r="A781" s="13" t="s">
        <v>149</v>
      </c>
      <c r="B781" s="14">
        <v>0.91546991395330957</v>
      </c>
      <c r="C781" s="13" t="s">
        <v>110</v>
      </c>
      <c r="D781" s="13" t="s">
        <v>36</v>
      </c>
    </row>
    <row r="782" spans="1:4" x14ac:dyDescent="0.3">
      <c r="A782" s="13" t="s">
        <v>149</v>
      </c>
      <c r="B782" s="14">
        <v>0.94899312274587633</v>
      </c>
      <c r="C782" s="13" t="s">
        <v>110</v>
      </c>
      <c r="D782" s="13" t="s">
        <v>41</v>
      </c>
    </row>
    <row r="783" spans="1:4" x14ac:dyDescent="0.3">
      <c r="A783" s="13" t="s">
        <v>149</v>
      </c>
      <c r="B783" s="14">
        <v>0.90449662976063894</v>
      </c>
      <c r="C783" s="13" t="s">
        <v>111</v>
      </c>
      <c r="D783" s="13" t="s">
        <v>33</v>
      </c>
    </row>
    <row r="784" spans="1:4" x14ac:dyDescent="0.3">
      <c r="A784" s="13" t="s">
        <v>149</v>
      </c>
      <c r="B784" s="14">
        <v>0.94765429724131567</v>
      </c>
      <c r="C784" s="13" t="s">
        <v>112</v>
      </c>
      <c r="D784" s="13" t="s">
        <v>0</v>
      </c>
    </row>
    <row r="785" spans="1:4" x14ac:dyDescent="0.3">
      <c r="A785" s="13" t="s">
        <v>149</v>
      </c>
      <c r="B785" s="14">
        <v>0.88459474192278365</v>
      </c>
      <c r="C785" s="13" t="s">
        <v>112</v>
      </c>
      <c r="D785" s="13" t="s">
        <v>42</v>
      </c>
    </row>
    <row r="786" spans="1:4" x14ac:dyDescent="0.3">
      <c r="A786" s="13" t="s">
        <v>149</v>
      </c>
      <c r="B786" s="14">
        <v>0.94711042054711603</v>
      </c>
      <c r="C786" s="13" t="s">
        <v>112</v>
      </c>
      <c r="D786" s="13" t="s">
        <v>33</v>
      </c>
    </row>
    <row r="787" spans="1:4" x14ac:dyDescent="0.3">
      <c r="A787" s="13" t="s">
        <v>149</v>
      </c>
      <c r="B787" s="14">
        <v>0.93554440008033779</v>
      </c>
      <c r="C787" s="13" t="s">
        <v>112</v>
      </c>
      <c r="D787" s="13" t="s">
        <v>29</v>
      </c>
    </row>
    <row r="788" spans="1:4" x14ac:dyDescent="0.3">
      <c r="A788" s="13" t="s">
        <v>149</v>
      </c>
      <c r="B788" s="14">
        <v>0.93280381794221345</v>
      </c>
      <c r="C788" s="13" t="s">
        <v>112</v>
      </c>
      <c r="D788" s="13" t="s">
        <v>36</v>
      </c>
    </row>
    <row r="789" spans="1:4" x14ac:dyDescent="0.3">
      <c r="A789" s="13" t="s">
        <v>149</v>
      </c>
      <c r="B789" s="14">
        <v>0.93911518575815001</v>
      </c>
      <c r="C789" s="13" t="s">
        <v>112</v>
      </c>
      <c r="D789" s="13" t="s">
        <v>41</v>
      </c>
    </row>
    <row r="790" spans="1:4" x14ac:dyDescent="0.3">
      <c r="A790" s="13" t="s">
        <v>149</v>
      </c>
      <c r="B790" s="14">
        <v>0.82918657587382827</v>
      </c>
      <c r="C790" s="13" t="s">
        <v>35</v>
      </c>
      <c r="D790" s="13" t="s">
        <v>33</v>
      </c>
    </row>
    <row r="791" spans="1:4" x14ac:dyDescent="0.3">
      <c r="A791" s="13" t="s">
        <v>149</v>
      </c>
      <c r="B791" s="14">
        <v>0.99143779112347352</v>
      </c>
      <c r="C791" s="13" t="s">
        <v>31</v>
      </c>
      <c r="D791" s="13" t="s">
        <v>33</v>
      </c>
    </row>
    <row r="792" spans="1:4" x14ac:dyDescent="0.3">
      <c r="A792" s="13" t="s">
        <v>149</v>
      </c>
      <c r="B792" s="14">
        <v>0.96167197347406574</v>
      </c>
      <c r="C792" s="13" t="s">
        <v>31</v>
      </c>
      <c r="D792" s="13" t="s">
        <v>29</v>
      </c>
    </row>
    <row r="793" spans="1:4" x14ac:dyDescent="0.3">
      <c r="A793" s="13" t="s">
        <v>149</v>
      </c>
      <c r="B793" s="14">
        <v>0.84063626082616594</v>
      </c>
      <c r="C793" s="13" t="s">
        <v>114</v>
      </c>
      <c r="D793" s="13" t="s">
        <v>29</v>
      </c>
    </row>
    <row r="794" spans="1:4" x14ac:dyDescent="0.3">
      <c r="A794" s="13" t="s">
        <v>149</v>
      </c>
      <c r="B794" s="14">
        <v>0.97584811212469413</v>
      </c>
      <c r="C794" s="13" t="s">
        <v>39</v>
      </c>
      <c r="D794" s="13" t="s">
        <v>36</v>
      </c>
    </row>
    <row r="795" spans="1:4" x14ac:dyDescent="0.3">
      <c r="A795" s="13" t="s">
        <v>149</v>
      </c>
      <c r="B795" s="14">
        <v>2.1322869657426531E-2</v>
      </c>
      <c r="C795" s="13" t="s">
        <v>150</v>
      </c>
      <c r="D795" s="13" t="s">
        <v>36</v>
      </c>
    </row>
    <row r="796" spans="1:4" x14ac:dyDescent="0.3">
      <c r="A796" s="13" t="s">
        <v>149</v>
      </c>
      <c r="B796" s="14">
        <v>0.9507844705077978</v>
      </c>
      <c r="C796" s="13" t="s">
        <v>115</v>
      </c>
      <c r="D796" s="13" t="s">
        <v>0</v>
      </c>
    </row>
    <row r="797" spans="1:4" x14ac:dyDescent="0.3">
      <c r="A797" s="13" t="s">
        <v>149</v>
      </c>
      <c r="B797" s="14">
        <v>0.95341363434451787</v>
      </c>
      <c r="C797" s="13" t="s">
        <v>115</v>
      </c>
      <c r="D797" s="13" t="s">
        <v>42</v>
      </c>
    </row>
    <row r="798" spans="1:4" x14ac:dyDescent="0.3">
      <c r="A798" s="13" t="s">
        <v>149</v>
      </c>
      <c r="B798" s="14">
        <v>0.97068972212441462</v>
      </c>
      <c r="C798" s="13" t="s">
        <v>115</v>
      </c>
      <c r="D798" s="13" t="s">
        <v>33</v>
      </c>
    </row>
    <row r="799" spans="1:4" x14ac:dyDescent="0.3">
      <c r="A799" s="13" t="s">
        <v>149</v>
      </c>
      <c r="B799" s="14">
        <v>0.95552909519185014</v>
      </c>
      <c r="C799" s="13" t="s">
        <v>115</v>
      </c>
      <c r="D799" s="13" t="s">
        <v>29</v>
      </c>
    </row>
    <row r="800" spans="1:4" x14ac:dyDescent="0.3">
      <c r="A800" s="13" t="s">
        <v>149</v>
      </c>
      <c r="B800" s="14">
        <v>0.96850907320702218</v>
      </c>
      <c r="C800" s="13" t="s">
        <v>115</v>
      </c>
      <c r="D800" s="13" t="s">
        <v>36</v>
      </c>
    </row>
    <row r="801" spans="1:4" x14ac:dyDescent="0.3">
      <c r="A801" s="13" t="s">
        <v>149</v>
      </c>
      <c r="B801" s="14">
        <v>0.96242510543775994</v>
      </c>
      <c r="C801" s="13" t="s">
        <v>115</v>
      </c>
      <c r="D801" s="13" t="s">
        <v>41</v>
      </c>
    </row>
    <row r="802" spans="1:4" x14ac:dyDescent="0.3">
      <c r="A802" s="13" t="s">
        <v>149</v>
      </c>
      <c r="B802" s="14">
        <v>0.92298148230188926</v>
      </c>
      <c r="C802" s="13" t="s">
        <v>25</v>
      </c>
      <c r="D802" s="13"/>
    </row>
    <row r="803" spans="1:4" x14ac:dyDescent="0.3">
      <c r="A803" s="13" t="s">
        <v>149</v>
      </c>
      <c r="B803" s="14">
        <v>0.95703183476595066</v>
      </c>
      <c r="C803" s="13" t="s">
        <v>25</v>
      </c>
      <c r="D803" s="13" t="s">
        <v>0</v>
      </c>
    </row>
    <row r="804" spans="1:4" x14ac:dyDescent="0.3">
      <c r="A804" s="13" t="s">
        <v>149</v>
      </c>
      <c r="B804" s="14">
        <v>0.78920420050812023</v>
      </c>
      <c r="C804" s="13" t="s">
        <v>116</v>
      </c>
      <c r="D804" s="13" t="s">
        <v>0</v>
      </c>
    </row>
    <row r="805" spans="1:4" x14ac:dyDescent="0.3">
      <c r="A805" s="13" t="s">
        <v>149</v>
      </c>
      <c r="B805" s="14">
        <v>0.97885265756437345</v>
      </c>
      <c r="C805" s="13" t="s">
        <v>117</v>
      </c>
      <c r="D805" s="13" t="s">
        <v>29</v>
      </c>
    </row>
    <row r="806" spans="1:4" x14ac:dyDescent="0.3">
      <c r="A806" s="13" t="s">
        <v>149</v>
      </c>
      <c r="B806" s="14">
        <v>0.92426021146671455</v>
      </c>
      <c r="C806" s="13" t="s">
        <v>26</v>
      </c>
      <c r="D806" s="13" t="s">
        <v>0</v>
      </c>
    </row>
    <row r="807" spans="1:4" x14ac:dyDescent="0.3">
      <c r="A807" s="13" t="s">
        <v>149</v>
      </c>
      <c r="B807" s="14">
        <v>0.86518736182328615</v>
      </c>
      <c r="C807" s="13" t="s">
        <v>26</v>
      </c>
      <c r="D807" s="13" t="s">
        <v>33</v>
      </c>
    </row>
    <row r="808" spans="1:4" x14ac:dyDescent="0.3">
      <c r="A808" s="13" t="s">
        <v>149</v>
      </c>
      <c r="B808" s="14">
        <v>0.85137751434013276</v>
      </c>
      <c r="C808" s="13" t="s">
        <v>26</v>
      </c>
      <c r="D808" s="13" t="s">
        <v>29</v>
      </c>
    </row>
    <row r="809" spans="1:4" x14ac:dyDescent="0.3">
      <c r="A809" s="13" t="s">
        <v>149</v>
      </c>
      <c r="B809" s="14">
        <v>0.94295177585828771</v>
      </c>
      <c r="C809" s="13" t="s">
        <v>26</v>
      </c>
      <c r="D809" s="13" t="s">
        <v>36</v>
      </c>
    </row>
    <row r="810" spans="1:4" x14ac:dyDescent="0.3">
      <c r="A810" s="13" t="s">
        <v>149</v>
      </c>
      <c r="B810" s="14">
        <v>0.45015895436674969</v>
      </c>
      <c r="C810" s="13" t="s">
        <v>118</v>
      </c>
      <c r="D810" s="13" t="s">
        <v>29</v>
      </c>
    </row>
    <row r="811" spans="1:4" x14ac:dyDescent="0.3">
      <c r="A811" s="13" t="s">
        <v>149</v>
      </c>
      <c r="B811" s="14">
        <v>0.6558362086156635</v>
      </c>
      <c r="C811" s="13" t="s">
        <v>119</v>
      </c>
      <c r="D811" s="13" t="s">
        <v>42</v>
      </c>
    </row>
    <row r="812" spans="1:4" x14ac:dyDescent="0.3">
      <c r="A812" s="13" t="s">
        <v>149</v>
      </c>
      <c r="B812" s="14">
        <v>0.97301212990204833</v>
      </c>
      <c r="C812" s="13" t="s">
        <v>120</v>
      </c>
      <c r="D812" s="13" t="s">
        <v>41</v>
      </c>
    </row>
    <row r="813" spans="1:4" x14ac:dyDescent="0.3">
      <c r="A813" s="13" t="s">
        <v>149</v>
      </c>
      <c r="B813" s="14">
        <v>0.75530313631662849</v>
      </c>
      <c r="C813" s="13" t="s">
        <v>121</v>
      </c>
      <c r="D813" s="13"/>
    </row>
    <row r="814" spans="1:4" x14ac:dyDescent="0.3">
      <c r="A814" s="13" t="s">
        <v>149</v>
      </c>
      <c r="B814" s="14">
        <v>0.77853500021858391</v>
      </c>
      <c r="C814" s="13" t="s">
        <v>121</v>
      </c>
      <c r="D814" s="13" t="s">
        <v>0</v>
      </c>
    </row>
    <row r="815" spans="1:4" x14ac:dyDescent="0.3">
      <c r="A815" s="13" t="s">
        <v>149</v>
      </c>
      <c r="B815" s="14">
        <v>0.84107131192756324</v>
      </c>
      <c r="C815" s="13" t="s">
        <v>122</v>
      </c>
      <c r="D815" s="13" t="s">
        <v>42</v>
      </c>
    </row>
    <row r="816" spans="1:4" x14ac:dyDescent="0.3">
      <c r="A816" s="13" t="s">
        <v>149</v>
      </c>
      <c r="B816" s="14">
        <v>0.6071605360197565</v>
      </c>
      <c r="C816" s="13" t="s">
        <v>123</v>
      </c>
      <c r="D816" s="13" t="s">
        <v>29</v>
      </c>
    </row>
    <row r="817" spans="1:4" x14ac:dyDescent="0.3">
      <c r="A817" s="13" t="s">
        <v>149</v>
      </c>
      <c r="B817" s="14">
        <v>0.95973792354448817</v>
      </c>
      <c r="C817" s="13" t="s">
        <v>124</v>
      </c>
      <c r="D817" s="13" t="s">
        <v>0</v>
      </c>
    </row>
    <row r="818" spans="1:4" x14ac:dyDescent="0.3">
      <c r="A818" s="13" t="s">
        <v>149</v>
      </c>
      <c r="B818" s="14">
        <v>0.8422025685817397</v>
      </c>
      <c r="C818" s="13" t="s">
        <v>124</v>
      </c>
      <c r="D818" s="13" t="s">
        <v>42</v>
      </c>
    </row>
    <row r="819" spans="1:4" x14ac:dyDescent="0.3">
      <c r="A819" s="13" t="s">
        <v>149</v>
      </c>
      <c r="B819" s="14">
        <v>0.95986841168858128</v>
      </c>
      <c r="C819" s="13" t="s">
        <v>124</v>
      </c>
      <c r="D819" s="13" t="s">
        <v>33</v>
      </c>
    </row>
    <row r="820" spans="1:4" x14ac:dyDescent="0.3">
      <c r="A820" s="13" t="s">
        <v>149</v>
      </c>
      <c r="B820" s="14">
        <v>0.96060740337537687</v>
      </c>
      <c r="C820" s="13" t="s">
        <v>124</v>
      </c>
      <c r="D820" s="13" t="s">
        <v>29</v>
      </c>
    </row>
    <row r="821" spans="1:4" x14ac:dyDescent="0.3">
      <c r="A821" s="13" t="s">
        <v>149</v>
      </c>
      <c r="B821" s="14">
        <v>0.94980233730822328</v>
      </c>
      <c r="C821" s="13" t="s">
        <v>124</v>
      </c>
      <c r="D821" s="13" t="s">
        <v>36</v>
      </c>
    </row>
    <row r="822" spans="1:4" x14ac:dyDescent="0.3">
      <c r="A822" s="13" t="s">
        <v>149</v>
      </c>
      <c r="B822" s="14">
        <v>0.95706271267844467</v>
      </c>
      <c r="C822" s="13" t="s">
        <v>124</v>
      </c>
      <c r="D822" s="13" t="s">
        <v>41</v>
      </c>
    </row>
    <row r="823" spans="1:4" x14ac:dyDescent="0.3">
      <c r="A823" s="13" t="s">
        <v>149</v>
      </c>
      <c r="B823" s="14">
        <v>0.60009673961075594</v>
      </c>
      <c r="C823" s="13" t="s">
        <v>125</v>
      </c>
      <c r="D823" s="13" t="s">
        <v>41</v>
      </c>
    </row>
    <row r="824" spans="1:4" x14ac:dyDescent="0.3">
      <c r="A824" s="13" t="s">
        <v>149</v>
      </c>
      <c r="B824" s="14">
        <v>0.98048457669982514</v>
      </c>
      <c r="C824" s="13" t="s">
        <v>126</v>
      </c>
      <c r="D824" s="13" t="s">
        <v>36</v>
      </c>
    </row>
    <row r="825" spans="1:4" x14ac:dyDescent="0.3">
      <c r="A825" s="13" t="s">
        <v>149</v>
      </c>
      <c r="B825" s="14">
        <v>0.85694505622058026</v>
      </c>
      <c r="C825" s="13" t="s">
        <v>127</v>
      </c>
      <c r="D825" s="13" t="s">
        <v>41</v>
      </c>
    </row>
    <row r="826" spans="1:4" x14ac:dyDescent="0.3">
      <c r="A826" s="13" t="s">
        <v>149</v>
      </c>
      <c r="B826" s="14">
        <v>0.95171033873898325</v>
      </c>
      <c r="C826" s="13" t="s">
        <v>128</v>
      </c>
      <c r="D826" s="13" t="s">
        <v>0</v>
      </c>
    </row>
    <row r="827" spans="1:4" x14ac:dyDescent="0.3">
      <c r="A827" s="13" t="s">
        <v>149</v>
      </c>
      <c r="B827" s="14">
        <v>0.9524595438049428</v>
      </c>
      <c r="C827" s="13" t="s">
        <v>128</v>
      </c>
      <c r="D827" s="13" t="s">
        <v>33</v>
      </c>
    </row>
    <row r="828" spans="1:4" x14ac:dyDescent="0.3">
      <c r="A828" s="13" t="s">
        <v>149</v>
      </c>
      <c r="B828" s="14">
        <v>0.93799655675000615</v>
      </c>
      <c r="C828" s="13" t="s">
        <v>128</v>
      </c>
      <c r="D828" s="13" t="s">
        <v>29</v>
      </c>
    </row>
    <row r="829" spans="1:4" x14ac:dyDescent="0.3">
      <c r="A829" s="13" t="s">
        <v>149</v>
      </c>
      <c r="B829" s="14">
        <v>0.95464918643797425</v>
      </c>
      <c r="C829" s="13" t="s">
        <v>128</v>
      </c>
      <c r="D829" s="13" t="s">
        <v>41</v>
      </c>
    </row>
    <row r="830" spans="1:4" x14ac:dyDescent="0.3">
      <c r="A830" s="13" t="s">
        <v>149</v>
      </c>
      <c r="B830" s="14">
        <v>0.92235433146292212</v>
      </c>
      <c r="C830" s="13" t="s">
        <v>129</v>
      </c>
      <c r="D830" s="13" t="s">
        <v>29</v>
      </c>
    </row>
    <row r="831" spans="1:4" x14ac:dyDescent="0.3">
      <c r="A831" s="13" t="s">
        <v>149</v>
      </c>
      <c r="B831" s="14">
        <v>0.83742101202676666</v>
      </c>
      <c r="C831" s="13" t="s">
        <v>27</v>
      </c>
      <c r="D831" s="13" t="s">
        <v>0</v>
      </c>
    </row>
    <row r="832" spans="1:4" x14ac:dyDescent="0.3">
      <c r="A832" s="13" t="s">
        <v>149</v>
      </c>
      <c r="B832" s="14">
        <v>0.96870323179287898</v>
      </c>
      <c r="C832" s="13" t="s">
        <v>27</v>
      </c>
      <c r="D832" s="13" t="s">
        <v>41</v>
      </c>
    </row>
    <row r="833" spans="1:4" x14ac:dyDescent="0.3">
      <c r="A833" s="13" t="s">
        <v>149</v>
      </c>
      <c r="B833" s="14">
        <v>0.95311291255151753</v>
      </c>
      <c r="C833" s="13" t="s">
        <v>131</v>
      </c>
      <c r="D833" s="13" t="s">
        <v>0</v>
      </c>
    </row>
    <row r="834" spans="1:4" x14ac:dyDescent="0.3">
      <c r="A834" s="13" t="s">
        <v>149</v>
      </c>
      <c r="B834" s="14">
        <v>0.91218367126558242</v>
      </c>
      <c r="C834" s="13" t="s">
        <v>131</v>
      </c>
      <c r="D834" s="13" t="s">
        <v>42</v>
      </c>
    </row>
    <row r="835" spans="1:4" x14ac:dyDescent="0.3">
      <c r="A835" s="13" t="s">
        <v>149</v>
      </c>
      <c r="B835" s="14">
        <v>0.94204312110804378</v>
      </c>
      <c r="C835" s="13" t="s">
        <v>131</v>
      </c>
      <c r="D835" s="13" t="s">
        <v>33</v>
      </c>
    </row>
    <row r="836" spans="1:4" x14ac:dyDescent="0.3">
      <c r="A836" s="13" t="s">
        <v>149</v>
      </c>
      <c r="B836" s="14">
        <v>0.94324448505544556</v>
      </c>
      <c r="C836" s="13" t="s">
        <v>131</v>
      </c>
      <c r="D836" s="13" t="s">
        <v>29</v>
      </c>
    </row>
    <row r="837" spans="1:4" x14ac:dyDescent="0.3">
      <c r="A837" s="13" t="s">
        <v>149</v>
      </c>
      <c r="B837" s="14">
        <v>0.94596452423592836</v>
      </c>
      <c r="C837" s="13" t="s">
        <v>131</v>
      </c>
      <c r="D837" s="13" t="s">
        <v>36</v>
      </c>
    </row>
    <row r="838" spans="1:4" x14ac:dyDescent="0.3">
      <c r="A838" s="13" t="s">
        <v>149</v>
      </c>
      <c r="B838" s="14">
        <v>0.95166299171478208</v>
      </c>
      <c r="C838" s="13" t="s">
        <v>131</v>
      </c>
      <c r="D838" s="13" t="s">
        <v>41</v>
      </c>
    </row>
    <row r="839" spans="1:4" x14ac:dyDescent="0.3">
      <c r="A839" s="13" t="s">
        <v>149</v>
      </c>
      <c r="B839" s="14">
        <v>0.98112676113705188</v>
      </c>
      <c r="C839" s="13" t="s">
        <v>44</v>
      </c>
      <c r="D839" s="13" t="s">
        <v>42</v>
      </c>
    </row>
    <row r="840" spans="1:4" x14ac:dyDescent="0.3">
      <c r="A840" s="13" t="s">
        <v>149</v>
      </c>
      <c r="B840" s="14">
        <v>0.91218893579800198</v>
      </c>
      <c r="C840" s="13" t="s">
        <v>45</v>
      </c>
      <c r="D840" s="13" t="s">
        <v>42</v>
      </c>
    </row>
    <row r="841" spans="1:4" x14ac:dyDescent="0.3">
      <c r="A841" s="13" t="s">
        <v>149</v>
      </c>
      <c r="B841" s="14">
        <v>0.9700528013424331</v>
      </c>
      <c r="C841" s="13" t="s">
        <v>46</v>
      </c>
      <c r="D841" s="13" t="s">
        <v>42</v>
      </c>
    </row>
    <row r="842" spans="1:4" x14ac:dyDescent="0.3">
      <c r="A842" s="13" t="s">
        <v>149</v>
      </c>
      <c r="B842" s="14">
        <v>0.89369032156518202</v>
      </c>
      <c r="C842" s="13" t="s">
        <v>132</v>
      </c>
      <c r="D842" s="13" t="s">
        <v>29</v>
      </c>
    </row>
    <row r="843" spans="1:4" x14ac:dyDescent="0.3">
      <c r="A843" s="13" t="s">
        <v>149</v>
      </c>
      <c r="B843" s="14">
        <v>0.87199055358045985</v>
      </c>
      <c r="C843" s="13" t="s">
        <v>133</v>
      </c>
      <c r="D843" s="13"/>
    </row>
    <row r="844" spans="1:4" x14ac:dyDescent="0.3">
      <c r="A844" s="13" t="s">
        <v>149</v>
      </c>
      <c r="B844" s="14">
        <v>0.76558391004443327</v>
      </c>
      <c r="C844" s="13" t="s">
        <v>133</v>
      </c>
      <c r="D844" s="13" t="s">
        <v>0</v>
      </c>
    </row>
    <row r="845" spans="1:4" x14ac:dyDescent="0.3">
      <c r="A845" s="13" t="s">
        <v>149</v>
      </c>
      <c r="B845" s="14">
        <v>0.7706947712550094</v>
      </c>
      <c r="C845" s="13" t="s">
        <v>134</v>
      </c>
      <c r="D845" s="13" t="s">
        <v>36</v>
      </c>
    </row>
    <row r="846" spans="1:4" x14ac:dyDescent="0.3">
      <c r="A846" s="13" t="s">
        <v>149</v>
      </c>
      <c r="B846" s="14">
        <v>0.87465205606367502</v>
      </c>
      <c r="C846" s="13" t="s">
        <v>135</v>
      </c>
      <c r="D846" s="13" t="s">
        <v>0</v>
      </c>
    </row>
    <row r="847" spans="1:4" x14ac:dyDescent="0.3">
      <c r="A847" s="13" t="s">
        <v>149</v>
      </c>
      <c r="B847" s="14">
        <v>0.92866870044512762</v>
      </c>
      <c r="C847" s="13" t="s">
        <v>136</v>
      </c>
      <c r="D847" s="13"/>
    </row>
    <row r="848" spans="1:4" x14ac:dyDescent="0.3">
      <c r="A848" s="13" t="s">
        <v>149</v>
      </c>
      <c r="B848" s="14">
        <v>0.97770331457073645</v>
      </c>
      <c r="C848" s="13" t="s">
        <v>136</v>
      </c>
      <c r="D848" s="13" t="s">
        <v>42</v>
      </c>
    </row>
    <row r="849" spans="1:4" x14ac:dyDescent="0.3">
      <c r="A849" s="13" t="s">
        <v>149</v>
      </c>
      <c r="B849" s="14">
        <v>0.84214835140182132</v>
      </c>
      <c r="C849" s="13" t="s">
        <v>137</v>
      </c>
      <c r="D849" s="13" t="s">
        <v>42</v>
      </c>
    </row>
    <row r="850" spans="1:4" x14ac:dyDescent="0.3">
      <c r="A850" s="13" t="s">
        <v>149</v>
      </c>
      <c r="B850" s="14">
        <v>0.8390576460745095</v>
      </c>
      <c r="C850" s="13" t="s">
        <v>138</v>
      </c>
      <c r="D850" s="13" t="s">
        <v>0</v>
      </c>
    </row>
    <row r="851" spans="1:4" x14ac:dyDescent="0.3">
      <c r="A851" s="13" t="s">
        <v>149</v>
      </c>
      <c r="B851" s="14">
        <v>0.91386083090972436</v>
      </c>
      <c r="C851" s="13" t="s">
        <v>139</v>
      </c>
      <c r="D851" s="13" t="s">
        <v>42</v>
      </c>
    </row>
    <row r="852" spans="1:4" x14ac:dyDescent="0.3">
      <c r="A852" s="13" t="s">
        <v>149</v>
      </c>
      <c r="B852" s="14">
        <v>0.7137687945674478</v>
      </c>
      <c r="C852" s="13" t="s">
        <v>140</v>
      </c>
      <c r="D852" s="13" t="s">
        <v>36</v>
      </c>
    </row>
    <row r="853" spans="1:4" x14ac:dyDescent="0.3">
      <c r="A853" s="13" t="s">
        <v>149</v>
      </c>
      <c r="B853" s="14">
        <v>0.87930393752299008</v>
      </c>
      <c r="C853" s="13" t="s">
        <v>40</v>
      </c>
      <c r="D853" s="13"/>
    </row>
    <row r="854" spans="1:4" x14ac:dyDescent="0.3">
      <c r="A854" s="13" t="s">
        <v>149</v>
      </c>
      <c r="B854" s="14">
        <v>0.9506902250065189</v>
      </c>
      <c r="C854" s="13" t="s">
        <v>40</v>
      </c>
      <c r="D854" s="13" t="s">
        <v>42</v>
      </c>
    </row>
    <row r="855" spans="1:4" x14ac:dyDescent="0.3">
      <c r="A855" s="13" t="s">
        <v>149</v>
      </c>
      <c r="B855" s="14">
        <v>0.94451613448358118</v>
      </c>
      <c r="C855" s="13" t="s">
        <v>40</v>
      </c>
      <c r="D855" s="13" t="s">
        <v>36</v>
      </c>
    </row>
    <row r="856" spans="1:4" x14ac:dyDescent="0.3">
      <c r="A856" s="13" t="s">
        <v>149</v>
      </c>
      <c r="B856" s="14">
        <v>0.84945982749439519</v>
      </c>
      <c r="C856" s="13" t="s">
        <v>141</v>
      </c>
      <c r="D856" s="13" t="s">
        <v>29</v>
      </c>
    </row>
    <row r="857" spans="1:4" x14ac:dyDescent="0.3">
      <c r="A857" s="13" t="s">
        <v>149</v>
      </c>
      <c r="B857" s="14">
        <v>0.46729389473741922</v>
      </c>
      <c r="C857" s="13" t="s">
        <v>142</v>
      </c>
      <c r="D857" s="13" t="s">
        <v>41</v>
      </c>
    </row>
    <row r="858" spans="1:4" x14ac:dyDescent="0.3">
      <c r="A858" s="13" t="s">
        <v>149</v>
      </c>
      <c r="B858" s="14">
        <v>0.78334904256565241</v>
      </c>
      <c r="C858" s="13" t="s">
        <v>143</v>
      </c>
      <c r="D858" s="13" t="s">
        <v>42</v>
      </c>
    </row>
    <row r="859" spans="1:4" x14ac:dyDescent="0.3">
      <c r="A859" s="13" t="s">
        <v>149</v>
      </c>
      <c r="B859" s="14">
        <v>0.91959127694649179</v>
      </c>
      <c r="C859" s="13" t="s">
        <v>144</v>
      </c>
      <c r="D859" s="13" t="s">
        <v>42</v>
      </c>
    </row>
    <row r="860" spans="1:4" x14ac:dyDescent="0.3">
      <c r="A860" s="13" t="s">
        <v>149</v>
      </c>
      <c r="B860" s="14">
        <v>0.96338775337430838</v>
      </c>
      <c r="C860" s="13" t="s">
        <v>47</v>
      </c>
      <c r="D860" s="13" t="s">
        <v>42</v>
      </c>
    </row>
    <row r="861" spans="1:4" x14ac:dyDescent="0.3">
      <c r="A861" s="13" t="s">
        <v>149</v>
      </c>
      <c r="B861" s="14">
        <v>0.95019981892074579</v>
      </c>
      <c r="C861" s="13" t="s">
        <v>145</v>
      </c>
      <c r="D861" s="13" t="s">
        <v>0</v>
      </c>
    </row>
    <row r="862" spans="1:4" x14ac:dyDescent="0.3">
      <c r="A862" s="13" t="s">
        <v>149</v>
      </c>
      <c r="B862" s="14">
        <v>0.89276467222250855</v>
      </c>
      <c r="C862" s="13" t="s">
        <v>146</v>
      </c>
      <c r="D862" s="13" t="s">
        <v>41</v>
      </c>
    </row>
    <row r="863" spans="1:4" x14ac:dyDescent="0.3">
      <c r="A863" s="13" t="s">
        <v>149</v>
      </c>
      <c r="B863" s="14">
        <v>0.94947899449785811</v>
      </c>
      <c r="C863" s="13" t="s">
        <v>32</v>
      </c>
      <c r="D863" s="13" t="s">
        <v>33</v>
      </c>
    </row>
    <row r="864" spans="1:4" x14ac:dyDescent="0.3">
      <c r="A864" s="13" t="s">
        <v>149</v>
      </c>
      <c r="B864" s="14">
        <v>0.9657454182217956</v>
      </c>
      <c r="C864" s="13" t="s">
        <v>32</v>
      </c>
      <c r="D864" s="13" t="s">
        <v>29</v>
      </c>
    </row>
    <row r="865" spans="1:4" x14ac:dyDescent="0.3">
      <c r="A865" s="13" t="s">
        <v>149</v>
      </c>
      <c r="B865" s="14">
        <v>0.93573218864959751</v>
      </c>
      <c r="C865" s="13" t="s">
        <v>32</v>
      </c>
      <c r="D865" s="13" t="s">
        <v>36</v>
      </c>
    </row>
    <row r="866" spans="1:4" x14ac:dyDescent="0.3">
      <c r="A866" s="13" t="s">
        <v>151</v>
      </c>
      <c r="B866" s="14">
        <v>1</v>
      </c>
      <c r="C866" s="13" t="s">
        <v>53</v>
      </c>
      <c r="D866" s="13" t="s">
        <v>0</v>
      </c>
    </row>
    <row r="867" spans="1:4" x14ac:dyDescent="0.3">
      <c r="A867" s="13" t="s">
        <v>151</v>
      </c>
      <c r="B867" s="14">
        <v>0.76303112883958701</v>
      </c>
      <c r="C867" s="13" t="s">
        <v>54</v>
      </c>
      <c r="D867" s="13" t="s">
        <v>29</v>
      </c>
    </row>
    <row r="868" spans="1:4" x14ac:dyDescent="0.3">
      <c r="A868" s="13" t="s">
        <v>151</v>
      </c>
      <c r="B868" s="14">
        <v>0.93000899688400596</v>
      </c>
      <c r="C868" s="13" t="s">
        <v>55</v>
      </c>
      <c r="D868" s="13" t="s">
        <v>0</v>
      </c>
    </row>
    <row r="869" spans="1:4" x14ac:dyDescent="0.3">
      <c r="A869" s="13" t="s">
        <v>151</v>
      </c>
      <c r="B869" s="14">
        <v>0.97901728886151651</v>
      </c>
      <c r="C869" s="13" t="s">
        <v>55</v>
      </c>
      <c r="D869" s="13" t="s">
        <v>33</v>
      </c>
    </row>
    <row r="870" spans="1:4" x14ac:dyDescent="0.3">
      <c r="A870" s="13" t="s">
        <v>151</v>
      </c>
      <c r="B870" s="14">
        <v>0.88610995999335074</v>
      </c>
      <c r="C870" s="13" t="s">
        <v>55</v>
      </c>
      <c r="D870" s="13" t="s">
        <v>29</v>
      </c>
    </row>
    <row r="871" spans="1:4" x14ac:dyDescent="0.3">
      <c r="A871" s="13" t="s">
        <v>151</v>
      </c>
      <c r="B871" s="14">
        <v>0.54989612751024897</v>
      </c>
      <c r="C871" s="13" t="s">
        <v>56</v>
      </c>
      <c r="D871" s="13" t="s">
        <v>29</v>
      </c>
    </row>
    <row r="872" spans="1:4" x14ac:dyDescent="0.3">
      <c r="A872" s="13" t="s">
        <v>151</v>
      </c>
      <c r="B872" s="14">
        <v>0.3693743380134934</v>
      </c>
      <c r="C872" s="13" t="s">
        <v>57</v>
      </c>
      <c r="D872" s="13" t="s">
        <v>0</v>
      </c>
    </row>
    <row r="873" spans="1:4" x14ac:dyDescent="0.3">
      <c r="A873" s="13" t="s">
        <v>151</v>
      </c>
      <c r="B873" s="14">
        <v>0.33483209622841631</v>
      </c>
      <c r="C873" s="13" t="s">
        <v>57</v>
      </c>
      <c r="D873" s="13" t="s">
        <v>33</v>
      </c>
    </row>
    <row r="874" spans="1:4" x14ac:dyDescent="0.3">
      <c r="A874" s="13" t="s">
        <v>151</v>
      </c>
      <c r="B874" s="14">
        <v>0.37949302829461101</v>
      </c>
      <c r="C874" s="13" t="s">
        <v>57</v>
      </c>
      <c r="D874" s="13" t="s">
        <v>29</v>
      </c>
    </row>
    <row r="875" spans="1:4" x14ac:dyDescent="0.3">
      <c r="A875" s="13" t="s">
        <v>151</v>
      </c>
      <c r="B875" s="14">
        <v>0.47953664356591669</v>
      </c>
      <c r="C875" s="13" t="s">
        <v>57</v>
      </c>
      <c r="D875" s="13" t="s">
        <v>36</v>
      </c>
    </row>
    <row r="876" spans="1:4" x14ac:dyDescent="0.3">
      <c r="A876" s="13" t="s">
        <v>151</v>
      </c>
      <c r="B876" s="14">
        <v>0.32747665660098751</v>
      </c>
      <c r="C876" s="13" t="s">
        <v>57</v>
      </c>
      <c r="D876" s="13" t="s">
        <v>41</v>
      </c>
    </row>
    <row r="877" spans="1:4" x14ac:dyDescent="0.3">
      <c r="A877" s="13" t="s">
        <v>151</v>
      </c>
      <c r="B877" s="14">
        <v>1</v>
      </c>
      <c r="C877" s="13" t="s">
        <v>37</v>
      </c>
      <c r="D877" s="13"/>
    </row>
    <row r="878" spans="1:4" x14ac:dyDescent="0.3">
      <c r="A878" s="13" t="s">
        <v>151</v>
      </c>
      <c r="B878" s="14">
        <v>0.97672609566191737</v>
      </c>
      <c r="C878" s="13" t="s">
        <v>37</v>
      </c>
      <c r="D878" s="13" t="s">
        <v>42</v>
      </c>
    </row>
    <row r="879" spans="1:4" x14ac:dyDescent="0.3">
      <c r="A879" s="13" t="s">
        <v>151</v>
      </c>
      <c r="B879" s="14">
        <v>0.97967833894613099</v>
      </c>
      <c r="C879" s="13" t="s">
        <v>37</v>
      </c>
      <c r="D879" s="13" t="s">
        <v>36</v>
      </c>
    </row>
    <row r="880" spans="1:4" x14ac:dyDescent="0.3">
      <c r="A880" s="13" t="s">
        <v>151</v>
      </c>
      <c r="B880" s="14">
        <v>0.94685472234998458</v>
      </c>
      <c r="C880" s="13" t="s">
        <v>30</v>
      </c>
      <c r="D880" s="13" t="s">
        <v>42</v>
      </c>
    </row>
    <row r="881" spans="1:4" x14ac:dyDescent="0.3">
      <c r="A881" s="13" t="s">
        <v>151</v>
      </c>
      <c r="B881" s="14">
        <v>0.97871436171558235</v>
      </c>
      <c r="C881" s="13" t="s">
        <v>30</v>
      </c>
      <c r="D881" s="13" t="s">
        <v>29</v>
      </c>
    </row>
    <row r="882" spans="1:4" x14ac:dyDescent="0.3">
      <c r="A882" s="13" t="s">
        <v>151</v>
      </c>
      <c r="B882" s="14">
        <v>0.96370765413561676</v>
      </c>
      <c r="C882" s="13" t="s">
        <v>30</v>
      </c>
      <c r="D882" s="13" t="s">
        <v>36</v>
      </c>
    </row>
    <row r="883" spans="1:4" x14ac:dyDescent="0.3">
      <c r="A883" s="13" t="s">
        <v>151</v>
      </c>
      <c r="B883" s="14">
        <v>0.96724908371734331</v>
      </c>
      <c r="C883" s="13" t="s">
        <v>28</v>
      </c>
      <c r="D883" s="13" t="s">
        <v>33</v>
      </c>
    </row>
    <row r="884" spans="1:4" x14ac:dyDescent="0.3">
      <c r="A884" s="13" t="s">
        <v>151</v>
      </c>
      <c r="B884" s="14">
        <v>0.89726688670183341</v>
      </c>
      <c r="C884" s="13" t="s">
        <v>34</v>
      </c>
      <c r="D884" s="13" t="s">
        <v>33</v>
      </c>
    </row>
    <row r="885" spans="1:4" x14ac:dyDescent="0.3">
      <c r="A885" s="13" t="s">
        <v>151</v>
      </c>
      <c r="B885" s="14">
        <v>0.92878815230452705</v>
      </c>
      <c r="C885" s="13" t="s">
        <v>58</v>
      </c>
      <c r="D885" s="13" t="s">
        <v>29</v>
      </c>
    </row>
    <row r="886" spans="1:4" x14ac:dyDescent="0.3">
      <c r="A886" s="13" t="s">
        <v>151</v>
      </c>
      <c r="B886" s="14">
        <v>0.51585490931832401</v>
      </c>
      <c r="C886" s="13" t="s">
        <v>59</v>
      </c>
      <c r="D886" s="13" t="s">
        <v>0</v>
      </c>
    </row>
    <row r="887" spans="1:4" x14ac:dyDescent="0.3">
      <c r="A887" s="13" t="s">
        <v>151</v>
      </c>
      <c r="B887" s="14">
        <v>0.68987990675432043</v>
      </c>
      <c r="C887" s="13" t="s">
        <v>59</v>
      </c>
      <c r="D887" s="13" t="s">
        <v>33</v>
      </c>
    </row>
    <row r="888" spans="1:4" x14ac:dyDescent="0.3">
      <c r="A888" s="13" t="s">
        <v>151</v>
      </c>
      <c r="B888" s="14">
        <v>0.83803215705814538</v>
      </c>
      <c r="C888" s="13" t="s">
        <v>60</v>
      </c>
      <c r="D888" s="13" t="s">
        <v>33</v>
      </c>
    </row>
    <row r="889" spans="1:4" x14ac:dyDescent="0.3">
      <c r="A889" s="13" t="s">
        <v>151</v>
      </c>
      <c r="B889" s="14">
        <v>0.48979104919123317</v>
      </c>
      <c r="C889" s="13" t="s">
        <v>61</v>
      </c>
      <c r="D889" s="13" t="s">
        <v>36</v>
      </c>
    </row>
    <row r="890" spans="1:4" x14ac:dyDescent="0.3">
      <c r="A890" s="13" t="s">
        <v>151</v>
      </c>
      <c r="B890" s="14">
        <v>0.52370752800807185</v>
      </c>
      <c r="C890" s="13" t="s">
        <v>62</v>
      </c>
      <c r="D890" s="13"/>
    </row>
    <row r="891" spans="1:4" x14ac:dyDescent="0.3">
      <c r="A891" s="13" t="s">
        <v>151</v>
      </c>
      <c r="B891" s="14">
        <v>0.63423448504460012</v>
      </c>
      <c r="C891" s="13" t="s">
        <v>62</v>
      </c>
      <c r="D891" s="13" t="s">
        <v>0</v>
      </c>
    </row>
    <row r="892" spans="1:4" x14ac:dyDescent="0.3">
      <c r="A892" s="13" t="s">
        <v>151</v>
      </c>
      <c r="B892" s="14">
        <v>0.82172919629867114</v>
      </c>
      <c r="C892" s="13" t="s">
        <v>63</v>
      </c>
      <c r="D892" s="13"/>
    </row>
    <row r="893" spans="1:4" x14ac:dyDescent="0.3">
      <c r="A893" s="13" t="s">
        <v>151</v>
      </c>
      <c r="B893" s="14">
        <v>0.82770545994184441</v>
      </c>
      <c r="C893" s="13" t="s">
        <v>63</v>
      </c>
      <c r="D893" s="13" t="s">
        <v>42</v>
      </c>
    </row>
    <row r="894" spans="1:4" x14ac:dyDescent="0.3">
      <c r="A894" s="13" t="s">
        <v>151</v>
      </c>
      <c r="B894" s="14">
        <v>0.60190706503789448</v>
      </c>
      <c r="C894" s="13" t="s">
        <v>64</v>
      </c>
      <c r="D894" s="13" t="s">
        <v>0</v>
      </c>
    </row>
    <row r="895" spans="1:4" x14ac:dyDescent="0.3">
      <c r="A895" s="13" t="s">
        <v>151</v>
      </c>
      <c r="B895" s="14">
        <v>0.83356948378272644</v>
      </c>
      <c r="C895" s="13" t="s">
        <v>65</v>
      </c>
      <c r="D895" s="13" t="s">
        <v>41</v>
      </c>
    </row>
    <row r="896" spans="1:4" x14ac:dyDescent="0.3">
      <c r="A896" s="13" t="s">
        <v>151</v>
      </c>
      <c r="B896" s="14">
        <v>0.91137564612301492</v>
      </c>
      <c r="C896" s="13" t="s">
        <v>66</v>
      </c>
      <c r="D896" s="13" t="s">
        <v>29</v>
      </c>
    </row>
    <row r="897" spans="1:4" x14ac:dyDescent="0.3">
      <c r="A897" s="13" t="s">
        <v>151</v>
      </c>
      <c r="B897" s="14">
        <v>0.93718108790613963</v>
      </c>
      <c r="C897" s="13" t="s">
        <v>66</v>
      </c>
      <c r="D897" s="13" t="s">
        <v>41</v>
      </c>
    </row>
    <row r="898" spans="1:4" x14ac:dyDescent="0.3">
      <c r="A898" s="13" t="s">
        <v>151</v>
      </c>
      <c r="B898" s="14">
        <v>0.97416428538691213</v>
      </c>
      <c r="C898" s="13" t="s">
        <v>67</v>
      </c>
      <c r="D898" s="13" t="s">
        <v>0</v>
      </c>
    </row>
    <row r="899" spans="1:4" x14ac:dyDescent="0.3">
      <c r="A899" s="13" t="s">
        <v>151</v>
      </c>
      <c r="B899" s="14">
        <v>0.97436759026372555</v>
      </c>
      <c r="C899" s="13" t="s">
        <v>67</v>
      </c>
      <c r="D899" s="13" t="s">
        <v>33</v>
      </c>
    </row>
    <row r="900" spans="1:4" x14ac:dyDescent="0.3">
      <c r="A900" s="13" t="s">
        <v>151</v>
      </c>
      <c r="B900" s="14">
        <v>0.93472649308879008</v>
      </c>
      <c r="C900" s="13" t="s">
        <v>67</v>
      </c>
      <c r="D900" s="13" t="s">
        <v>29</v>
      </c>
    </row>
    <row r="901" spans="1:4" x14ac:dyDescent="0.3">
      <c r="A901" s="13" t="s">
        <v>151</v>
      </c>
      <c r="B901" s="14">
        <v>0.96363725754632545</v>
      </c>
      <c r="C901" s="13" t="s">
        <v>67</v>
      </c>
      <c r="D901" s="13" t="s">
        <v>36</v>
      </c>
    </row>
    <row r="902" spans="1:4" x14ac:dyDescent="0.3">
      <c r="A902" s="13" t="s">
        <v>151</v>
      </c>
      <c r="B902" s="14">
        <v>0.96546343392300182</v>
      </c>
      <c r="C902" s="13" t="s">
        <v>67</v>
      </c>
      <c r="D902" s="13" t="s">
        <v>41</v>
      </c>
    </row>
    <row r="903" spans="1:4" x14ac:dyDescent="0.3">
      <c r="A903" s="13" t="s">
        <v>151</v>
      </c>
      <c r="B903" s="14">
        <v>0.79453256819923834</v>
      </c>
      <c r="C903" s="13" t="s">
        <v>68</v>
      </c>
      <c r="D903" s="13" t="s">
        <v>0</v>
      </c>
    </row>
    <row r="904" spans="1:4" x14ac:dyDescent="0.3">
      <c r="A904" s="13" t="s">
        <v>151</v>
      </c>
      <c r="B904" s="14">
        <v>0.17771170280809431</v>
      </c>
      <c r="C904" s="13" t="s">
        <v>152</v>
      </c>
      <c r="D904" s="13" t="s">
        <v>0</v>
      </c>
    </row>
    <row r="905" spans="1:4" x14ac:dyDescent="0.3">
      <c r="A905" s="13" t="s">
        <v>151</v>
      </c>
      <c r="B905" s="14">
        <v>0.47972104202302179</v>
      </c>
      <c r="C905" s="13" t="s">
        <v>69</v>
      </c>
      <c r="D905" s="13" t="s">
        <v>36</v>
      </c>
    </row>
    <row r="906" spans="1:4" x14ac:dyDescent="0.3">
      <c r="A906" s="13" t="s">
        <v>151</v>
      </c>
      <c r="B906" s="14">
        <v>0.95974264602883774</v>
      </c>
      <c r="C906" s="13" t="s">
        <v>15</v>
      </c>
      <c r="D906" s="13"/>
    </row>
    <row r="907" spans="1:4" x14ac:dyDescent="0.3">
      <c r="A907" s="13" t="s">
        <v>151</v>
      </c>
      <c r="B907" s="14">
        <v>0.37169332988995968</v>
      </c>
      <c r="C907" s="13" t="s">
        <v>15</v>
      </c>
      <c r="D907" s="13" t="s">
        <v>0</v>
      </c>
    </row>
    <row r="908" spans="1:4" x14ac:dyDescent="0.3">
      <c r="A908" s="13" t="s">
        <v>151</v>
      </c>
      <c r="B908" s="14">
        <v>0.93348766193873445</v>
      </c>
      <c r="C908" s="13" t="s">
        <v>15</v>
      </c>
      <c r="D908" s="13" t="s">
        <v>42</v>
      </c>
    </row>
    <row r="909" spans="1:4" x14ac:dyDescent="0.3">
      <c r="A909" s="13" t="s">
        <v>151</v>
      </c>
      <c r="B909" s="14">
        <v>0.94359922915585637</v>
      </c>
      <c r="C909" s="13" t="s">
        <v>15</v>
      </c>
      <c r="D909" s="13" t="s">
        <v>36</v>
      </c>
    </row>
    <row r="910" spans="1:4" x14ac:dyDescent="0.3">
      <c r="A910" s="13" t="s">
        <v>151</v>
      </c>
      <c r="B910" s="14">
        <v>0.70967975638972447</v>
      </c>
      <c r="C910" s="13" t="s">
        <v>70</v>
      </c>
      <c r="D910" s="13" t="s">
        <v>33</v>
      </c>
    </row>
    <row r="911" spans="1:4" x14ac:dyDescent="0.3">
      <c r="A911" s="13" t="s">
        <v>151</v>
      </c>
      <c r="B911" s="14">
        <v>0.91184565987569144</v>
      </c>
      <c r="C911" s="13" t="s">
        <v>43</v>
      </c>
      <c r="D911" s="13"/>
    </row>
    <row r="912" spans="1:4" x14ac:dyDescent="0.3">
      <c r="A912" s="13" t="s">
        <v>151</v>
      </c>
      <c r="B912" s="14">
        <v>0.91670081414210236</v>
      </c>
      <c r="C912" s="13" t="s">
        <v>43</v>
      </c>
      <c r="D912" s="13" t="s">
        <v>42</v>
      </c>
    </row>
    <row r="913" spans="1:4" x14ac:dyDescent="0.3">
      <c r="A913" s="13" t="s">
        <v>151</v>
      </c>
      <c r="B913" s="14">
        <v>0.90477127938138813</v>
      </c>
      <c r="C913" s="13" t="s">
        <v>71</v>
      </c>
      <c r="D913" s="13" t="s">
        <v>42</v>
      </c>
    </row>
    <row r="914" spans="1:4" x14ac:dyDescent="0.3">
      <c r="A914" s="13" t="s">
        <v>151</v>
      </c>
      <c r="B914" s="14">
        <v>0.92429420234087878</v>
      </c>
      <c r="C914" s="13" t="s">
        <v>72</v>
      </c>
      <c r="D914" s="13" t="s">
        <v>36</v>
      </c>
    </row>
    <row r="915" spans="1:4" x14ac:dyDescent="0.3">
      <c r="A915" s="13" t="s">
        <v>151</v>
      </c>
      <c r="B915" s="14">
        <v>0.92573621736739853</v>
      </c>
      <c r="C915" s="13" t="s">
        <v>73</v>
      </c>
      <c r="D915" s="13" t="s">
        <v>33</v>
      </c>
    </row>
    <row r="916" spans="1:4" x14ac:dyDescent="0.3">
      <c r="A916" s="13" t="s">
        <v>151</v>
      </c>
      <c r="B916" s="14">
        <v>0.9141036003046209</v>
      </c>
      <c r="C916" s="13" t="s">
        <v>74</v>
      </c>
      <c r="D916" s="13"/>
    </row>
    <row r="917" spans="1:4" x14ac:dyDescent="0.3">
      <c r="A917" s="13" t="s">
        <v>151</v>
      </c>
      <c r="B917" s="14">
        <v>0.8295621785007784</v>
      </c>
      <c r="C917" s="13" t="s">
        <v>74</v>
      </c>
      <c r="D917" s="13" t="s">
        <v>41</v>
      </c>
    </row>
    <row r="918" spans="1:4" x14ac:dyDescent="0.3">
      <c r="A918" s="13" t="s">
        <v>151</v>
      </c>
      <c r="B918" s="14">
        <v>0.91868352863547331</v>
      </c>
      <c r="C918" s="13" t="s">
        <v>75</v>
      </c>
      <c r="D918" s="13" t="s">
        <v>0</v>
      </c>
    </row>
    <row r="919" spans="1:4" x14ac:dyDescent="0.3">
      <c r="A919" s="13" t="s">
        <v>151</v>
      </c>
      <c r="B919" s="14">
        <v>0.91658867801503818</v>
      </c>
      <c r="C919" s="13" t="s">
        <v>75</v>
      </c>
      <c r="D919" s="13" t="s">
        <v>33</v>
      </c>
    </row>
    <row r="920" spans="1:4" x14ac:dyDescent="0.3">
      <c r="A920" s="13" t="s">
        <v>151</v>
      </c>
      <c r="B920" s="14">
        <v>0.89334877924916312</v>
      </c>
      <c r="C920" s="13" t="s">
        <v>75</v>
      </c>
      <c r="D920" s="13" t="s">
        <v>29</v>
      </c>
    </row>
    <row r="921" spans="1:4" x14ac:dyDescent="0.3">
      <c r="A921" s="13" t="s">
        <v>151</v>
      </c>
      <c r="B921" s="14">
        <v>0.7354535081872553</v>
      </c>
      <c r="C921" s="13" t="s">
        <v>76</v>
      </c>
      <c r="D921" s="13" t="s">
        <v>0</v>
      </c>
    </row>
    <row r="922" spans="1:4" x14ac:dyDescent="0.3">
      <c r="A922" s="13" t="s">
        <v>151</v>
      </c>
      <c r="B922" s="14">
        <v>0.57143469010761805</v>
      </c>
      <c r="C922" s="13" t="s">
        <v>77</v>
      </c>
      <c r="D922" s="13"/>
    </row>
    <row r="923" spans="1:4" x14ac:dyDescent="0.3">
      <c r="A923" s="13" t="s">
        <v>151</v>
      </c>
      <c r="B923" s="14">
        <v>0.40779413667197639</v>
      </c>
      <c r="C923" s="13" t="s">
        <v>77</v>
      </c>
      <c r="D923" s="13" t="s">
        <v>29</v>
      </c>
    </row>
    <row r="924" spans="1:4" x14ac:dyDescent="0.3">
      <c r="A924" s="13" t="s">
        <v>151</v>
      </c>
      <c r="B924" s="14">
        <v>0.97493801667927826</v>
      </c>
      <c r="C924" s="13" t="s">
        <v>78</v>
      </c>
      <c r="D924" s="13" t="s">
        <v>33</v>
      </c>
    </row>
    <row r="925" spans="1:4" x14ac:dyDescent="0.3">
      <c r="A925" s="13" t="s">
        <v>151</v>
      </c>
      <c r="B925" s="14">
        <v>0.97521638014093648</v>
      </c>
      <c r="C925" s="13" t="s">
        <v>78</v>
      </c>
      <c r="D925" s="13" t="s">
        <v>29</v>
      </c>
    </row>
    <row r="926" spans="1:4" x14ac:dyDescent="0.3">
      <c r="A926" s="13" t="s">
        <v>151</v>
      </c>
      <c r="B926" s="14">
        <v>0.86201598577020122</v>
      </c>
      <c r="C926" s="13" t="s">
        <v>79</v>
      </c>
      <c r="D926" s="13" t="s">
        <v>33</v>
      </c>
    </row>
    <row r="927" spans="1:4" x14ac:dyDescent="0.3">
      <c r="A927" s="13" t="s">
        <v>151</v>
      </c>
      <c r="B927" s="14">
        <v>0.96005788997025088</v>
      </c>
      <c r="C927" s="13" t="s">
        <v>22</v>
      </c>
      <c r="D927" s="13" t="s">
        <v>0</v>
      </c>
    </row>
    <row r="928" spans="1:4" x14ac:dyDescent="0.3">
      <c r="A928" s="13" t="s">
        <v>151</v>
      </c>
      <c r="B928" s="14">
        <v>0.97207668656097301</v>
      </c>
      <c r="C928" s="13" t="s">
        <v>22</v>
      </c>
      <c r="D928" s="13" t="s">
        <v>41</v>
      </c>
    </row>
    <row r="929" spans="1:4" x14ac:dyDescent="0.3">
      <c r="A929" s="13" t="s">
        <v>151</v>
      </c>
      <c r="B929" s="14">
        <v>0.53240220140015004</v>
      </c>
      <c r="C929" s="13" t="s">
        <v>80</v>
      </c>
      <c r="D929" s="13" t="s">
        <v>29</v>
      </c>
    </row>
    <row r="930" spans="1:4" x14ac:dyDescent="0.3">
      <c r="A930" s="13" t="s">
        <v>151</v>
      </c>
      <c r="B930" s="14">
        <v>0.30156983667272458</v>
      </c>
      <c r="C930" s="13" t="s">
        <v>81</v>
      </c>
      <c r="D930" s="13" t="s">
        <v>33</v>
      </c>
    </row>
    <row r="931" spans="1:4" x14ac:dyDescent="0.3">
      <c r="A931" s="13" t="s">
        <v>151</v>
      </c>
      <c r="B931" s="14">
        <v>0.95368223552952314</v>
      </c>
      <c r="C931" s="13" t="s">
        <v>82</v>
      </c>
      <c r="D931" s="13" t="s">
        <v>33</v>
      </c>
    </row>
    <row r="932" spans="1:4" x14ac:dyDescent="0.3">
      <c r="A932" s="13" t="s">
        <v>151</v>
      </c>
      <c r="B932" s="14">
        <v>0.95159396728348711</v>
      </c>
      <c r="C932" s="13" t="s">
        <v>82</v>
      </c>
      <c r="D932" s="13" t="s">
        <v>29</v>
      </c>
    </row>
    <row r="933" spans="1:4" x14ac:dyDescent="0.3">
      <c r="A933" s="13" t="s">
        <v>151</v>
      </c>
      <c r="B933" s="14">
        <v>0.95810677548777679</v>
      </c>
      <c r="C933" s="13" t="s">
        <v>82</v>
      </c>
      <c r="D933" s="13" t="s">
        <v>41</v>
      </c>
    </row>
    <row r="934" spans="1:4" x14ac:dyDescent="0.3">
      <c r="A934" s="13" t="s">
        <v>151</v>
      </c>
      <c r="B934" s="14">
        <v>0.82202754992304927</v>
      </c>
      <c r="C934" s="13" t="s">
        <v>83</v>
      </c>
      <c r="D934" s="13" t="s">
        <v>0</v>
      </c>
    </row>
    <row r="935" spans="1:4" x14ac:dyDescent="0.3">
      <c r="A935" s="13" t="s">
        <v>151</v>
      </c>
      <c r="B935" s="14">
        <v>0.78005705050209817</v>
      </c>
      <c r="C935" s="13" t="s">
        <v>83</v>
      </c>
      <c r="D935" s="13" t="s">
        <v>33</v>
      </c>
    </row>
    <row r="936" spans="1:4" x14ac:dyDescent="0.3">
      <c r="A936" s="13" t="s">
        <v>151</v>
      </c>
      <c r="B936" s="14">
        <v>0.71821168098686039</v>
      </c>
      <c r="C936" s="13" t="s">
        <v>83</v>
      </c>
      <c r="D936" s="13" t="s">
        <v>41</v>
      </c>
    </row>
    <row r="937" spans="1:4" x14ac:dyDescent="0.3">
      <c r="A937" s="13" t="s">
        <v>151</v>
      </c>
      <c r="B937" s="14">
        <v>0.70881566855244649</v>
      </c>
      <c r="C937" s="13" t="s">
        <v>84</v>
      </c>
      <c r="D937" s="13"/>
    </row>
    <row r="938" spans="1:4" x14ac:dyDescent="0.3">
      <c r="A938" s="13" t="s">
        <v>151</v>
      </c>
      <c r="B938" s="14">
        <v>0.88028279070734927</v>
      </c>
      <c r="C938" s="13" t="s">
        <v>84</v>
      </c>
      <c r="D938" s="13" t="s">
        <v>42</v>
      </c>
    </row>
    <row r="939" spans="1:4" x14ac:dyDescent="0.3">
      <c r="A939" s="13" t="s">
        <v>151</v>
      </c>
      <c r="B939" s="14">
        <v>0.81946849377877662</v>
      </c>
      <c r="C939" s="13" t="s">
        <v>85</v>
      </c>
      <c r="D939" s="13" t="s">
        <v>33</v>
      </c>
    </row>
    <row r="940" spans="1:4" x14ac:dyDescent="0.3">
      <c r="A940" s="13" t="s">
        <v>151</v>
      </c>
      <c r="B940" s="14">
        <v>0.79152890722571378</v>
      </c>
      <c r="C940" s="13" t="s">
        <v>85</v>
      </c>
      <c r="D940" s="13" t="s">
        <v>41</v>
      </c>
    </row>
    <row r="941" spans="1:4" x14ac:dyDescent="0.3">
      <c r="A941" s="13" t="s">
        <v>151</v>
      </c>
      <c r="B941" s="14">
        <v>0.97403106043548127</v>
      </c>
      <c r="C941" s="13" t="s">
        <v>86</v>
      </c>
      <c r="D941" s="13" t="s">
        <v>29</v>
      </c>
    </row>
    <row r="942" spans="1:4" x14ac:dyDescent="0.3">
      <c r="A942" s="13" t="s">
        <v>151</v>
      </c>
      <c r="B942" s="14">
        <v>0.75817490029169388</v>
      </c>
      <c r="C942" s="13" t="s">
        <v>87</v>
      </c>
      <c r="D942" s="13" t="s">
        <v>0</v>
      </c>
    </row>
    <row r="943" spans="1:4" x14ac:dyDescent="0.3">
      <c r="A943" s="13" t="s">
        <v>151</v>
      </c>
      <c r="B943" s="14">
        <v>0.60711472871604688</v>
      </c>
      <c r="C943" s="13" t="s">
        <v>87</v>
      </c>
      <c r="D943" s="13" t="s">
        <v>29</v>
      </c>
    </row>
    <row r="944" spans="1:4" x14ac:dyDescent="0.3">
      <c r="A944" s="13" t="s">
        <v>151</v>
      </c>
      <c r="B944" s="14">
        <v>0.5212940238621725</v>
      </c>
      <c r="C944" s="13" t="s">
        <v>87</v>
      </c>
      <c r="D944" s="13" t="s">
        <v>36</v>
      </c>
    </row>
    <row r="945" spans="1:4" x14ac:dyDescent="0.3">
      <c r="A945" s="13" t="s">
        <v>151</v>
      </c>
      <c r="B945" s="14">
        <v>0.9279235540392009</v>
      </c>
      <c r="C945" s="13" t="s">
        <v>88</v>
      </c>
      <c r="D945" s="13" t="s">
        <v>29</v>
      </c>
    </row>
    <row r="946" spans="1:4" x14ac:dyDescent="0.3">
      <c r="A946" s="13" t="s">
        <v>151</v>
      </c>
      <c r="B946" s="14">
        <v>0.85544063717573493</v>
      </c>
      <c r="C946" s="13" t="s">
        <v>89</v>
      </c>
      <c r="D946" s="13"/>
    </row>
    <row r="947" spans="1:4" x14ac:dyDescent="0.3">
      <c r="A947" s="13" t="s">
        <v>151</v>
      </c>
      <c r="B947" s="14">
        <v>0.90716635792296241</v>
      </c>
      <c r="C947" s="13" t="s">
        <v>89</v>
      </c>
      <c r="D947" s="13" t="s">
        <v>42</v>
      </c>
    </row>
    <row r="948" spans="1:4" x14ac:dyDescent="0.3">
      <c r="A948" s="13" t="s">
        <v>151</v>
      </c>
      <c r="B948" s="14">
        <v>0.71462125100944129</v>
      </c>
      <c r="C948" s="13" t="s">
        <v>89</v>
      </c>
      <c r="D948" s="13" t="s">
        <v>33</v>
      </c>
    </row>
    <row r="949" spans="1:4" x14ac:dyDescent="0.3">
      <c r="A949" s="13" t="s">
        <v>151</v>
      </c>
      <c r="B949" s="14">
        <v>0.81361407217551429</v>
      </c>
      <c r="C949" s="13" t="s">
        <v>89</v>
      </c>
      <c r="D949" s="13" t="s">
        <v>36</v>
      </c>
    </row>
    <row r="950" spans="1:4" x14ac:dyDescent="0.3">
      <c r="A950" s="13" t="s">
        <v>151</v>
      </c>
      <c r="B950" s="14">
        <v>0.59356063374505652</v>
      </c>
      <c r="C950" s="13" t="s">
        <v>89</v>
      </c>
      <c r="D950" s="13" t="s">
        <v>41</v>
      </c>
    </row>
    <row r="951" spans="1:4" x14ac:dyDescent="0.3">
      <c r="A951" s="13" t="s">
        <v>151</v>
      </c>
      <c r="B951" s="14">
        <v>0.78116364222629475</v>
      </c>
      <c r="C951" s="13" t="s">
        <v>90</v>
      </c>
      <c r="D951" s="13" t="s">
        <v>0</v>
      </c>
    </row>
    <row r="952" spans="1:4" x14ac:dyDescent="0.3">
      <c r="A952" s="13" t="s">
        <v>151</v>
      </c>
      <c r="B952" s="14">
        <v>0.89318716590333436</v>
      </c>
      <c r="C952" s="13" t="s">
        <v>90</v>
      </c>
      <c r="D952" s="13" t="s">
        <v>33</v>
      </c>
    </row>
    <row r="953" spans="1:4" x14ac:dyDescent="0.3">
      <c r="A953" s="13" t="s">
        <v>151</v>
      </c>
      <c r="B953" s="14">
        <v>0.8052206990232732</v>
      </c>
      <c r="C953" s="13" t="s">
        <v>90</v>
      </c>
      <c r="D953" s="13" t="s">
        <v>29</v>
      </c>
    </row>
    <row r="954" spans="1:4" x14ac:dyDescent="0.3">
      <c r="A954" s="13" t="s">
        <v>151</v>
      </c>
      <c r="B954" s="14">
        <v>0.82348766577787003</v>
      </c>
      <c r="C954" s="13" t="s">
        <v>90</v>
      </c>
      <c r="D954" s="13" t="s">
        <v>36</v>
      </c>
    </row>
    <row r="955" spans="1:4" x14ac:dyDescent="0.3">
      <c r="A955" s="13" t="s">
        <v>151</v>
      </c>
      <c r="B955" s="14">
        <v>0.79709301862516102</v>
      </c>
      <c r="C955" s="13" t="s">
        <v>90</v>
      </c>
      <c r="D955" s="13" t="s">
        <v>41</v>
      </c>
    </row>
    <row r="956" spans="1:4" x14ac:dyDescent="0.3">
      <c r="A956" s="13" t="s">
        <v>151</v>
      </c>
      <c r="B956" s="14">
        <v>0.94175814296071381</v>
      </c>
      <c r="C956" s="13" t="s">
        <v>91</v>
      </c>
      <c r="D956" s="13" t="s">
        <v>29</v>
      </c>
    </row>
    <row r="957" spans="1:4" x14ac:dyDescent="0.3">
      <c r="A957" s="13" t="s">
        <v>151</v>
      </c>
      <c r="B957" s="14">
        <v>0.88529590368292244</v>
      </c>
      <c r="C957" s="13" t="s">
        <v>92</v>
      </c>
      <c r="D957" s="13" t="s">
        <v>42</v>
      </c>
    </row>
    <row r="958" spans="1:4" x14ac:dyDescent="0.3">
      <c r="A958" s="13" t="s">
        <v>151</v>
      </c>
      <c r="B958" s="14">
        <v>0.77486960996266274</v>
      </c>
      <c r="C958" s="13" t="s">
        <v>93</v>
      </c>
      <c r="D958" s="13" t="s">
        <v>33</v>
      </c>
    </row>
    <row r="959" spans="1:4" x14ac:dyDescent="0.3">
      <c r="A959" s="13" t="s">
        <v>151</v>
      </c>
      <c r="B959" s="14">
        <v>0.80513626377818603</v>
      </c>
      <c r="C959" s="13" t="s">
        <v>94</v>
      </c>
      <c r="D959" s="13" t="s">
        <v>42</v>
      </c>
    </row>
    <row r="960" spans="1:4" x14ac:dyDescent="0.3">
      <c r="A960" s="13" t="s">
        <v>151</v>
      </c>
      <c r="B960" s="14">
        <v>1</v>
      </c>
      <c r="C960" s="13" t="s">
        <v>95</v>
      </c>
      <c r="D960" s="13" t="s">
        <v>41</v>
      </c>
    </row>
    <row r="961" spans="1:4" x14ac:dyDescent="0.3">
      <c r="A961" s="13" t="s">
        <v>151</v>
      </c>
      <c r="B961" s="14">
        <v>0.70684299450338817</v>
      </c>
      <c r="C961" s="13" t="s">
        <v>96</v>
      </c>
      <c r="D961" s="13" t="s">
        <v>33</v>
      </c>
    </row>
    <row r="962" spans="1:4" x14ac:dyDescent="0.3">
      <c r="A962" s="13" t="s">
        <v>151</v>
      </c>
      <c r="B962" s="14">
        <v>0.63621035113504087</v>
      </c>
      <c r="C962" s="13" t="s">
        <v>97</v>
      </c>
      <c r="D962" s="13" t="s">
        <v>41</v>
      </c>
    </row>
    <row r="963" spans="1:4" x14ac:dyDescent="0.3">
      <c r="A963" s="13" t="s">
        <v>151</v>
      </c>
      <c r="B963" s="14">
        <v>0.95495712778239317</v>
      </c>
      <c r="C963" s="13" t="s">
        <v>23</v>
      </c>
      <c r="D963" s="13" t="s">
        <v>0</v>
      </c>
    </row>
    <row r="964" spans="1:4" x14ac:dyDescent="0.3">
      <c r="A964" s="13" t="s">
        <v>151</v>
      </c>
      <c r="B964" s="14">
        <v>0.98379279203142456</v>
      </c>
      <c r="C964" s="13" t="s">
        <v>38</v>
      </c>
      <c r="D964" s="13" t="s">
        <v>42</v>
      </c>
    </row>
    <row r="965" spans="1:4" x14ac:dyDescent="0.3">
      <c r="A965" s="13" t="s">
        <v>151</v>
      </c>
      <c r="B965" s="14">
        <v>0.98163785093544975</v>
      </c>
      <c r="C965" s="13" t="s">
        <v>38</v>
      </c>
      <c r="D965" s="13" t="s">
        <v>36</v>
      </c>
    </row>
    <row r="966" spans="1:4" x14ac:dyDescent="0.3">
      <c r="A966" s="13" t="s">
        <v>151</v>
      </c>
      <c r="B966" s="14">
        <v>0.8493186932022595</v>
      </c>
      <c r="C966" s="13" t="s">
        <v>98</v>
      </c>
      <c r="D966" s="13" t="s">
        <v>29</v>
      </c>
    </row>
    <row r="967" spans="1:4" x14ac:dyDescent="0.3">
      <c r="A967" s="13" t="s">
        <v>151</v>
      </c>
      <c r="B967" s="14">
        <v>0.95561111564453394</v>
      </c>
      <c r="C967" s="13" t="s">
        <v>99</v>
      </c>
      <c r="D967" s="13" t="s">
        <v>42</v>
      </c>
    </row>
    <row r="968" spans="1:4" x14ac:dyDescent="0.3">
      <c r="A968" s="13" t="s">
        <v>151</v>
      </c>
      <c r="B968" s="14">
        <v>0.7919697479547344</v>
      </c>
      <c r="C968" s="13" t="s">
        <v>100</v>
      </c>
      <c r="D968" s="13" t="s">
        <v>42</v>
      </c>
    </row>
    <row r="969" spans="1:4" x14ac:dyDescent="0.3">
      <c r="A969" s="13" t="s">
        <v>151</v>
      </c>
      <c r="B969" s="14">
        <v>0.48301866546290612</v>
      </c>
      <c r="C969" s="13" t="s">
        <v>101</v>
      </c>
      <c r="D969" s="13" t="s">
        <v>36</v>
      </c>
    </row>
    <row r="970" spans="1:4" x14ac:dyDescent="0.3">
      <c r="A970" s="13" t="s">
        <v>151</v>
      </c>
      <c r="B970" s="14">
        <v>0.95657176269068744</v>
      </c>
      <c r="C970" s="13" t="s">
        <v>102</v>
      </c>
      <c r="D970" s="13" t="s">
        <v>0</v>
      </c>
    </row>
    <row r="971" spans="1:4" x14ac:dyDescent="0.3">
      <c r="A971" s="13" t="s">
        <v>151</v>
      </c>
      <c r="B971" s="14">
        <v>0.94068825777308296</v>
      </c>
      <c r="C971" s="13" t="s">
        <v>102</v>
      </c>
      <c r="D971" s="13" t="s">
        <v>42</v>
      </c>
    </row>
    <row r="972" spans="1:4" x14ac:dyDescent="0.3">
      <c r="A972" s="13" t="s">
        <v>151</v>
      </c>
      <c r="B972" s="14">
        <v>0.94566199373313264</v>
      </c>
      <c r="C972" s="13" t="s">
        <v>102</v>
      </c>
      <c r="D972" s="13" t="s">
        <v>33</v>
      </c>
    </row>
    <row r="973" spans="1:4" x14ac:dyDescent="0.3">
      <c r="A973" s="13" t="s">
        <v>151</v>
      </c>
      <c r="B973" s="14">
        <v>0.96320183902755785</v>
      </c>
      <c r="C973" s="13" t="s">
        <v>102</v>
      </c>
      <c r="D973" s="13" t="s">
        <v>29</v>
      </c>
    </row>
    <row r="974" spans="1:4" x14ac:dyDescent="0.3">
      <c r="A974" s="13" t="s">
        <v>151</v>
      </c>
      <c r="B974" s="14">
        <v>0.95554336117031258</v>
      </c>
      <c r="C974" s="13" t="s">
        <v>102</v>
      </c>
      <c r="D974" s="13" t="s">
        <v>36</v>
      </c>
    </row>
    <row r="975" spans="1:4" x14ac:dyDescent="0.3">
      <c r="A975" s="13" t="s">
        <v>151</v>
      </c>
      <c r="B975" s="14">
        <v>0.94365028290252828</v>
      </c>
      <c r="C975" s="13" t="s">
        <v>102</v>
      </c>
      <c r="D975" s="13" t="s">
        <v>41</v>
      </c>
    </row>
    <row r="976" spans="1:4" x14ac:dyDescent="0.3">
      <c r="A976" s="13" t="s">
        <v>151</v>
      </c>
      <c r="B976" s="14">
        <v>0.90954482729306241</v>
      </c>
      <c r="C976" s="13" t="s">
        <v>103</v>
      </c>
      <c r="D976" s="13" t="s">
        <v>0</v>
      </c>
    </row>
    <row r="977" spans="1:4" x14ac:dyDescent="0.3">
      <c r="A977" s="13" t="s">
        <v>151</v>
      </c>
      <c r="B977" s="14">
        <v>0.92330473220508136</v>
      </c>
      <c r="C977" s="13" t="s">
        <v>103</v>
      </c>
      <c r="D977" s="13" t="s">
        <v>33</v>
      </c>
    </row>
    <row r="978" spans="1:4" x14ac:dyDescent="0.3">
      <c r="A978" s="13" t="s">
        <v>151</v>
      </c>
      <c r="B978" s="14">
        <v>0.90758989304139803</v>
      </c>
      <c r="C978" s="13" t="s">
        <v>103</v>
      </c>
      <c r="D978" s="13" t="s">
        <v>29</v>
      </c>
    </row>
    <row r="979" spans="1:4" x14ac:dyDescent="0.3">
      <c r="A979" s="13" t="s">
        <v>151</v>
      </c>
      <c r="B979" s="14">
        <v>0.92547566274509152</v>
      </c>
      <c r="C979" s="13" t="s">
        <v>103</v>
      </c>
      <c r="D979" s="13" t="s">
        <v>36</v>
      </c>
    </row>
    <row r="980" spans="1:4" x14ac:dyDescent="0.3">
      <c r="A980" s="13" t="s">
        <v>151</v>
      </c>
      <c r="B980" s="14">
        <v>0.91257210984601456</v>
      </c>
      <c r="C980" s="13" t="s">
        <v>103</v>
      </c>
      <c r="D980" s="13" t="s">
        <v>41</v>
      </c>
    </row>
    <row r="981" spans="1:4" x14ac:dyDescent="0.3">
      <c r="A981" s="13" t="s">
        <v>151</v>
      </c>
      <c r="B981" s="14">
        <v>0.68393658155276238</v>
      </c>
      <c r="C981" s="13" t="s">
        <v>104</v>
      </c>
      <c r="D981" s="13" t="s">
        <v>41</v>
      </c>
    </row>
    <row r="982" spans="1:4" x14ac:dyDescent="0.3">
      <c r="A982" s="13" t="s">
        <v>151</v>
      </c>
      <c r="B982" s="14">
        <v>0.89013117559002741</v>
      </c>
      <c r="C982" s="13" t="s">
        <v>105</v>
      </c>
      <c r="D982" s="13" t="s">
        <v>33</v>
      </c>
    </row>
    <row r="983" spans="1:4" x14ac:dyDescent="0.3">
      <c r="A983" s="13" t="s">
        <v>151</v>
      </c>
      <c r="B983" s="14">
        <v>0.94938959694827707</v>
      </c>
      <c r="C983" s="13" t="s">
        <v>105</v>
      </c>
      <c r="D983" s="13" t="s">
        <v>29</v>
      </c>
    </row>
    <row r="984" spans="1:4" x14ac:dyDescent="0.3">
      <c r="A984" s="13" t="s">
        <v>151</v>
      </c>
      <c r="B984" s="14">
        <v>0.93539775801870284</v>
      </c>
      <c r="C984" s="13" t="s">
        <v>105</v>
      </c>
      <c r="D984" s="13" t="s">
        <v>41</v>
      </c>
    </row>
    <row r="985" spans="1:4" x14ac:dyDescent="0.3">
      <c r="A985" s="13" t="s">
        <v>151</v>
      </c>
      <c r="B985" s="14">
        <v>0.25108440606093119</v>
      </c>
      <c r="C985" s="13" t="s">
        <v>106</v>
      </c>
      <c r="D985" s="13" t="s">
        <v>0</v>
      </c>
    </row>
    <row r="986" spans="1:4" x14ac:dyDescent="0.3">
      <c r="A986" s="13" t="s">
        <v>151</v>
      </c>
      <c r="B986" s="14">
        <v>0.91791520364482249</v>
      </c>
      <c r="C986" s="13" t="s">
        <v>107</v>
      </c>
      <c r="D986" s="13"/>
    </row>
    <row r="987" spans="1:4" x14ac:dyDescent="0.3">
      <c r="A987" s="13" t="s">
        <v>151</v>
      </c>
      <c r="B987" s="14">
        <v>0.94924257578101123</v>
      </c>
      <c r="C987" s="13" t="s">
        <v>107</v>
      </c>
      <c r="D987" s="13" t="s">
        <v>41</v>
      </c>
    </row>
    <row r="988" spans="1:4" x14ac:dyDescent="0.3">
      <c r="A988" s="13" t="s">
        <v>151</v>
      </c>
      <c r="B988" s="14">
        <v>0.90909427917304197</v>
      </c>
      <c r="C988" s="13" t="s">
        <v>108</v>
      </c>
      <c r="D988" s="13" t="s">
        <v>29</v>
      </c>
    </row>
    <row r="989" spans="1:4" x14ac:dyDescent="0.3">
      <c r="A989" s="13" t="s">
        <v>151</v>
      </c>
      <c r="B989" s="14">
        <v>0.74202017211675653</v>
      </c>
      <c r="C989" s="13" t="s">
        <v>24</v>
      </c>
      <c r="D989" s="13"/>
    </row>
    <row r="990" spans="1:4" x14ac:dyDescent="0.3">
      <c r="A990" s="13" t="s">
        <v>151</v>
      </c>
      <c r="B990" s="14">
        <v>0.6389506535046019</v>
      </c>
      <c r="C990" s="13" t="s">
        <v>24</v>
      </c>
      <c r="D990" s="13" t="s">
        <v>0</v>
      </c>
    </row>
    <row r="991" spans="1:4" x14ac:dyDescent="0.3">
      <c r="A991" s="13" t="s">
        <v>151</v>
      </c>
      <c r="B991" s="14">
        <v>0.87764608318388804</v>
      </c>
      <c r="C991" s="13" t="s">
        <v>24</v>
      </c>
      <c r="D991" s="13" t="s">
        <v>42</v>
      </c>
    </row>
    <row r="992" spans="1:4" x14ac:dyDescent="0.3">
      <c r="A992" s="13" t="s">
        <v>151</v>
      </c>
      <c r="B992" s="14">
        <v>0.70794973546232809</v>
      </c>
      <c r="C992" s="13" t="s">
        <v>24</v>
      </c>
      <c r="D992" s="13" t="s">
        <v>33</v>
      </c>
    </row>
    <row r="993" spans="1:4" x14ac:dyDescent="0.3">
      <c r="A993" s="13" t="s">
        <v>151</v>
      </c>
      <c r="B993" s="14">
        <v>0.7899821188017192</v>
      </c>
      <c r="C993" s="13" t="s">
        <v>24</v>
      </c>
      <c r="D993" s="13" t="s">
        <v>29</v>
      </c>
    </row>
    <row r="994" spans="1:4" x14ac:dyDescent="0.3">
      <c r="A994" s="13" t="s">
        <v>151</v>
      </c>
      <c r="B994" s="14">
        <v>0.85012841901957892</v>
      </c>
      <c r="C994" s="13" t="s">
        <v>109</v>
      </c>
      <c r="D994" s="13" t="s">
        <v>41</v>
      </c>
    </row>
    <row r="995" spans="1:4" x14ac:dyDescent="0.3">
      <c r="A995" s="13" t="s">
        <v>151</v>
      </c>
      <c r="B995" s="14">
        <v>0.94251155406313236</v>
      </c>
      <c r="C995" s="13" t="s">
        <v>110</v>
      </c>
      <c r="D995" s="13" t="s">
        <v>0</v>
      </c>
    </row>
    <row r="996" spans="1:4" x14ac:dyDescent="0.3">
      <c r="A996" s="13" t="s">
        <v>151</v>
      </c>
      <c r="B996" s="14">
        <v>0.93500714299358867</v>
      </c>
      <c r="C996" s="13" t="s">
        <v>110</v>
      </c>
      <c r="D996" s="13" t="s">
        <v>33</v>
      </c>
    </row>
    <row r="997" spans="1:4" x14ac:dyDescent="0.3">
      <c r="A997" s="13" t="s">
        <v>151</v>
      </c>
      <c r="B997" s="14">
        <v>0.91968972748092526</v>
      </c>
      <c r="C997" s="13" t="s">
        <v>110</v>
      </c>
      <c r="D997" s="13" t="s">
        <v>29</v>
      </c>
    </row>
    <row r="998" spans="1:4" x14ac:dyDescent="0.3">
      <c r="A998" s="13" t="s">
        <v>151</v>
      </c>
      <c r="B998" s="14">
        <v>0.91809786068796306</v>
      </c>
      <c r="C998" s="13" t="s">
        <v>110</v>
      </c>
      <c r="D998" s="13" t="s">
        <v>36</v>
      </c>
    </row>
    <row r="999" spans="1:4" x14ac:dyDescent="0.3">
      <c r="A999" s="13" t="s">
        <v>151</v>
      </c>
      <c r="B999" s="14">
        <v>0.9496938436789043</v>
      </c>
      <c r="C999" s="13" t="s">
        <v>110</v>
      </c>
      <c r="D999" s="13" t="s">
        <v>41</v>
      </c>
    </row>
    <row r="1000" spans="1:4" x14ac:dyDescent="0.3">
      <c r="A1000" s="13" t="s">
        <v>151</v>
      </c>
      <c r="B1000" s="14">
        <v>0.80808819297233703</v>
      </c>
      <c r="C1000" s="13" t="s">
        <v>111</v>
      </c>
      <c r="D1000" s="13" t="s">
        <v>33</v>
      </c>
    </row>
    <row r="1001" spans="1:4" x14ac:dyDescent="0.3">
      <c r="A1001" s="13" t="s">
        <v>151</v>
      </c>
      <c r="B1001" s="14">
        <v>0.93711934776074346</v>
      </c>
      <c r="C1001" s="13" t="s">
        <v>112</v>
      </c>
      <c r="D1001" s="13" t="s">
        <v>0</v>
      </c>
    </row>
    <row r="1002" spans="1:4" x14ac:dyDescent="0.3">
      <c r="A1002" s="13" t="s">
        <v>151</v>
      </c>
      <c r="B1002" s="14">
        <v>0.866330952312102</v>
      </c>
      <c r="C1002" s="13" t="s">
        <v>112</v>
      </c>
      <c r="D1002" s="13" t="s">
        <v>42</v>
      </c>
    </row>
    <row r="1003" spans="1:4" x14ac:dyDescent="0.3">
      <c r="A1003" s="13" t="s">
        <v>151</v>
      </c>
      <c r="B1003" s="14">
        <v>0.93687859139448648</v>
      </c>
      <c r="C1003" s="13" t="s">
        <v>112</v>
      </c>
      <c r="D1003" s="13" t="s">
        <v>33</v>
      </c>
    </row>
    <row r="1004" spans="1:4" x14ac:dyDescent="0.3">
      <c r="A1004" s="13" t="s">
        <v>151</v>
      </c>
      <c r="B1004" s="14">
        <v>0.9275398997112505</v>
      </c>
      <c r="C1004" s="13" t="s">
        <v>112</v>
      </c>
      <c r="D1004" s="13" t="s">
        <v>29</v>
      </c>
    </row>
    <row r="1005" spans="1:4" x14ac:dyDescent="0.3">
      <c r="A1005" s="13" t="s">
        <v>151</v>
      </c>
      <c r="B1005" s="14">
        <v>0.92863882698884082</v>
      </c>
      <c r="C1005" s="13" t="s">
        <v>112</v>
      </c>
      <c r="D1005" s="13" t="s">
        <v>36</v>
      </c>
    </row>
    <row r="1006" spans="1:4" x14ac:dyDescent="0.3">
      <c r="A1006" s="13" t="s">
        <v>151</v>
      </c>
      <c r="B1006" s="14">
        <v>0.93108403621331615</v>
      </c>
      <c r="C1006" s="13" t="s">
        <v>112</v>
      </c>
      <c r="D1006" s="13" t="s">
        <v>41</v>
      </c>
    </row>
    <row r="1007" spans="1:4" x14ac:dyDescent="0.3">
      <c r="A1007" s="13" t="s">
        <v>151</v>
      </c>
      <c r="B1007" s="14">
        <v>0.83012985414210061</v>
      </c>
      <c r="C1007" s="13" t="s">
        <v>35</v>
      </c>
      <c r="D1007" s="13" t="s">
        <v>33</v>
      </c>
    </row>
    <row r="1008" spans="1:4" x14ac:dyDescent="0.3">
      <c r="A1008" s="13" t="s">
        <v>151</v>
      </c>
      <c r="B1008" s="14">
        <v>0.99168662292639809</v>
      </c>
      <c r="C1008" s="13" t="s">
        <v>31</v>
      </c>
      <c r="D1008" s="13" t="s">
        <v>33</v>
      </c>
    </row>
    <row r="1009" spans="1:4" x14ac:dyDescent="0.3">
      <c r="A1009" s="13" t="s">
        <v>151</v>
      </c>
      <c r="B1009" s="14">
        <v>0.95837069932852081</v>
      </c>
      <c r="C1009" s="13" t="s">
        <v>31</v>
      </c>
      <c r="D1009" s="13" t="s">
        <v>29</v>
      </c>
    </row>
    <row r="1010" spans="1:4" x14ac:dyDescent="0.3">
      <c r="A1010" s="13" t="s">
        <v>151</v>
      </c>
      <c r="B1010" s="14">
        <v>0.95757764924102928</v>
      </c>
      <c r="C1010" s="13" t="s">
        <v>114</v>
      </c>
      <c r="D1010" s="13" t="s">
        <v>29</v>
      </c>
    </row>
    <row r="1011" spans="1:4" x14ac:dyDescent="0.3">
      <c r="A1011" s="13" t="s">
        <v>151</v>
      </c>
      <c r="B1011" s="14">
        <v>0.96986619163839183</v>
      </c>
      <c r="C1011" s="13" t="s">
        <v>39</v>
      </c>
      <c r="D1011" s="13" t="s">
        <v>36</v>
      </c>
    </row>
    <row r="1012" spans="1:4" x14ac:dyDescent="0.3">
      <c r="A1012" s="13" t="s">
        <v>151</v>
      </c>
      <c r="B1012" s="14">
        <v>2.429657534129151E-2</v>
      </c>
      <c r="C1012" s="13" t="s">
        <v>150</v>
      </c>
      <c r="D1012" s="13" t="s">
        <v>36</v>
      </c>
    </row>
    <row r="1013" spans="1:4" x14ac:dyDescent="0.3">
      <c r="A1013" s="13" t="s">
        <v>151</v>
      </c>
      <c r="B1013" s="14">
        <v>0.95826126793439703</v>
      </c>
      <c r="C1013" s="13" t="s">
        <v>115</v>
      </c>
      <c r="D1013" s="13" t="s">
        <v>0</v>
      </c>
    </row>
    <row r="1014" spans="1:4" x14ac:dyDescent="0.3">
      <c r="A1014" s="13" t="s">
        <v>151</v>
      </c>
      <c r="B1014" s="14">
        <v>0.98309294417975079</v>
      </c>
      <c r="C1014" s="13" t="s">
        <v>115</v>
      </c>
      <c r="D1014" s="13" t="s">
        <v>42</v>
      </c>
    </row>
    <row r="1015" spans="1:4" x14ac:dyDescent="0.3">
      <c r="A1015" s="13" t="s">
        <v>151</v>
      </c>
      <c r="B1015" s="14">
        <v>0.97741466188392501</v>
      </c>
      <c r="C1015" s="13" t="s">
        <v>115</v>
      </c>
      <c r="D1015" s="13" t="s">
        <v>33</v>
      </c>
    </row>
    <row r="1016" spans="1:4" x14ac:dyDescent="0.3">
      <c r="A1016" s="13" t="s">
        <v>151</v>
      </c>
      <c r="B1016" s="14">
        <v>0.95753570949360722</v>
      </c>
      <c r="C1016" s="13" t="s">
        <v>115</v>
      </c>
      <c r="D1016" s="13" t="s">
        <v>29</v>
      </c>
    </row>
    <row r="1017" spans="1:4" x14ac:dyDescent="0.3">
      <c r="A1017" s="13" t="s">
        <v>151</v>
      </c>
      <c r="B1017" s="14">
        <v>0.96865959230670851</v>
      </c>
      <c r="C1017" s="13" t="s">
        <v>115</v>
      </c>
      <c r="D1017" s="13" t="s">
        <v>36</v>
      </c>
    </row>
    <row r="1018" spans="1:4" x14ac:dyDescent="0.3">
      <c r="A1018" s="13" t="s">
        <v>151</v>
      </c>
      <c r="B1018" s="14">
        <v>0.95840424403627489</v>
      </c>
      <c r="C1018" s="13" t="s">
        <v>115</v>
      </c>
      <c r="D1018" s="13" t="s">
        <v>41</v>
      </c>
    </row>
    <row r="1019" spans="1:4" x14ac:dyDescent="0.3">
      <c r="A1019" s="13" t="s">
        <v>151</v>
      </c>
      <c r="B1019" s="14">
        <v>0.92022663888573597</v>
      </c>
      <c r="C1019" s="13" t="s">
        <v>25</v>
      </c>
      <c r="D1019" s="13"/>
    </row>
    <row r="1020" spans="1:4" x14ac:dyDescent="0.3">
      <c r="A1020" s="13" t="s">
        <v>151</v>
      </c>
      <c r="B1020" s="14">
        <v>0.95935323783124948</v>
      </c>
      <c r="C1020" s="13" t="s">
        <v>25</v>
      </c>
      <c r="D1020" s="13" t="s">
        <v>0</v>
      </c>
    </row>
    <row r="1021" spans="1:4" x14ac:dyDescent="0.3">
      <c r="A1021" s="13" t="s">
        <v>151</v>
      </c>
      <c r="B1021" s="14">
        <v>0.83855073891421639</v>
      </c>
      <c r="C1021" s="13" t="s">
        <v>116</v>
      </c>
      <c r="D1021" s="13" t="s">
        <v>0</v>
      </c>
    </row>
    <row r="1022" spans="1:4" x14ac:dyDescent="0.3">
      <c r="A1022" s="13" t="s">
        <v>151</v>
      </c>
      <c r="B1022" s="14">
        <v>0.96929274822553624</v>
      </c>
      <c r="C1022" s="13" t="s">
        <v>117</v>
      </c>
      <c r="D1022" s="13" t="s">
        <v>29</v>
      </c>
    </row>
    <row r="1023" spans="1:4" x14ac:dyDescent="0.3">
      <c r="A1023" s="13" t="s">
        <v>151</v>
      </c>
      <c r="B1023" s="14">
        <v>0.92811548725949666</v>
      </c>
      <c r="C1023" s="13" t="s">
        <v>26</v>
      </c>
      <c r="D1023" s="13" t="s">
        <v>0</v>
      </c>
    </row>
    <row r="1024" spans="1:4" x14ac:dyDescent="0.3">
      <c r="A1024" s="13" t="s">
        <v>151</v>
      </c>
      <c r="B1024" s="14">
        <v>0.90207388417204326</v>
      </c>
      <c r="C1024" s="13" t="s">
        <v>26</v>
      </c>
      <c r="D1024" s="13" t="s">
        <v>33</v>
      </c>
    </row>
    <row r="1025" spans="1:4" x14ac:dyDescent="0.3">
      <c r="A1025" s="13" t="s">
        <v>151</v>
      </c>
      <c r="B1025" s="14">
        <v>0.85631035414642387</v>
      </c>
      <c r="C1025" s="13" t="s">
        <v>26</v>
      </c>
      <c r="D1025" s="13" t="s">
        <v>29</v>
      </c>
    </row>
    <row r="1026" spans="1:4" x14ac:dyDescent="0.3">
      <c r="A1026" s="13" t="s">
        <v>151</v>
      </c>
      <c r="B1026" s="14">
        <v>0.94509052103602542</v>
      </c>
      <c r="C1026" s="13" t="s">
        <v>26</v>
      </c>
      <c r="D1026" s="13" t="s">
        <v>36</v>
      </c>
    </row>
    <row r="1027" spans="1:4" x14ac:dyDescent="0.3">
      <c r="A1027" s="13" t="s">
        <v>151</v>
      </c>
      <c r="B1027" s="14">
        <v>0.41698983111630339</v>
      </c>
      <c r="C1027" s="13" t="s">
        <v>118</v>
      </c>
      <c r="D1027" s="13" t="s">
        <v>29</v>
      </c>
    </row>
    <row r="1028" spans="1:4" x14ac:dyDescent="0.3">
      <c r="A1028" s="13" t="s">
        <v>151</v>
      </c>
      <c r="B1028" s="14">
        <v>0.60550606491471082</v>
      </c>
      <c r="C1028" s="13" t="s">
        <v>119</v>
      </c>
      <c r="D1028" s="13" t="s">
        <v>42</v>
      </c>
    </row>
    <row r="1029" spans="1:4" x14ac:dyDescent="0.3">
      <c r="A1029" s="13" t="s">
        <v>151</v>
      </c>
      <c r="B1029" s="14">
        <v>0.87482500674749575</v>
      </c>
      <c r="C1029" s="13" t="s">
        <v>120</v>
      </c>
      <c r="D1029" s="13"/>
    </row>
    <row r="1030" spans="1:4" x14ac:dyDescent="0.3">
      <c r="A1030" s="13" t="s">
        <v>151</v>
      </c>
      <c r="B1030" s="14">
        <v>0.87362211792464928</v>
      </c>
      <c r="C1030" s="13" t="s">
        <v>121</v>
      </c>
      <c r="D1030" s="13"/>
    </row>
    <row r="1031" spans="1:4" x14ac:dyDescent="0.3">
      <c r="A1031" s="13" t="s">
        <v>151</v>
      </c>
      <c r="B1031" s="14">
        <v>0.83070962469584431</v>
      </c>
      <c r="C1031" s="13" t="s">
        <v>121</v>
      </c>
      <c r="D1031" s="13" t="s">
        <v>0</v>
      </c>
    </row>
    <row r="1032" spans="1:4" x14ac:dyDescent="0.3">
      <c r="A1032" s="13" t="s">
        <v>151</v>
      </c>
      <c r="B1032" s="14">
        <v>0.83881829227341265</v>
      </c>
      <c r="C1032" s="13" t="s">
        <v>122</v>
      </c>
      <c r="D1032" s="13" t="s">
        <v>42</v>
      </c>
    </row>
    <row r="1033" spans="1:4" x14ac:dyDescent="0.3">
      <c r="A1033" s="13" t="s">
        <v>151</v>
      </c>
      <c r="B1033" s="14">
        <v>0.49496725766255828</v>
      </c>
      <c r="C1033" s="13" t="s">
        <v>123</v>
      </c>
      <c r="D1033" s="13" t="s">
        <v>29</v>
      </c>
    </row>
    <row r="1034" spans="1:4" x14ac:dyDescent="0.3">
      <c r="A1034" s="13" t="s">
        <v>151</v>
      </c>
      <c r="B1034" s="14">
        <v>0.96397028955482444</v>
      </c>
      <c r="C1034" s="13" t="s">
        <v>124</v>
      </c>
      <c r="D1034" s="13" t="s">
        <v>0</v>
      </c>
    </row>
    <row r="1035" spans="1:4" x14ac:dyDescent="0.3">
      <c r="A1035" s="13" t="s">
        <v>151</v>
      </c>
      <c r="B1035" s="14">
        <v>0.84585927326062449</v>
      </c>
      <c r="C1035" s="13" t="s">
        <v>124</v>
      </c>
      <c r="D1035" s="13" t="s">
        <v>42</v>
      </c>
    </row>
    <row r="1036" spans="1:4" x14ac:dyDescent="0.3">
      <c r="A1036" s="13" t="s">
        <v>151</v>
      </c>
      <c r="B1036" s="14">
        <v>0.96237007844146816</v>
      </c>
      <c r="C1036" s="13" t="s">
        <v>124</v>
      </c>
      <c r="D1036" s="13" t="s">
        <v>33</v>
      </c>
    </row>
    <row r="1037" spans="1:4" x14ac:dyDescent="0.3">
      <c r="A1037" s="13" t="s">
        <v>151</v>
      </c>
      <c r="B1037" s="14">
        <v>0.96040733501067888</v>
      </c>
      <c r="C1037" s="13" t="s">
        <v>124</v>
      </c>
      <c r="D1037" s="13" t="s">
        <v>29</v>
      </c>
    </row>
    <row r="1038" spans="1:4" x14ac:dyDescent="0.3">
      <c r="A1038" s="13" t="s">
        <v>151</v>
      </c>
      <c r="B1038" s="14">
        <v>0.94494608143205028</v>
      </c>
      <c r="C1038" s="13" t="s">
        <v>124</v>
      </c>
      <c r="D1038" s="13" t="s">
        <v>36</v>
      </c>
    </row>
    <row r="1039" spans="1:4" x14ac:dyDescent="0.3">
      <c r="A1039" s="13" t="s">
        <v>151</v>
      </c>
      <c r="B1039" s="14">
        <v>0.96692183389317676</v>
      </c>
      <c r="C1039" s="13" t="s">
        <v>124</v>
      </c>
      <c r="D1039" s="13" t="s">
        <v>41</v>
      </c>
    </row>
    <row r="1040" spans="1:4" x14ac:dyDescent="0.3">
      <c r="A1040" s="13" t="s">
        <v>151</v>
      </c>
      <c r="B1040" s="14">
        <v>0.59580161478259341</v>
      </c>
      <c r="C1040" s="13" t="s">
        <v>125</v>
      </c>
      <c r="D1040" s="13" t="s">
        <v>41</v>
      </c>
    </row>
    <row r="1041" spans="1:4" x14ac:dyDescent="0.3">
      <c r="A1041" s="13" t="s">
        <v>151</v>
      </c>
      <c r="B1041" s="14">
        <v>0.98531424773785892</v>
      </c>
      <c r="C1041" s="13" t="s">
        <v>126</v>
      </c>
      <c r="D1041" s="13" t="s">
        <v>36</v>
      </c>
    </row>
    <row r="1042" spans="1:4" x14ac:dyDescent="0.3">
      <c r="A1042" s="13" t="s">
        <v>151</v>
      </c>
      <c r="B1042" s="14">
        <v>0.90054248923502156</v>
      </c>
      <c r="C1042" s="13" t="s">
        <v>127</v>
      </c>
      <c r="D1042" s="13" t="s">
        <v>41</v>
      </c>
    </row>
    <row r="1043" spans="1:4" x14ac:dyDescent="0.3">
      <c r="A1043" s="13" t="s">
        <v>151</v>
      </c>
      <c r="B1043" s="14">
        <v>0.94459443237707552</v>
      </c>
      <c r="C1043" s="13" t="s">
        <v>128</v>
      </c>
      <c r="D1043" s="13" t="s">
        <v>0</v>
      </c>
    </row>
    <row r="1044" spans="1:4" x14ac:dyDescent="0.3">
      <c r="A1044" s="13" t="s">
        <v>151</v>
      </c>
      <c r="B1044" s="14">
        <v>0.94228716036284765</v>
      </c>
      <c r="C1044" s="13" t="s">
        <v>128</v>
      </c>
      <c r="D1044" s="13" t="s">
        <v>33</v>
      </c>
    </row>
    <row r="1045" spans="1:4" x14ac:dyDescent="0.3">
      <c r="A1045" s="13" t="s">
        <v>151</v>
      </c>
      <c r="B1045" s="14">
        <v>0.91893143154983425</v>
      </c>
      <c r="C1045" s="13" t="s">
        <v>128</v>
      </c>
      <c r="D1045" s="13" t="s">
        <v>29</v>
      </c>
    </row>
    <row r="1046" spans="1:4" x14ac:dyDescent="0.3">
      <c r="A1046" s="13" t="s">
        <v>151</v>
      </c>
      <c r="B1046" s="14">
        <v>0.95421658633446649</v>
      </c>
      <c r="C1046" s="13" t="s">
        <v>128</v>
      </c>
      <c r="D1046" s="13" t="s">
        <v>41</v>
      </c>
    </row>
    <row r="1047" spans="1:4" x14ac:dyDescent="0.3">
      <c r="A1047" s="13" t="s">
        <v>151</v>
      </c>
      <c r="B1047" s="14">
        <v>0.91576239910349311</v>
      </c>
      <c r="C1047" s="13" t="s">
        <v>129</v>
      </c>
      <c r="D1047" s="13" t="s">
        <v>29</v>
      </c>
    </row>
    <row r="1048" spans="1:4" x14ac:dyDescent="0.3">
      <c r="A1048" s="13" t="s">
        <v>151</v>
      </c>
      <c r="B1048" s="14">
        <v>0.92231294959867993</v>
      </c>
      <c r="C1048" s="13" t="s">
        <v>27</v>
      </c>
      <c r="D1048" s="13" t="s">
        <v>0</v>
      </c>
    </row>
    <row r="1049" spans="1:4" x14ac:dyDescent="0.3">
      <c r="A1049" s="13" t="s">
        <v>151</v>
      </c>
      <c r="B1049" s="14">
        <v>0.99003396580025027</v>
      </c>
      <c r="C1049" s="13" t="s">
        <v>27</v>
      </c>
      <c r="D1049" s="13" t="s">
        <v>41</v>
      </c>
    </row>
    <row r="1050" spans="1:4" x14ac:dyDescent="0.3">
      <c r="A1050" s="13" t="s">
        <v>151</v>
      </c>
      <c r="B1050" s="14">
        <v>0.94786670751796198</v>
      </c>
      <c r="C1050" s="13" t="s">
        <v>131</v>
      </c>
      <c r="D1050" s="13" t="s">
        <v>0</v>
      </c>
    </row>
    <row r="1051" spans="1:4" x14ac:dyDescent="0.3">
      <c r="A1051" s="13" t="s">
        <v>151</v>
      </c>
      <c r="B1051" s="14">
        <v>0.89934509654075367</v>
      </c>
      <c r="C1051" s="13" t="s">
        <v>131</v>
      </c>
      <c r="D1051" s="13" t="s">
        <v>42</v>
      </c>
    </row>
    <row r="1052" spans="1:4" x14ac:dyDescent="0.3">
      <c r="A1052" s="13" t="s">
        <v>151</v>
      </c>
      <c r="B1052" s="14">
        <v>0.94150513854335527</v>
      </c>
      <c r="C1052" s="13" t="s">
        <v>131</v>
      </c>
      <c r="D1052" s="13" t="s">
        <v>33</v>
      </c>
    </row>
    <row r="1053" spans="1:4" x14ac:dyDescent="0.3">
      <c r="A1053" s="13" t="s">
        <v>151</v>
      </c>
      <c r="B1053" s="14">
        <v>0.93403521164427816</v>
      </c>
      <c r="C1053" s="13" t="s">
        <v>131</v>
      </c>
      <c r="D1053" s="13" t="s">
        <v>29</v>
      </c>
    </row>
    <row r="1054" spans="1:4" x14ac:dyDescent="0.3">
      <c r="A1054" s="13" t="s">
        <v>151</v>
      </c>
      <c r="B1054" s="14">
        <v>0.93481949512789153</v>
      </c>
      <c r="C1054" s="13" t="s">
        <v>131</v>
      </c>
      <c r="D1054" s="13" t="s">
        <v>36</v>
      </c>
    </row>
    <row r="1055" spans="1:4" x14ac:dyDescent="0.3">
      <c r="A1055" s="13" t="s">
        <v>151</v>
      </c>
      <c r="B1055" s="14">
        <v>0.94736424490062165</v>
      </c>
      <c r="C1055" s="13" t="s">
        <v>131</v>
      </c>
      <c r="D1055" s="13" t="s">
        <v>41</v>
      </c>
    </row>
    <row r="1056" spans="1:4" x14ac:dyDescent="0.3">
      <c r="A1056" s="13" t="s">
        <v>151</v>
      </c>
      <c r="B1056" s="14">
        <v>0.96880333478348246</v>
      </c>
      <c r="C1056" s="13" t="s">
        <v>44</v>
      </c>
      <c r="D1056" s="13" t="s">
        <v>42</v>
      </c>
    </row>
    <row r="1057" spans="1:4" x14ac:dyDescent="0.3">
      <c r="A1057" s="13" t="s">
        <v>151</v>
      </c>
      <c r="B1057" s="14">
        <v>0.91272123101128078</v>
      </c>
      <c r="C1057" s="13" t="s">
        <v>45</v>
      </c>
      <c r="D1057" s="13" t="s">
        <v>42</v>
      </c>
    </row>
    <row r="1058" spans="1:4" x14ac:dyDescent="0.3">
      <c r="A1058" s="13" t="s">
        <v>151</v>
      </c>
      <c r="B1058" s="14">
        <v>0.96203163862777408</v>
      </c>
      <c r="C1058" s="13" t="s">
        <v>46</v>
      </c>
      <c r="D1058" s="13" t="s">
        <v>42</v>
      </c>
    </row>
    <row r="1059" spans="1:4" x14ac:dyDescent="0.3">
      <c r="A1059" s="13" t="s">
        <v>151</v>
      </c>
      <c r="B1059" s="14">
        <v>0.87313463168417882</v>
      </c>
      <c r="C1059" s="13" t="s">
        <v>132</v>
      </c>
      <c r="D1059" s="13" t="s">
        <v>29</v>
      </c>
    </row>
    <row r="1060" spans="1:4" x14ac:dyDescent="0.3">
      <c r="A1060" s="13" t="s">
        <v>151</v>
      </c>
      <c r="B1060" s="14">
        <v>0.81335964502893299</v>
      </c>
      <c r="C1060" s="13" t="s">
        <v>133</v>
      </c>
      <c r="D1060" s="13"/>
    </row>
    <row r="1061" spans="1:4" x14ac:dyDescent="0.3">
      <c r="A1061" s="13" t="s">
        <v>151</v>
      </c>
      <c r="B1061" s="14">
        <v>0.76744183674384037</v>
      </c>
      <c r="C1061" s="13" t="s">
        <v>133</v>
      </c>
      <c r="D1061" s="13" t="s">
        <v>0</v>
      </c>
    </row>
    <row r="1062" spans="1:4" x14ac:dyDescent="0.3">
      <c r="A1062" s="13" t="s">
        <v>151</v>
      </c>
      <c r="B1062" s="14">
        <v>0.83502714104328424</v>
      </c>
      <c r="C1062" s="13" t="s">
        <v>134</v>
      </c>
      <c r="D1062" s="13" t="s">
        <v>36</v>
      </c>
    </row>
    <row r="1063" spans="1:4" x14ac:dyDescent="0.3">
      <c r="A1063" s="13" t="s">
        <v>151</v>
      </c>
      <c r="B1063" s="14">
        <v>0.82263707393617225</v>
      </c>
      <c r="C1063" s="13" t="s">
        <v>135</v>
      </c>
      <c r="D1063" s="13" t="s">
        <v>0</v>
      </c>
    </row>
    <row r="1064" spans="1:4" x14ac:dyDescent="0.3">
      <c r="A1064" s="13" t="s">
        <v>151</v>
      </c>
      <c r="B1064" s="14">
        <v>1</v>
      </c>
      <c r="C1064" s="13" t="s">
        <v>136</v>
      </c>
      <c r="D1064" s="13"/>
    </row>
    <row r="1065" spans="1:4" x14ac:dyDescent="0.3">
      <c r="A1065" s="13" t="s">
        <v>151</v>
      </c>
      <c r="B1065" s="14">
        <v>0.95560393134761656</v>
      </c>
      <c r="C1065" s="13" t="s">
        <v>136</v>
      </c>
      <c r="D1065" s="13" t="s">
        <v>42</v>
      </c>
    </row>
    <row r="1066" spans="1:4" x14ac:dyDescent="0.3">
      <c r="A1066" s="13" t="s">
        <v>151</v>
      </c>
      <c r="B1066" s="14">
        <v>0.81318050130645181</v>
      </c>
      <c r="C1066" s="13" t="s">
        <v>137</v>
      </c>
      <c r="D1066" s="13" t="s">
        <v>42</v>
      </c>
    </row>
    <row r="1067" spans="1:4" x14ac:dyDescent="0.3">
      <c r="A1067" s="13" t="s">
        <v>151</v>
      </c>
      <c r="B1067" s="14">
        <v>0.87908274335350967</v>
      </c>
      <c r="C1067" s="13" t="s">
        <v>138</v>
      </c>
      <c r="D1067" s="13" t="s">
        <v>0</v>
      </c>
    </row>
    <row r="1068" spans="1:4" x14ac:dyDescent="0.3">
      <c r="A1068" s="13" t="s">
        <v>151</v>
      </c>
      <c r="B1068" s="14">
        <v>0.89619149393518494</v>
      </c>
      <c r="C1068" s="13" t="s">
        <v>139</v>
      </c>
      <c r="D1068" s="13" t="s">
        <v>42</v>
      </c>
    </row>
    <row r="1069" spans="1:4" x14ac:dyDescent="0.3">
      <c r="A1069" s="13" t="s">
        <v>151</v>
      </c>
      <c r="B1069" s="14">
        <v>0.66549447876804491</v>
      </c>
      <c r="C1069" s="13" t="s">
        <v>140</v>
      </c>
      <c r="D1069" s="13" t="s">
        <v>36</v>
      </c>
    </row>
    <row r="1070" spans="1:4" x14ac:dyDescent="0.3">
      <c r="A1070" s="13" t="s">
        <v>151</v>
      </c>
      <c r="B1070" s="14">
        <v>0.90820246976923991</v>
      </c>
      <c r="C1070" s="13" t="s">
        <v>40</v>
      </c>
      <c r="D1070" s="13"/>
    </row>
    <row r="1071" spans="1:4" x14ac:dyDescent="0.3">
      <c r="A1071" s="13" t="s">
        <v>151</v>
      </c>
      <c r="B1071" s="14">
        <v>0.93678490445580365</v>
      </c>
      <c r="C1071" s="13" t="s">
        <v>40</v>
      </c>
      <c r="D1071" s="13" t="s">
        <v>42</v>
      </c>
    </row>
    <row r="1072" spans="1:4" x14ac:dyDescent="0.3">
      <c r="A1072" s="13" t="s">
        <v>151</v>
      </c>
      <c r="B1072" s="14">
        <v>0.95503790518685661</v>
      </c>
      <c r="C1072" s="13" t="s">
        <v>40</v>
      </c>
      <c r="D1072" s="13" t="s">
        <v>36</v>
      </c>
    </row>
    <row r="1073" spans="1:4" x14ac:dyDescent="0.3">
      <c r="A1073" s="13" t="s">
        <v>151</v>
      </c>
      <c r="B1073" s="14">
        <v>0.80516839442570887</v>
      </c>
      <c r="C1073" s="13" t="s">
        <v>141</v>
      </c>
      <c r="D1073" s="13" t="s">
        <v>29</v>
      </c>
    </row>
    <row r="1074" spans="1:4" x14ac:dyDescent="0.3">
      <c r="A1074" s="13" t="s">
        <v>151</v>
      </c>
      <c r="B1074" s="14">
        <v>0.4209679258218717</v>
      </c>
      <c r="C1074" s="13" t="s">
        <v>142</v>
      </c>
      <c r="D1074" s="13" t="s">
        <v>41</v>
      </c>
    </row>
    <row r="1075" spans="1:4" x14ac:dyDescent="0.3">
      <c r="A1075" s="13" t="s">
        <v>151</v>
      </c>
      <c r="B1075" s="14">
        <v>0.82898419420082725</v>
      </c>
      <c r="C1075" s="13" t="s">
        <v>143</v>
      </c>
      <c r="D1075" s="13" t="s">
        <v>42</v>
      </c>
    </row>
    <row r="1076" spans="1:4" x14ac:dyDescent="0.3">
      <c r="A1076" s="13" t="s">
        <v>151</v>
      </c>
      <c r="B1076" s="14">
        <v>0.90810200890091652</v>
      </c>
      <c r="C1076" s="13" t="s">
        <v>144</v>
      </c>
      <c r="D1076" s="13" t="s">
        <v>42</v>
      </c>
    </row>
    <row r="1077" spans="1:4" x14ac:dyDescent="0.3">
      <c r="A1077" s="13" t="s">
        <v>151</v>
      </c>
      <c r="B1077" s="14">
        <v>0.95961390181785144</v>
      </c>
      <c r="C1077" s="13" t="s">
        <v>47</v>
      </c>
      <c r="D1077" s="13" t="s">
        <v>42</v>
      </c>
    </row>
    <row r="1078" spans="1:4" x14ac:dyDescent="0.3">
      <c r="A1078" s="13" t="s">
        <v>151</v>
      </c>
      <c r="B1078" s="14">
        <v>0.95676809229221715</v>
      </c>
      <c r="C1078" s="13" t="s">
        <v>145</v>
      </c>
      <c r="D1078" s="13" t="s">
        <v>0</v>
      </c>
    </row>
    <row r="1079" spans="1:4" x14ac:dyDescent="0.3">
      <c r="A1079" s="13" t="s">
        <v>151</v>
      </c>
      <c r="B1079" s="14">
        <v>0.85114142259119152</v>
      </c>
      <c r="C1079" s="13" t="s">
        <v>146</v>
      </c>
      <c r="D1079" s="13" t="s">
        <v>41</v>
      </c>
    </row>
    <row r="1080" spans="1:4" x14ac:dyDescent="0.3">
      <c r="A1080" s="13" t="s">
        <v>151</v>
      </c>
      <c r="B1080" s="14">
        <v>0.92422703832096875</v>
      </c>
      <c r="C1080" s="13" t="s">
        <v>32</v>
      </c>
      <c r="D1080" s="13" t="s">
        <v>33</v>
      </c>
    </row>
    <row r="1081" spans="1:4" x14ac:dyDescent="0.3">
      <c r="A1081" s="13" t="s">
        <v>151</v>
      </c>
      <c r="B1081" s="14">
        <v>0.69117046911614421</v>
      </c>
      <c r="C1081" s="13" t="s">
        <v>32</v>
      </c>
      <c r="D1081" s="13" t="s">
        <v>29</v>
      </c>
    </row>
    <row r="1082" spans="1:4" x14ac:dyDescent="0.3">
      <c r="A1082" s="13" t="s">
        <v>151</v>
      </c>
      <c r="B1082" s="14">
        <v>0.9366703970274679</v>
      </c>
      <c r="C1082" s="13" t="s">
        <v>32</v>
      </c>
      <c r="D1082" s="13" t="s">
        <v>36</v>
      </c>
    </row>
    <row r="1083" spans="1:4" x14ac:dyDescent="0.3">
      <c r="A1083" s="13" t="s">
        <v>153</v>
      </c>
      <c r="B1083" s="14">
        <v>1</v>
      </c>
      <c r="C1083" s="13" t="s">
        <v>53</v>
      </c>
      <c r="D1083" s="13" t="s">
        <v>0</v>
      </c>
    </row>
    <row r="1084" spans="1:4" x14ac:dyDescent="0.3">
      <c r="A1084" s="13" t="s">
        <v>153</v>
      </c>
      <c r="B1084" s="14">
        <v>0.93322073016182516</v>
      </c>
      <c r="C1084" s="13" t="s">
        <v>54</v>
      </c>
      <c r="D1084" s="13" t="s">
        <v>29</v>
      </c>
    </row>
    <row r="1085" spans="1:4" x14ac:dyDescent="0.3">
      <c r="A1085" s="13" t="s">
        <v>153</v>
      </c>
      <c r="B1085" s="14">
        <v>0.94545292582984131</v>
      </c>
      <c r="C1085" s="13" t="s">
        <v>55</v>
      </c>
      <c r="D1085" s="13" t="s">
        <v>0</v>
      </c>
    </row>
    <row r="1086" spans="1:4" x14ac:dyDescent="0.3">
      <c r="A1086" s="13" t="s">
        <v>153</v>
      </c>
      <c r="B1086" s="14">
        <v>0.97616034519966</v>
      </c>
      <c r="C1086" s="13" t="s">
        <v>55</v>
      </c>
      <c r="D1086" s="13" t="s">
        <v>33</v>
      </c>
    </row>
    <row r="1087" spans="1:4" x14ac:dyDescent="0.3">
      <c r="A1087" s="13" t="s">
        <v>153</v>
      </c>
      <c r="B1087" s="14">
        <v>0.92506873240219722</v>
      </c>
      <c r="C1087" s="13" t="s">
        <v>55</v>
      </c>
      <c r="D1087" s="13" t="s">
        <v>29</v>
      </c>
    </row>
    <row r="1088" spans="1:4" x14ac:dyDescent="0.3">
      <c r="A1088" s="13" t="s">
        <v>153</v>
      </c>
      <c r="B1088" s="14">
        <v>0.53246154139205437</v>
      </c>
      <c r="C1088" s="13" t="s">
        <v>56</v>
      </c>
      <c r="D1088" s="13" t="s">
        <v>29</v>
      </c>
    </row>
    <row r="1089" spans="1:4" x14ac:dyDescent="0.3">
      <c r="A1089" s="13" t="s">
        <v>153</v>
      </c>
      <c r="B1089" s="14">
        <v>0.32380266324152163</v>
      </c>
      <c r="C1089" s="13" t="s">
        <v>57</v>
      </c>
      <c r="D1089" s="13" t="s">
        <v>0</v>
      </c>
    </row>
    <row r="1090" spans="1:4" x14ac:dyDescent="0.3">
      <c r="A1090" s="13" t="s">
        <v>153</v>
      </c>
      <c r="B1090" s="14">
        <v>0.31010256934054548</v>
      </c>
      <c r="C1090" s="13" t="s">
        <v>57</v>
      </c>
      <c r="D1090" s="13" t="s">
        <v>33</v>
      </c>
    </row>
    <row r="1091" spans="1:4" x14ac:dyDescent="0.3">
      <c r="A1091" s="13" t="s">
        <v>153</v>
      </c>
      <c r="B1091" s="14">
        <v>0.30512308817719053</v>
      </c>
      <c r="C1091" s="13" t="s">
        <v>57</v>
      </c>
      <c r="D1091" s="13" t="s">
        <v>29</v>
      </c>
    </row>
    <row r="1092" spans="1:4" x14ac:dyDescent="0.3">
      <c r="A1092" s="13" t="s">
        <v>153</v>
      </c>
      <c r="B1092" s="14">
        <v>0.44973484172352118</v>
      </c>
      <c r="C1092" s="13" t="s">
        <v>57</v>
      </c>
      <c r="D1092" s="13" t="s">
        <v>36</v>
      </c>
    </row>
    <row r="1093" spans="1:4" x14ac:dyDescent="0.3">
      <c r="A1093" s="13" t="s">
        <v>153</v>
      </c>
      <c r="B1093" s="14">
        <v>0.32203876208280813</v>
      </c>
      <c r="C1093" s="13" t="s">
        <v>57</v>
      </c>
      <c r="D1093" s="13" t="s">
        <v>41</v>
      </c>
    </row>
    <row r="1094" spans="1:4" x14ac:dyDescent="0.3">
      <c r="A1094" s="13" t="s">
        <v>153</v>
      </c>
      <c r="B1094" s="14">
        <v>1</v>
      </c>
      <c r="C1094" s="13" t="s">
        <v>37</v>
      </c>
      <c r="D1094" s="13"/>
    </row>
    <row r="1095" spans="1:4" x14ac:dyDescent="0.3">
      <c r="A1095" s="13" t="s">
        <v>153</v>
      </c>
      <c r="B1095" s="14">
        <v>0.98538566426856122</v>
      </c>
      <c r="C1095" s="13" t="s">
        <v>37</v>
      </c>
      <c r="D1095" s="13" t="s">
        <v>42</v>
      </c>
    </row>
    <row r="1096" spans="1:4" x14ac:dyDescent="0.3">
      <c r="A1096" s="13" t="s">
        <v>153</v>
      </c>
      <c r="B1096" s="14">
        <v>0.97360200514180739</v>
      </c>
      <c r="C1096" s="13" t="s">
        <v>37</v>
      </c>
      <c r="D1096" s="13" t="s">
        <v>36</v>
      </c>
    </row>
    <row r="1097" spans="1:4" x14ac:dyDescent="0.3">
      <c r="A1097" s="13" t="s">
        <v>153</v>
      </c>
      <c r="B1097" s="14">
        <v>0.95758033879453286</v>
      </c>
      <c r="C1097" s="13" t="s">
        <v>30</v>
      </c>
      <c r="D1097" s="13" t="s">
        <v>42</v>
      </c>
    </row>
    <row r="1098" spans="1:4" x14ac:dyDescent="0.3">
      <c r="A1098" s="13" t="s">
        <v>153</v>
      </c>
      <c r="B1098" s="14">
        <v>0.97337289958412565</v>
      </c>
      <c r="C1098" s="13" t="s">
        <v>30</v>
      </c>
      <c r="D1098" s="13" t="s">
        <v>29</v>
      </c>
    </row>
    <row r="1099" spans="1:4" x14ac:dyDescent="0.3">
      <c r="A1099" s="13" t="s">
        <v>153</v>
      </c>
      <c r="B1099" s="14">
        <v>0.96762446042732331</v>
      </c>
      <c r="C1099" s="13" t="s">
        <v>30</v>
      </c>
      <c r="D1099" s="13" t="s">
        <v>36</v>
      </c>
    </row>
    <row r="1100" spans="1:4" x14ac:dyDescent="0.3">
      <c r="A1100" s="13" t="s">
        <v>153</v>
      </c>
      <c r="B1100" s="14">
        <v>0.78650422820300026</v>
      </c>
      <c r="C1100" s="13" t="s">
        <v>28</v>
      </c>
      <c r="D1100" s="13" t="s">
        <v>0</v>
      </c>
    </row>
    <row r="1101" spans="1:4" x14ac:dyDescent="0.3">
      <c r="A1101" s="13" t="s">
        <v>153</v>
      </c>
      <c r="B1101" s="14">
        <v>0.96707507418311878</v>
      </c>
      <c r="C1101" s="13" t="s">
        <v>28</v>
      </c>
      <c r="D1101" s="13" t="s">
        <v>33</v>
      </c>
    </row>
    <row r="1102" spans="1:4" x14ac:dyDescent="0.3">
      <c r="A1102" s="13" t="s">
        <v>153</v>
      </c>
      <c r="B1102" s="14">
        <v>0.91571740801218948</v>
      </c>
      <c r="C1102" s="13" t="s">
        <v>28</v>
      </c>
      <c r="D1102" s="13" t="s">
        <v>29</v>
      </c>
    </row>
    <row r="1103" spans="1:4" x14ac:dyDescent="0.3">
      <c r="A1103" s="13" t="s">
        <v>153</v>
      </c>
      <c r="B1103" s="14">
        <v>0.92310760324450747</v>
      </c>
      <c r="C1103" s="13" t="s">
        <v>34</v>
      </c>
      <c r="D1103" s="13" t="s">
        <v>33</v>
      </c>
    </row>
    <row r="1104" spans="1:4" x14ac:dyDescent="0.3">
      <c r="A1104" s="13" t="s">
        <v>153</v>
      </c>
      <c r="B1104" s="14">
        <v>0.94302199834864875</v>
      </c>
      <c r="C1104" s="13" t="s">
        <v>58</v>
      </c>
      <c r="D1104" s="13" t="s">
        <v>29</v>
      </c>
    </row>
    <row r="1105" spans="1:4" x14ac:dyDescent="0.3">
      <c r="A1105" s="13" t="s">
        <v>153</v>
      </c>
      <c r="B1105" s="14">
        <v>0.79752376643339407</v>
      </c>
      <c r="C1105" s="13" t="s">
        <v>154</v>
      </c>
      <c r="D1105" s="13" t="s">
        <v>42</v>
      </c>
    </row>
    <row r="1106" spans="1:4" x14ac:dyDescent="0.3">
      <c r="A1106" s="13" t="s">
        <v>153</v>
      </c>
      <c r="B1106" s="14">
        <v>0.60916443338437976</v>
      </c>
      <c r="C1106" s="13" t="s">
        <v>59</v>
      </c>
      <c r="D1106" s="13" t="s">
        <v>0</v>
      </c>
    </row>
    <row r="1107" spans="1:4" x14ac:dyDescent="0.3">
      <c r="A1107" s="13" t="s">
        <v>153</v>
      </c>
      <c r="B1107" s="14">
        <v>0.6514393890222504</v>
      </c>
      <c r="C1107" s="13" t="s">
        <v>59</v>
      </c>
      <c r="D1107" s="13" t="s">
        <v>33</v>
      </c>
    </row>
    <row r="1108" spans="1:4" x14ac:dyDescent="0.3">
      <c r="A1108" s="13" t="s">
        <v>153</v>
      </c>
      <c r="B1108" s="14">
        <v>0.8871845593199692</v>
      </c>
      <c r="C1108" s="13" t="s">
        <v>60</v>
      </c>
      <c r="D1108" s="13"/>
    </row>
    <row r="1109" spans="1:4" x14ac:dyDescent="0.3">
      <c r="A1109" s="13" t="s">
        <v>153</v>
      </c>
      <c r="B1109" s="14">
        <v>0.9166117760568071</v>
      </c>
      <c r="C1109" s="13" t="s">
        <v>60</v>
      </c>
      <c r="D1109" s="13" t="s">
        <v>33</v>
      </c>
    </row>
    <row r="1110" spans="1:4" x14ac:dyDescent="0.3">
      <c r="A1110" s="13" t="s">
        <v>153</v>
      </c>
      <c r="B1110" s="14">
        <v>0.50208660499965541</v>
      </c>
      <c r="C1110" s="13" t="s">
        <v>61</v>
      </c>
      <c r="D1110" s="13" t="s">
        <v>36</v>
      </c>
    </row>
    <row r="1111" spans="1:4" x14ac:dyDescent="0.3">
      <c r="A1111" s="13" t="s">
        <v>153</v>
      </c>
      <c r="B1111" s="14">
        <v>0.72260674670982683</v>
      </c>
      <c r="C1111" s="13" t="s">
        <v>62</v>
      </c>
      <c r="D1111" s="13"/>
    </row>
    <row r="1112" spans="1:4" x14ac:dyDescent="0.3">
      <c r="A1112" s="13" t="s">
        <v>153</v>
      </c>
      <c r="B1112" s="14">
        <v>0.67227019552002432</v>
      </c>
      <c r="C1112" s="13" t="s">
        <v>62</v>
      </c>
      <c r="D1112" s="13" t="s">
        <v>0</v>
      </c>
    </row>
    <row r="1113" spans="1:4" x14ac:dyDescent="0.3">
      <c r="A1113" s="13" t="s">
        <v>153</v>
      </c>
      <c r="B1113" s="14">
        <v>0.83218681402123451</v>
      </c>
      <c r="C1113" s="13" t="s">
        <v>63</v>
      </c>
      <c r="D1113" s="13"/>
    </row>
    <row r="1114" spans="1:4" x14ac:dyDescent="0.3">
      <c r="A1114" s="13" t="s">
        <v>153</v>
      </c>
      <c r="B1114" s="14">
        <v>0.84316014900957015</v>
      </c>
      <c r="C1114" s="13" t="s">
        <v>63</v>
      </c>
      <c r="D1114" s="13" t="s">
        <v>42</v>
      </c>
    </row>
    <row r="1115" spans="1:4" x14ac:dyDescent="0.3">
      <c r="A1115" s="13" t="s">
        <v>153</v>
      </c>
      <c r="B1115" s="14">
        <v>0.59035380120353043</v>
      </c>
      <c r="C1115" s="13" t="s">
        <v>64</v>
      </c>
      <c r="D1115" s="13" t="s">
        <v>0</v>
      </c>
    </row>
    <row r="1116" spans="1:4" x14ac:dyDescent="0.3">
      <c r="A1116" s="13" t="s">
        <v>153</v>
      </c>
      <c r="B1116" s="14">
        <v>0.86623770224708951</v>
      </c>
      <c r="C1116" s="13" t="s">
        <v>65</v>
      </c>
      <c r="D1116" s="13" t="s">
        <v>41</v>
      </c>
    </row>
    <row r="1117" spans="1:4" x14ac:dyDescent="0.3">
      <c r="A1117" s="13" t="s">
        <v>153</v>
      </c>
      <c r="B1117" s="14">
        <v>0.93841585004608319</v>
      </c>
      <c r="C1117" s="13" t="s">
        <v>66</v>
      </c>
      <c r="D1117" s="13" t="s">
        <v>29</v>
      </c>
    </row>
    <row r="1118" spans="1:4" x14ac:dyDescent="0.3">
      <c r="A1118" s="13" t="s">
        <v>153</v>
      </c>
      <c r="B1118" s="14">
        <v>0.95775390877011723</v>
      </c>
      <c r="C1118" s="13" t="s">
        <v>66</v>
      </c>
      <c r="D1118" s="13" t="s">
        <v>41</v>
      </c>
    </row>
    <row r="1119" spans="1:4" x14ac:dyDescent="0.3">
      <c r="A1119" s="13" t="s">
        <v>153</v>
      </c>
      <c r="B1119" s="14">
        <v>0.97969391551985319</v>
      </c>
      <c r="C1119" s="13" t="s">
        <v>67</v>
      </c>
      <c r="D1119" s="13" t="s">
        <v>0</v>
      </c>
    </row>
    <row r="1120" spans="1:4" x14ac:dyDescent="0.3">
      <c r="A1120" s="13" t="s">
        <v>153</v>
      </c>
      <c r="B1120" s="14">
        <v>0.98479466621279199</v>
      </c>
      <c r="C1120" s="13" t="s">
        <v>67</v>
      </c>
      <c r="D1120" s="13" t="s">
        <v>33</v>
      </c>
    </row>
    <row r="1121" spans="1:4" x14ac:dyDescent="0.3">
      <c r="A1121" s="13" t="s">
        <v>153</v>
      </c>
      <c r="B1121" s="14">
        <v>0.94836512580300836</v>
      </c>
      <c r="C1121" s="13" t="s">
        <v>67</v>
      </c>
      <c r="D1121" s="13" t="s">
        <v>29</v>
      </c>
    </row>
    <row r="1122" spans="1:4" x14ac:dyDescent="0.3">
      <c r="A1122" s="13" t="s">
        <v>153</v>
      </c>
      <c r="B1122" s="14">
        <v>0.97840534735801143</v>
      </c>
      <c r="C1122" s="13" t="s">
        <v>67</v>
      </c>
      <c r="D1122" s="13" t="s">
        <v>36</v>
      </c>
    </row>
    <row r="1123" spans="1:4" x14ac:dyDescent="0.3">
      <c r="A1123" s="13" t="s">
        <v>153</v>
      </c>
      <c r="B1123" s="14">
        <v>0.96987713323155311</v>
      </c>
      <c r="C1123" s="13" t="s">
        <v>67</v>
      </c>
      <c r="D1123" s="13" t="s">
        <v>41</v>
      </c>
    </row>
    <row r="1124" spans="1:4" x14ac:dyDescent="0.3">
      <c r="A1124" s="13" t="s">
        <v>153</v>
      </c>
      <c r="B1124" s="14">
        <v>0.77494031633549421</v>
      </c>
      <c r="C1124" s="13" t="s">
        <v>68</v>
      </c>
      <c r="D1124" s="13" t="s">
        <v>0</v>
      </c>
    </row>
    <row r="1125" spans="1:4" x14ac:dyDescent="0.3">
      <c r="A1125" s="13" t="s">
        <v>153</v>
      </c>
      <c r="B1125" s="14">
        <v>0.16560399214885521</v>
      </c>
      <c r="C1125" s="13" t="s">
        <v>152</v>
      </c>
      <c r="D1125" s="13" t="s">
        <v>0</v>
      </c>
    </row>
    <row r="1126" spans="1:4" x14ac:dyDescent="0.3">
      <c r="A1126" s="13" t="s">
        <v>153</v>
      </c>
      <c r="B1126" s="14">
        <v>0.54505708665626906</v>
      </c>
      <c r="C1126" s="13" t="s">
        <v>69</v>
      </c>
      <c r="D1126" s="13" t="s">
        <v>36</v>
      </c>
    </row>
    <row r="1127" spans="1:4" x14ac:dyDescent="0.3">
      <c r="A1127" s="13" t="s">
        <v>153</v>
      </c>
      <c r="B1127" s="14">
        <v>0.96706607659763955</v>
      </c>
      <c r="C1127" s="13" t="s">
        <v>15</v>
      </c>
      <c r="D1127" s="13"/>
    </row>
    <row r="1128" spans="1:4" x14ac:dyDescent="0.3">
      <c r="A1128" s="13" t="s">
        <v>153</v>
      </c>
      <c r="B1128" s="14">
        <v>0.31531890942378588</v>
      </c>
      <c r="C1128" s="13" t="s">
        <v>15</v>
      </c>
      <c r="D1128" s="13" t="s">
        <v>0</v>
      </c>
    </row>
    <row r="1129" spans="1:4" x14ac:dyDescent="0.3">
      <c r="A1129" s="13" t="s">
        <v>153</v>
      </c>
      <c r="B1129" s="14">
        <v>0.93519220069679299</v>
      </c>
      <c r="C1129" s="13" t="s">
        <v>15</v>
      </c>
      <c r="D1129" s="13" t="s">
        <v>42</v>
      </c>
    </row>
    <row r="1130" spans="1:4" x14ac:dyDescent="0.3">
      <c r="A1130" s="13" t="s">
        <v>153</v>
      </c>
      <c r="B1130" s="14">
        <v>0.94765902206934483</v>
      </c>
      <c r="C1130" s="13" t="s">
        <v>15</v>
      </c>
      <c r="D1130" s="13" t="s">
        <v>36</v>
      </c>
    </row>
    <row r="1131" spans="1:4" x14ac:dyDescent="0.3">
      <c r="A1131" s="13" t="s">
        <v>153</v>
      </c>
      <c r="B1131" s="14">
        <v>0.71845263521800851</v>
      </c>
      <c r="C1131" s="13" t="s">
        <v>70</v>
      </c>
      <c r="D1131" s="13" t="s">
        <v>33</v>
      </c>
    </row>
    <row r="1132" spans="1:4" x14ac:dyDescent="0.3">
      <c r="A1132" s="13" t="s">
        <v>153</v>
      </c>
      <c r="B1132" s="14">
        <v>0.91820148132312696</v>
      </c>
      <c r="C1132" s="13" t="s">
        <v>43</v>
      </c>
      <c r="D1132" s="13"/>
    </row>
    <row r="1133" spans="1:4" x14ac:dyDescent="0.3">
      <c r="A1133" s="13" t="s">
        <v>153</v>
      </c>
      <c r="B1133" s="14">
        <v>0.92913260684834198</v>
      </c>
      <c r="C1133" s="13" t="s">
        <v>43</v>
      </c>
      <c r="D1133" s="13" t="s">
        <v>42</v>
      </c>
    </row>
    <row r="1134" spans="1:4" x14ac:dyDescent="0.3">
      <c r="A1134" s="13" t="s">
        <v>153</v>
      </c>
      <c r="B1134" s="14">
        <v>0.93031159584463907</v>
      </c>
      <c r="C1134" s="13" t="s">
        <v>71</v>
      </c>
      <c r="D1134" s="13" t="s">
        <v>42</v>
      </c>
    </row>
    <row r="1135" spans="1:4" x14ac:dyDescent="0.3">
      <c r="A1135" s="13" t="s">
        <v>153</v>
      </c>
      <c r="B1135" s="14">
        <v>0.93100618858858375</v>
      </c>
      <c r="C1135" s="13" t="s">
        <v>72</v>
      </c>
      <c r="D1135" s="13" t="s">
        <v>36</v>
      </c>
    </row>
    <row r="1136" spans="1:4" x14ac:dyDescent="0.3">
      <c r="A1136" s="13" t="s">
        <v>153</v>
      </c>
      <c r="B1136" s="14">
        <v>0.90803574415542443</v>
      </c>
      <c r="C1136" s="13" t="s">
        <v>73</v>
      </c>
      <c r="D1136" s="13" t="s">
        <v>33</v>
      </c>
    </row>
    <row r="1137" spans="1:4" x14ac:dyDescent="0.3">
      <c r="A1137" s="13" t="s">
        <v>153</v>
      </c>
      <c r="B1137" s="14">
        <v>0.85699376538774152</v>
      </c>
      <c r="C1137" s="13" t="s">
        <v>74</v>
      </c>
      <c r="D1137" s="13"/>
    </row>
    <row r="1138" spans="1:4" x14ac:dyDescent="0.3">
      <c r="A1138" s="13" t="s">
        <v>153</v>
      </c>
      <c r="B1138" s="14">
        <v>0.83583124767713901</v>
      </c>
      <c r="C1138" s="13" t="s">
        <v>74</v>
      </c>
      <c r="D1138" s="13" t="s">
        <v>41</v>
      </c>
    </row>
    <row r="1139" spans="1:4" x14ac:dyDescent="0.3">
      <c r="A1139" s="13" t="s">
        <v>153</v>
      </c>
      <c r="B1139" s="14">
        <v>0.94317422812064389</v>
      </c>
      <c r="C1139" s="13" t="s">
        <v>75</v>
      </c>
      <c r="D1139" s="13" t="s">
        <v>0</v>
      </c>
    </row>
    <row r="1140" spans="1:4" x14ac:dyDescent="0.3">
      <c r="A1140" s="13" t="s">
        <v>153</v>
      </c>
      <c r="B1140" s="14">
        <v>0.93820817697155312</v>
      </c>
      <c r="C1140" s="13" t="s">
        <v>75</v>
      </c>
      <c r="D1140" s="13" t="s">
        <v>33</v>
      </c>
    </row>
    <row r="1141" spans="1:4" x14ac:dyDescent="0.3">
      <c r="A1141" s="13" t="s">
        <v>153</v>
      </c>
      <c r="B1141" s="14">
        <v>0.92779437734857984</v>
      </c>
      <c r="C1141" s="13" t="s">
        <v>75</v>
      </c>
      <c r="D1141" s="13" t="s">
        <v>29</v>
      </c>
    </row>
    <row r="1142" spans="1:4" x14ac:dyDescent="0.3">
      <c r="A1142" s="13" t="s">
        <v>153</v>
      </c>
      <c r="B1142" s="14">
        <v>0.7146002068339099</v>
      </c>
      <c r="C1142" s="13" t="s">
        <v>76</v>
      </c>
      <c r="D1142" s="13" t="s">
        <v>0</v>
      </c>
    </row>
    <row r="1143" spans="1:4" x14ac:dyDescent="0.3">
      <c r="A1143" s="13" t="s">
        <v>153</v>
      </c>
      <c r="B1143" s="14">
        <v>0.42030571775109571</v>
      </c>
      <c r="C1143" s="13" t="s">
        <v>77</v>
      </c>
      <c r="D1143" s="13"/>
    </row>
    <row r="1144" spans="1:4" x14ac:dyDescent="0.3">
      <c r="A1144" s="13" t="s">
        <v>153</v>
      </c>
      <c r="B1144" s="14">
        <v>0.33686999269992152</v>
      </c>
      <c r="C1144" s="13" t="s">
        <v>77</v>
      </c>
      <c r="D1144" s="13" t="s">
        <v>29</v>
      </c>
    </row>
    <row r="1145" spans="1:4" x14ac:dyDescent="0.3">
      <c r="A1145" s="13" t="s">
        <v>153</v>
      </c>
      <c r="B1145" s="14">
        <v>0.98100779921194226</v>
      </c>
      <c r="C1145" s="13" t="s">
        <v>78</v>
      </c>
      <c r="D1145" s="13" t="s">
        <v>33</v>
      </c>
    </row>
    <row r="1146" spans="1:4" x14ac:dyDescent="0.3">
      <c r="A1146" s="13" t="s">
        <v>153</v>
      </c>
      <c r="B1146" s="14">
        <v>0.990393572566172</v>
      </c>
      <c r="C1146" s="13" t="s">
        <v>78</v>
      </c>
      <c r="D1146" s="13" t="s">
        <v>29</v>
      </c>
    </row>
    <row r="1147" spans="1:4" x14ac:dyDescent="0.3">
      <c r="A1147" s="13" t="s">
        <v>153</v>
      </c>
      <c r="B1147" s="14">
        <v>0.84442737385150479</v>
      </c>
      <c r="C1147" s="13" t="s">
        <v>79</v>
      </c>
      <c r="D1147" s="13" t="s">
        <v>33</v>
      </c>
    </row>
    <row r="1148" spans="1:4" x14ac:dyDescent="0.3">
      <c r="A1148" s="13" t="s">
        <v>153</v>
      </c>
      <c r="B1148" s="14">
        <v>0.962263295408602</v>
      </c>
      <c r="C1148" s="13" t="s">
        <v>22</v>
      </c>
      <c r="D1148" s="13" t="s">
        <v>0</v>
      </c>
    </row>
    <row r="1149" spans="1:4" x14ac:dyDescent="0.3">
      <c r="A1149" s="13" t="s">
        <v>153</v>
      </c>
      <c r="B1149" s="14">
        <v>0.98487703436562668</v>
      </c>
      <c r="C1149" s="13" t="s">
        <v>22</v>
      </c>
      <c r="D1149" s="13" t="s">
        <v>41</v>
      </c>
    </row>
    <row r="1150" spans="1:4" x14ac:dyDescent="0.3">
      <c r="A1150" s="13" t="s">
        <v>153</v>
      </c>
      <c r="B1150" s="14">
        <v>0.52771591280516006</v>
      </c>
      <c r="C1150" s="13" t="s">
        <v>80</v>
      </c>
      <c r="D1150" s="13" t="s">
        <v>29</v>
      </c>
    </row>
    <row r="1151" spans="1:4" x14ac:dyDescent="0.3">
      <c r="A1151" s="13" t="s">
        <v>153</v>
      </c>
      <c r="B1151" s="14">
        <v>0.30213839594199232</v>
      </c>
      <c r="C1151" s="13" t="s">
        <v>81</v>
      </c>
      <c r="D1151" s="13" t="s">
        <v>33</v>
      </c>
    </row>
    <row r="1152" spans="1:4" x14ac:dyDescent="0.3">
      <c r="A1152" s="13" t="s">
        <v>153</v>
      </c>
      <c r="B1152" s="14">
        <v>0.96855548533520341</v>
      </c>
      <c r="C1152" s="13" t="s">
        <v>82</v>
      </c>
      <c r="D1152" s="13" t="s">
        <v>33</v>
      </c>
    </row>
    <row r="1153" spans="1:4" x14ac:dyDescent="0.3">
      <c r="A1153" s="13" t="s">
        <v>153</v>
      </c>
      <c r="B1153" s="14">
        <v>0.96982394411019535</v>
      </c>
      <c r="C1153" s="13" t="s">
        <v>82</v>
      </c>
      <c r="D1153" s="13" t="s">
        <v>29</v>
      </c>
    </row>
    <row r="1154" spans="1:4" x14ac:dyDescent="0.3">
      <c r="A1154" s="13" t="s">
        <v>153</v>
      </c>
      <c r="B1154" s="14">
        <v>0.95876631326763384</v>
      </c>
      <c r="C1154" s="13" t="s">
        <v>82</v>
      </c>
      <c r="D1154" s="13" t="s">
        <v>41</v>
      </c>
    </row>
    <row r="1155" spans="1:4" x14ac:dyDescent="0.3">
      <c r="A1155" s="13" t="s">
        <v>153</v>
      </c>
      <c r="B1155" s="14">
        <v>0.79498908134534618</v>
      </c>
      <c r="C1155" s="13" t="s">
        <v>83</v>
      </c>
      <c r="D1155" s="13" t="s">
        <v>0</v>
      </c>
    </row>
    <row r="1156" spans="1:4" x14ac:dyDescent="0.3">
      <c r="A1156" s="13" t="s">
        <v>153</v>
      </c>
      <c r="B1156" s="14">
        <v>0.79853000221713943</v>
      </c>
      <c r="C1156" s="13" t="s">
        <v>83</v>
      </c>
      <c r="D1156" s="13" t="s">
        <v>33</v>
      </c>
    </row>
    <row r="1157" spans="1:4" x14ac:dyDescent="0.3">
      <c r="A1157" s="13" t="s">
        <v>153</v>
      </c>
      <c r="B1157" s="14">
        <v>0.78240734680393875</v>
      </c>
      <c r="C1157" s="13" t="s">
        <v>83</v>
      </c>
      <c r="D1157" s="13" t="s">
        <v>41</v>
      </c>
    </row>
    <row r="1158" spans="1:4" x14ac:dyDescent="0.3">
      <c r="A1158" s="13" t="s">
        <v>153</v>
      </c>
      <c r="B1158" s="14">
        <v>0.65799010931368285</v>
      </c>
      <c r="C1158" s="13" t="s">
        <v>84</v>
      </c>
      <c r="D1158" s="13"/>
    </row>
    <row r="1159" spans="1:4" x14ac:dyDescent="0.3">
      <c r="A1159" s="13" t="s">
        <v>153</v>
      </c>
      <c r="B1159" s="14">
        <v>0.8774177199265929</v>
      </c>
      <c r="C1159" s="13" t="s">
        <v>84</v>
      </c>
      <c r="D1159" s="13" t="s">
        <v>42</v>
      </c>
    </row>
    <row r="1160" spans="1:4" x14ac:dyDescent="0.3">
      <c r="A1160" s="13" t="s">
        <v>153</v>
      </c>
      <c r="B1160" s="14">
        <v>0.81181962081905212</v>
      </c>
      <c r="C1160" s="13" t="s">
        <v>85</v>
      </c>
      <c r="D1160" s="13" t="s">
        <v>33</v>
      </c>
    </row>
    <row r="1161" spans="1:4" x14ac:dyDescent="0.3">
      <c r="A1161" s="13" t="s">
        <v>153</v>
      </c>
      <c r="B1161" s="14">
        <v>0.78585435821135008</v>
      </c>
      <c r="C1161" s="13" t="s">
        <v>85</v>
      </c>
      <c r="D1161" s="13" t="s">
        <v>41</v>
      </c>
    </row>
    <row r="1162" spans="1:4" x14ac:dyDescent="0.3">
      <c r="A1162" s="13" t="s">
        <v>153</v>
      </c>
      <c r="B1162" s="14">
        <v>1</v>
      </c>
      <c r="C1162" s="13" t="s">
        <v>86</v>
      </c>
      <c r="D1162" s="13" t="s">
        <v>29</v>
      </c>
    </row>
    <row r="1163" spans="1:4" x14ac:dyDescent="0.3">
      <c r="A1163" s="13" t="s">
        <v>153</v>
      </c>
      <c r="B1163" s="14">
        <v>0.74854223953763388</v>
      </c>
      <c r="C1163" s="13" t="s">
        <v>87</v>
      </c>
      <c r="D1163" s="13" t="s">
        <v>0</v>
      </c>
    </row>
    <row r="1164" spans="1:4" x14ac:dyDescent="0.3">
      <c r="A1164" s="13" t="s">
        <v>153</v>
      </c>
      <c r="B1164" s="14">
        <v>0.59164132695654992</v>
      </c>
      <c r="C1164" s="13" t="s">
        <v>87</v>
      </c>
      <c r="D1164" s="13" t="s">
        <v>29</v>
      </c>
    </row>
    <row r="1165" spans="1:4" x14ac:dyDescent="0.3">
      <c r="A1165" s="13" t="s">
        <v>153</v>
      </c>
      <c r="B1165" s="14">
        <v>0.79736649220126032</v>
      </c>
      <c r="C1165" s="13" t="s">
        <v>87</v>
      </c>
      <c r="D1165" s="13" t="s">
        <v>36</v>
      </c>
    </row>
    <row r="1166" spans="1:4" x14ac:dyDescent="0.3">
      <c r="A1166" s="13" t="s">
        <v>153</v>
      </c>
      <c r="B1166" s="14">
        <v>0.95418932379258203</v>
      </c>
      <c r="C1166" s="13" t="s">
        <v>88</v>
      </c>
      <c r="D1166" s="13" t="s">
        <v>29</v>
      </c>
    </row>
    <row r="1167" spans="1:4" x14ac:dyDescent="0.3">
      <c r="A1167" s="13" t="s">
        <v>153</v>
      </c>
      <c r="B1167" s="14">
        <v>0.85226763508572834</v>
      </c>
      <c r="C1167" s="13" t="s">
        <v>89</v>
      </c>
      <c r="D1167" s="13"/>
    </row>
    <row r="1168" spans="1:4" x14ac:dyDescent="0.3">
      <c r="A1168" s="13" t="s">
        <v>153</v>
      </c>
      <c r="B1168" s="14">
        <v>0.91193439408718968</v>
      </c>
      <c r="C1168" s="13" t="s">
        <v>89</v>
      </c>
      <c r="D1168" s="13" t="s">
        <v>42</v>
      </c>
    </row>
    <row r="1169" spans="1:4" x14ac:dyDescent="0.3">
      <c r="A1169" s="13" t="s">
        <v>153</v>
      </c>
      <c r="B1169" s="14">
        <v>0.85853377121955654</v>
      </c>
      <c r="C1169" s="13" t="s">
        <v>89</v>
      </c>
      <c r="D1169" s="13" t="s">
        <v>33</v>
      </c>
    </row>
    <row r="1170" spans="1:4" x14ac:dyDescent="0.3">
      <c r="A1170" s="13" t="s">
        <v>153</v>
      </c>
      <c r="B1170" s="14">
        <v>0.82823165104206997</v>
      </c>
      <c r="C1170" s="13" t="s">
        <v>89</v>
      </c>
      <c r="D1170" s="13" t="s">
        <v>36</v>
      </c>
    </row>
    <row r="1171" spans="1:4" x14ac:dyDescent="0.3">
      <c r="A1171" s="13" t="s">
        <v>153</v>
      </c>
      <c r="B1171" s="14">
        <v>0.60906797163158277</v>
      </c>
      <c r="C1171" s="13" t="s">
        <v>89</v>
      </c>
      <c r="D1171" s="13" t="s">
        <v>41</v>
      </c>
    </row>
    <row r="1172" spans="1:4" x14ac:dyDescent="0.3">
      <c r="A1172" s="13" t="s">
        <v>153</v>
      </c>
      <c r="B1172" s="14">
        <v>0.78145433694674393</v>
      </c>
      <c r="C1172" s="13" t="s">
        <v>90</v>
      </c>
      <c r="D1172" s="13" t="s">
        <v>0</v>
      </c>
    </row>
    <row r="1173" spans="1:4" x14ac:dyDescent="0.3">
      <c r="A1173" s="13" t="s">
        <v>153</v>
      </c>
      <c r="B1173" s="14">
        <v>0.88643697998495841</v>
      </c>
      <c r="C1173" s="13" t="s">
        <v>90</v>
      </c>
      <c r="D1173" s="13" t="s">
        <v>33</v>
      </c>
    </row>
    <row r="1174" spans="1:4" x14ac:dyDescent="0.3">
      <c r="A1174" s="13" t="s">
        <v>153</v>
      </c>
      <c r="B1174" s="14">
        <v>0.80329913326378366</v>
      </c>
      <c r="C1174" s="13" t="s">
        <v>90</v>
      </c>
      <c r="D1174" s="13" t="s">
        <v>29</v>
      </c>
    </row>
    <row r="1175" spans="1:4" x14ac:dyDescent="0.3">
      <c r="A1175" s="13" t="s">
        <v>153</v>
      </c>
      <c r="B1175" s="14">
        <v>0.78528642919300939</v>
      </c>
      <c r="C1175" s="13" t="s">
        <v>90</v>
      </c>
      <c r="D1175" s="13" t="s">
        <v>36</v>
      </c>
    </row>
    <row r="1176" spans="1:4" x14ac:dyDescent="0.3">
      <c r="A1176" s="13" t="s">
        <v>153</v>
      </c>
      <c r="B1176" s="14">
        <v>0.79905784818945902</v>
      </c>
      <c r="C1176" s="13" t="s">
        <v>90</v>
      </c>
      <c r="D1176" s="13" t="s">
        <v>41</v>
      </c>
    </row>
    <row r="1177" spans="1:4" x14ac:dyDescent="0.3">
      <c r="A1177" s="13" t="s">
        <v>153</v>
      </c>
      <c r="B1177" s="14">
        <v>0.95901004574361726</v>
      </c>
      <c r="C1177" s="13" t="s">
        <v>91</v>
      </c>
      <c r="D1177" s="13" t="s">
        <v>29</v>
      </c>
    </row>
    <row r="1178" spans="1:4" x14ac:dyDescent="0.3">
      <c r="A1178" s="13" t="s">
        <v>153</v>
      </c>
      <c r="B1178" s="14">
        <v>0.84889446281318481</v>
      </c>
      <c r="C1178" s="13" t="s">
        <v>92</v>
      </c>
      <c r="D1178" s="13" t="s">
        <v>42</v>
      </c>
    </row>
    <row r="1179" spans="1:4" x14ac:dyDescent="0.3">
      <c r="A1179" s="13" t="s">
        <v>153</v>
      </c>
      <c r="B1179" s="14">
        <v>0.85824803262769844</v>
      </c>
      <c r="C1179" s="13" t="s">
        <v>93</v>
      </c>
      <c r="D1179" s="13" t="s">
        <v>33</v>
      </c>
    </row>
    <row r="1180" spans="1:4" x14ac:dyDescent="0.3">
      <c r="A1180" s="13" t="s">
        <v>153</v>
      </c>
      <c r="B1180" s="14">
        <v>0.82009804333219816</v>
      </c>
      <c r="C1180" s="13" t="s">
        <v>94</v>
      </c>
      <c r="D1180" s="13" t="s">
        <v>42</v>
      </c>
    </row>
    <row r="1181" spans="1:4" x14ac:dyDescent="0.3">
      <c r="A1181" s="13" t="s">
        <v>153</v>
      </c>
      <c r="B1181" s="14">
        <v>1</v>
      </c>
      <c r="C1181" s="13" t="s">
        <v>95</v>
      </c>
      <c r="D1181" s="13" t="s">
        <v>41</v>
      </c>
    </row>
    <row r="1182" spans="1:4" x14ac:dyDescent="0.3">
      <c r="A1182" s="13" t="s">
        <v>153</v>
      </c>
      <c r="B1182" s="14">
        <v>0.82980930241558459</v>
      </c>
      <c r="C1182" s="13" t="s">
        <v>96</v>
      </c>
      <c r="D1182" s="13" t="s">
        <v>33</v>
      </c>
    </row>
    <row r="1183" spans="1:4" x14ac:dyDescent="0.3">
      <c r="A1183" s="13" t="s">
        <v>153</v>
      </c>
      <c r="B1183" s="14">
        <v>0.64514013492956079</v>
      </c>
      <c r="C1183" s="13" t="s">
        <v>97</v>
      </c>
      <c r="D1183" s="13" t="s">
        <v>41</v>
      </c>
    </row>
    <row r="1184" spans="1:4" x14ac:dyDescent="0.3">
      <c r="A1184" s="13" t="s">
        <v>153</v>
      </c>
      <c r="B1184" s="14">
        <v>0.94940496772159177</v>
      </c>
      <c r="C1184" s="13" t="s">
        <v>23</v>
      </c>
      <c r="D1184" s="13" t="s">
        <v>0</v>
      </c>
    </row>
    <row r="1185" spans="1:4" x14ac:dyDescent="0.3">
      <c r="A1185" s="13" t="s">
        <v>153</v>
      </c>
      <c r="B1185" s="14">
        <v>0.96302281156712211</v>
      </c>
      <c r="C1185" s="13" t="s">
        <v>38</v>
      </c>
      <c r="D1185" s="13" t="s">
        <v>42</v>
      </c>
    </row>
    <row r="1186" spans="1:4" x14ac:dyDescent="0.3">
      <c r="A1186" s="13" t="s">
        <v>153</v>
      </c>
      <c r="B1186" s="14">
        <v>0.99078474077109635</v>
      </c>
      <c r="C1186" s="13" t="s">
        <v>38</v>
      </c>
      <c r="D1186" s="13" t="s">
        <v>36</v>
      </c>
    </row>
    <row r="1187" spans="1:4" x14ac:dyDescent="0.3">
      <c r="A1187" s="13" t="s">
        <v>153</v>
      </c>
      <c r="B1187" s="14">
        <v>0.80680172989868115</v>
      </c>
      <c r="C1187" s="13" t="s">
        <v>98</v>
      </c>
      <c r="D1187" s="13" t="s">
        <v>29</v>
      </c>
    </row>
    <row r="1188" spans="1:4" x14ac:dyDescent="0.3">
      <c r="A1188" s="13" t="s">
        <v>153</v>
      </c>
      <c r="B1188" s="14">
        <v>0.9528201028358676</v>
      </c>
      <c r="C1188" s="13" t="s">
        <v>99</v>
      </c>
      <c r="D1188" s="13" t="s">
        <v>42</v>
      </c>
    </row>
    <row r="1189" spans="1:4" x14ac:dyDescent="0.3">
      <c r="A1189" s="13" t="s">
        <v>153</v>
      </c>
      <c r="B1189" s="14">
        <v>0.76751661690167672</v>
      </c>
      <c r="C1189" s="13" t="s">
        <v>100</v>
      </c>
      <c r="D1189" s="13" t="s">
        <v>42</v>
      </c>
    </row>
    <row r="1190" spans="1:4" x14ac:dyDescent="0.3">
      <c r="A1190" s="13" t="s">
        <v>153</v>
      </c>
      <c r="B1190" s="14">
        <v>0.44765782563668688</v>
      </c>
      <c r="C1190" s="13" t="s">
        <v>101</v>
      </c>
      <c r="D1190" s="13" t="s">
        <v>36</v>
      </c>
    </row>
    <row r="1191" spans="1:4" x14ac:dyDescent="0.3">
      <c r="A1191" s="13" t="s">
        <v>153</v>
      </c>
      <c r="B1191" s="14">
        <v>0.95991064612666355</v>
      </c>
      <c r="C1191" s="13" t="s">
        <v>102</v>
      </c>
      <c r="D1191" s="13" t="s">
        <v>0</v>
      </c>
    </row>
    <row r="1192" spans="1:4" x14ac:dyDescent="0.3">
      <c r="A1192" s="13" t="s">
        <v>153</v>
      </c>
      <c r="B1192" s="14">
        <v>0.95774835659217794</v>
      </c>
      <c r="C1192" s="13" t="s">
        <v>102</v>
      </c>
      <c r="D1192" s="13" t="s">
        <v>42</v>
      </c>
    </row>
    <row r="1193" spans="1:4" x14ac:dyDescent="0.3">
      <c r="A1193" s="13" t="s">
        <v>153</v>
      </c>
      <c r="B1193" s="14">
        <v>0.8741423572782433</v>
      </c>
      <c r="C1193" s="13" t="s">
        <v>102</v>
      </c>
      <c r="D1193" s="13" t="s">
        <v>33</v>
      </c>
    </row>
    <row r="1194" spans="1:4" x14ac:dyDescent="0.3">
      <c r="A1194" s="13" t="s">
        <v>153</v>
      </c>
      <c r="B1194" s="14">
        <v>0.93074545157694377</v>
      </c>
      <c r="C1194" s="13" t="s">
        <v>102</v>
      </c>
      <c r="D1194" s="13" t="s">
        <v>29</v>
      </c>
    </row>
    <row r="1195" spans="1:4" x14ac:dyDescent="0.3">
      <c r="A1195" s="13" t="s">
        <v>153</v>
      </c>
      <c r="B1195" s="14">
        <v>0.94764284427913392</v>
      </c>
      <c r="C1195" s="13" t="s">
        <v>102</v>
      </c>
      <c r="D1195" s="13" t="s">
        <v>36</v>
      </c>
    </row>
    <row r="1196" spans="1:4" x14ac:dyDescent="0.3">
      <c r="A1196" s="13" t="s">
        <v>153</v>
      </c>
      <c r="B1196" s="14">
        <v>0.93971116144746814</v>
      </c>
      <c r="C1196" s="13" t="s">
        <v>102</v>
      </c>
      <c r="D1196" s="13" t="s">
        <v>41</v>
      </c>
    </row>
    <row r="1197" spans="1:4" x14ac:dyDescent="0.3">
      <c r="A1197" s="13" t="s">
        <v>153</v>
      </c>
      <c r="B1197" s="14">
        <v>0.92766055843471651</v>
      </c>
      <c r="C1197" s="13" t="s">
        <v>103</v>
      </c>
      <c r="D1197" s="13" t="s">
        <v>0</v>
      </c>
    </row>
    <row r="1198" spans="1:4" x14ac:dyDescent="0.3">
      <c r="A1198" s="13" t="s">
        <v>153</v>
      </c>
      <c r="B1198" s="14">
        <v>0.93974361657479344</v>
      </c>
      <c r="C1198" s="13" t="s">
        <v>103</v>
      </c>
      <c r="D1198" s="13" t="s">
        <v>33</v>
      </c>
    </row>
    <row r="1199" spans="1:4" x14ac:dyDescent="0.3">
      <c r="A1199" s="13" t="s">
        <v>153</v>
      </c>
      <c r="B1199" s="14">
        <v>0.92558611480451547</v>
      </c>
      <c r="C1199" s="13" t="s">
        <v>103</v>
      </c>
      <c r="D1199" s="13" t="s">
        <v>29</v>
      </c>
    </row>
    <row r="1200" spans="1:4" x14ac:dyDescent="0.3">
      <c r="A1200" s="13" t="s">
        <v>153</v>
      </c>
      <c r="B1200" s="14">
        <v>0.92876070431087687</v>
      </c>
      <c r="C1200" s="13" t="s">
        <v>103</v>
      </c>
      <c r="D1200" s="13" t="s">
        <v>36</v>
      </c>
    </row>
    <row r="1201" spans="1:4" x14ac:dyDescent="0.3">
      <c r="A1201" s="13" t="s">
        <v>153</v>
      </c>
      <c r="B1201" s="14">
        <v>0.9214295936282979</v>
      </c>
      <c r="C1201" s="13" t="s">
        <v>103</v>
      </c>
      <c r="D1201" s="13" t="s">
        <v>41</v>
      </c>
    </row>
    <row r="1202" spans="1:4" x14ac:dyDescent="0.3">
      <c r="A1202" s="13" t="s">
        <v>153</v>
      </c>
      <c r="B1202" s="14">
        <v>0.73057806551369209</v>
      </c>
      <c r="C1202" s="13" t="s">
        <v>104</v>
      </c>
      <c r="D1202" s="13" t="s">
        <v>41</v>
      </c>
    </row>
    <row r="1203" spans="1:4" x14ac:dyDescent="0.3">
      <c r="A1203" s="13" t="s">
        <v>153</v>
      </c>
      <c r="B1203" s="14">
        <v>0.88706148402775575</v>
      </c>
      <c r="C1203" s="13" t="s">
        <v>105</v>
      </c>
      <c r="D1203" s="13" t="s">
        <v>33</v>
      </c>
    </row>
    <row r="1204" spans="1:4" x14ac:dyDescent="0.3">
      <c r="A1204" s="13" t="s">
        <v>153</v>
      </c>
      <c r="B1204" s="14">
        <v>0.95405854196340834</v>
      </c>
      <c r="C1204" s="13" t="s">
        <v>105</v>
      </c>
      <c r="D1204" s="13" t="s">
        <v>29</v>
      </c>
    </row>
    <row r="1205" spans="1:4" x14ac:dyDescent="0.3">
      <c r="A1205" s="13" t="s">
        <v>153</v>
      </c>
      <c r="B1205" s="14">
        <v>0.93587153467987783</v>
      </c>
      <c r="C1205" s="13" t="s">
        <v>105</v>
      </c>
      <c r="D1205" s="13" t="s">
        <v>41</v>
      </c>
    </row>
    <row r="1206" spans="1:4" x14ac:dyDescent="0.3">
      <c r="A1206" s="13" t="s">
        <v>153</v>
      </c>
      <c r="B1206" s="14">
        <v>0.26705079356683042</v>
      </c>
      <c r="C1206" s="13" t="s">
        <v>106</v>
      </c>
      <c r="D1206" s="13" t="s">
        <v>0</v>
      </c>
    </row>
    <row r="1207" spans="1:4" x14ac:dyDescent="0.3">
      <c r="A1207" s="13" t="s">
        <v>153</v>
      </c>
      <c r="B1207" s="14">
        <v>0.94622622696334979</v>
      </c>
      <c r="C1207" s="13" t="s">
        <v>107</v>
      </c>
      <c r="D1207" s="13"/>
    </row>
    <row r="1208" spans="1:4" x14ac:dyDescent="0.3">
      <c r="A1208" s="13" t="s">
        <v>153</v>
      </c>
      <c r="B1208" s="14">
        <v>0.97186130135691862</v>
      </c>
      <c r="C1208" s="13" t="s">
        <v>107</v>
      </c>
      <c r="D1208" s="13" t="s">
        <v>41</v>
      </c>
    </row>
    <row r="1209" spans="1:4" x14ac:dyDescent="0.3">
      <c r="A1209" s="13" t="s">
        <v>153</v>
      </c>
      <c r="B1209" s="14">
        <v>0.90563161687102312</v>
      </c>
      <c r="C1209" s="13" t="s">
        <v>108</v>
      </c>
      <c r="D1209" s="13" t="s">
        <v>29</v>
      </c>
    </row>
    <row r="1210" spans="1:4" x14ac:dyDescent="0.3">
      <c r="A1210" s="13" t="s">
        <v>153</v>
      </c>
      <c r="B1210" s="14">
        <v>0.7871748191889244</v>
      </c>
      <c r="C1210" s="13" t="s">
        <v>24</v>
      </c>
      <c r="D1210" s="13"/>
    </row>
    <row r="1211" spans="1:4" x14ac:dyDescent="0.3">
      <c r="A1211" s="13" t="s">
        <v>153</v>
      </c>
      <c r="B1211" s="14">
        <v>0.65521550562348341</v>
      </c>
      <c r="C1211" s="13" t="s">
        <v>24</v>
      </c>
      <c r="D1211" s="13" t="s">
        <v>0</v>
      </c>
    </row>
    <row r="1212" spans="1:4" x14ac:dyDescent="0.3">
      <c r="A1212" s="13" t="s">
        <v>153</v>
      </c>
      <c r="B1212" s="14">
        <v>0.87575180848002943</v>
      </c>
      <c r="C1212" s="13" t="s">
        <v>24</v>
      </c>
      <c r="D1212" s="13" t="s">
        <v>42</v>
      </c>
    </row>
    <row r="1213" spans="1:4" x14ac:dyDescent="0.3">
      <c r="A1213" s="13" t="s">
        <v>153</v>
      </c>
      <c r="B1213" s="14">
        <v>0.72685162560141325</v>
      </c>
      <c r="C1213" s="13" t="s">
        <v>24</v>
      </c>
      <c r="D1213" s="13" t="s">
        <v>33</v>
      </c>
    </row>
    <row r="1214" spans="1:4" x14ac:dyDescent="0.3">
      <c r="A1214" s="13" t="s">
        <v>153</v>
      </c>
      <c r="B1214" s="14">
        <v>0.93016057968903632</v>
      </c>
      <c r="C1214" s="13" t="s">
        <v>24</v>
      </c>
      <c r="D1214" s="13" t="s">
        <v>29</v>
      </c>
    </row>
    <row r="1215" spans="1:4" x14ac:dyDescent="0.3">
      <c r="A1215" s="13" t="s">
        <v>153</v>
      </c>
      <c r="B1215" s="14">
        <v>0.86390568148448366</v>
      </c>
      <c r="C1215" s="13" t="s">
        <v>109</v>
      </c>
      <c r="D1215" s="13" t="s">
        <v>41</v>
      </c>
    </row>
    <row r="1216" spans="1:4" x14ac:dyDescent="0.3">
      <c r="A1216" s="13" t="s">
        <v>153</v>
      </c>
      <c r="B1216" s="14">
        <v>0.94681758497936663</v>
      </c>
      <c r="C1216" s="13" t="s">
        <v>110</v>
      </c>
      <c r="D1216" s="13" t="s">
        <v>0</v>
      </c>
    </row>
    <row r="1217" spans="1:4" x14ac:dyDescent="0.3">
      <c r="A1217" s="13" t="s">
        <v>153</v>
      </c>
      <c r="B1217" s="14">
        <v>0.94074967942874399</v>
      </c>
      <c r="C1217" s="13" t="s">
        <v>110</v>
      </c>
      <c r="D1217" s="13" t="s">
        <v>33</v>
      </c>
    </row>
    <row r="1218" spans="1:4" x14ac:dyDescent="0.3">
      <c r="A1218" s="13" t="s">
        <v>153</v>
      </c>
      <c r="B1218" s="14">
        <v>0.91933624348972842</v>
      </c>
      <c r="C1218" s="13" t="s">
        <v>110</v>
      </c>
      <c r="D1218" s="13" t="s">
        <v>29</v>
      </c>
    </row>
    <row r="1219" spans="1:4" x14ac:dyDescent="0.3">
      <c r="A1219" s="13" t="s">
        <v>153</v>
      </c>
      <c r="B1219" s="14">
        <v>0.90023925087008938</v>
      </c>
      <c r="C1219" s="13" t="s">
        <v>110</v>
      </c>
      <c r="D1219" s="13" t="s">
        <v>36</v>
      </c>
    </row>
    <row r="1220" spans="1:4" x14ac:dyDescent="0.3">
      <c r="A1220" s="13" t="s">
        <v>153</v>
      </c>
      <c r="B1220" s="14">
        <v>0.95829249445415299</v>
      </c>
      <c r="C1220" s="13" t="s">
        <v>110</v>
      </c>
      <c r="D1220" s="13" t="s">
        <v>41</v>
      </c>
    </row>
    <row r="1221" spans="1:4" x14ac:dyDescent="0.3">
      <c r="A1221" s="13" t="s">
        <v>153</v>
      </c>
      <c r="B1221" s="14">
        <v>0.94091300420531798</v>
      </c>
      <c r="C1221" s="13" t="s">
        <v>112</v>
      </c>
      <c r="D1221" s="13" t="s">
        <v>0</v>
      </c>
    </row>
    <row r="1222" spans="1:4" x14ac:dyDescent="0.3">
      <c r="A1222" s="13" t="s">
        <v>153</v>
      </c>
      <c r="B1222" s="14">
        <v>0.86044782199430636</v>
      </c>
      <c r="C1222" s="13" t="s">
        <v>112</v>
      </c>
      <c r="D1222" s="13" t="s">
        <v>42</v>
      </c>
    </row>
    <row r="1223" spans="1:4" x14ac:dyDescent="0.3">
      <c r="A1223" s="13" t="s">
        <v>153</v>
      </c>
      <c r="B1223" s="14">
        <v>0.9419645475185906</v>
      </c>
      <c r="C1223" s="13" t="s">
        <v>112</v>
      </c>
      <c r="D1223" s="13" t="s">
        <v>33</v>
      </c>
    </row>
    <row r="1224" spans="1:4" x14ac:dyDescent="0.3">
      <c r="A1224" s="13" t="s">
        <v>153</v>
      </c>
      <c r="B1224" s="14">
        <v>0.9268560606250843</v>
      </c>
      <c r="C1224" s="13" t="s">
        <v>112</v>
      </c>
      <c r="D1224" s="13" t="s">
        <v>29</v>
      </c>
    </row>
    <row r="1225" spans="1:4" x14ac:dyDescent="0.3">
      <c r="A1225" s="13" t="s">
        <v>153</v>
      </c>
      <c r="B1225" s="14">
        <v>0.9255776119081075</v>
      </c>
      <c r="C1225" s="13" t="s">
        <v>112</v>
      </c>
      <c r="D1225" s="13" t="s">
        <v>36</v>
      </c>
    </row>
    <row r="1226" spans="1:4" x14ac:dyDescent="0.3">
      <c r="A1226" s="13" t="s">
        <v>153</v>
      </c>
      <c r="B1226" s="14">
        <v>0.93706115076980978</v>
      </c>
      <c r="C1226" s="13" t="s">
        <v>112</v>
      </c>
      <c r="D1226" s="13" t="s">
        <v>41</v>
      </c>
    </row>
    <row r="1227" spans="1:4" x14ac:dyDescent="0.3">
      <c r="A1227" s="13" t="s">
        <v>153</v>
      </c>
      <c r="B1227" s="14">
        <v>0.95461766608837761</v>
      </c>
      <c r="C1227" s="13" t="s">
        <v>113</v>
      </c>
      <c r="D1227" s="13" t="s">
        <v>0</v>
      </c>
    </row>
    <row r="1228" spans="1:4" x14ac:dyDescent="0.3">
      <c r="A1228" s="13" t="s">
        <v>153</v>
      </c>
      <c r="B1228" s="14">
        <v>0.94954718537256566</v>
      </c>
      <c r="C1228" s="13" t="s">
        <v>113</v>
      </c>
      <c r="D1228" s="13" t="s">
        <v>33</v>
      </c>
    </row>
    <row r="1229" spans="1:4" x14ac:dyDescent="0.3">
      <c r="A1229" s="13" t="s">
        <v>153</v>
      </c>
      <c r="B1229" s="14">
        <v>0.93192782562334087</v>
      </c>
      <c r="C1229" s="13" t="s">
        <v>113</v>
      </c>
      <c r="D1229" s="13" t="s">
        <v>29</v>
      </c>
    </row>
    <row r="1230" spans="1:4" x14ac:dyDescent="0.3">
      <c r="A1230" s="13" t="s">
        <v>153</v>
      </c>
      <c r="B1230" s="14">
        <v>0.92390179437757347</v>
      </c>
      <c r="C1230" s="13" t="s">
        <v>113</v>
      </c>
      <c r="D1230" s="13" t="s">
        <v>36</v>
      </c>
    </row>
    <row r="1231" spans="1:4" x14ac:dyDescent="0.3">
      <c r="A1231" s="13" t="s">
        <v>153</v>
      </c>
      <c r="B1231" s="14">
        <v>0.9401436950926908</v>
      </c>
      <c r="C1231" s="13" t="s">
        <v>113</v>
      </c>
      <c r="D1231" s="13" t="s">
        <v>41</v>
      </c>
    </row>
    <row r="1232" spans="1:4" x14ac:dyDescent="0.3">
      <c r="A1232" s="13" t="s">
        <v>153</v>
      </c>
      <c r="B1232" s="14">
        <v>0.85966061369533542</v>
      </c>
      <c r="C1232" s="13" t="s">
        <v>35</v>
      </c>
      <c r="D1232" s="13" t="s">
        <v>33</v>
      </c>
    </row>
    <row r="1233" spans="1:4" x14ac:dyDescent="0.3">
      <c r="A1233" s="13" t="s">
        <v>153</v>
      </c>
      <c r="B1233" s="14">
        <v>0.98077103606304139</v>
      </c>
      <c r="C1233" s="13" t="s">
        <v>31</v>
      </c>
      <c r="D1233" s="13" t="s">
        <v>33</v>
      </c>
    </row>
    <row r="1234" spans="1:4" x14ac:dyDescent="0.3">
      <c r="A1234" s="13" t="s">
        <v>153</v>
      </c>
      <c r="B1234" s="14">
        <v>0.96399805034082531</v>
      </c>
      <c r="C1234" s="13" t="s">
        <v>31</v>
      </c>
      <c r="D1234" s="13" t="s">
        <v>29</v>
      </c>
    </row>
    <row r="1235" spans="1:4" x14ac:dyDescent="0.3">
      <c r="A1235" s="13" t="s">
        <v>153</v>
      </c>
      <c r="B1235" s="14">
        <v>0.95020274426705298</v>
      </c>
      <c r="C1235" s="13" t="s">
        <v>114</v>
      </c>
      <c r="D1235" s="13" t="s">
        <v>29</v>
      </c>
    </row>
    <row r="1236" spans="1:4" x14ac:dyDescent="0.3">
      <c r="A1236" s="13" t="s">
        <v>153</v>
      </c>
      <c r="B1236" s="14">
        <v>0.97612954359444237</v>
      </c>
      <c r="C1236" s="13" t="s">
        <v>39</v>
      </c>
      <c r="D1236" s="13" t="s">
        <v>36</v>
      </c>
    </row>
    <row r="1237" spans="1:4" x14ac:dyDescent="0.3">
      <c r="A1237" s="13" t="s">
        <v>153</v>
      </c>
      <c r="B1237" s="14">
        <v>0</v>
      </c>
      <c r="C1237" s="13" t="s">
        <v>150</v>
      </c>
      <c r="D1237" s="13" t="s">
        <v>36</v>
      </c>
    </row>
    <row r="1238" spans="1:4" x14ac:dyDescent="0.3">
      <c r="A1238" s="13" t="s">
        <v>153</v>
      </c>
      <c r="B1238" s="14">
        <v>0.96265832441455745</v>
      </c>
      <c r="C1238" s="13" t="s">
        <v>115</v>
      </c>
      <c r="D1238" s="13" t="s">
        <v>0</v>
      </c>
    </row>
    <row r="1239" spans="1:4" x14ac:dyDescent="0.3">
      <c r="A1239" s="13" t="s">
        <v>153</v>
      </c>
      <c r="B1239" s="14">
        <v>0.99765203774899835</v>
      </c>
      <c r="C1239" s="13" t="s">
        <v>115</v>
      </c>
      <c r="D1239" s="13" t="s">
        <v>42</v>
      </c>
    </row>
    <row r="1240" spans="1:4" x14ac:dyDescent="0.3">
      <c r="A1240" s="13" t="s">
        <v>153</v>
      </c>
      <c r="B1240" s="14">
        <v>0.98553174132448418</v>
      </c>
      <c r="C1240" s="13" t="s">
        <v>115</v>
      </c>
      <c r="D1240" s="13" t="s">
        <v>33</v>
      </c>
    </row>
    <row r="1241" spans="1:4" x14ac:dyDescent="0.3">
      <c r="A1241" s="13" t="s">
        <v>153</v>
      </c>
      <c r="B1241" s="14">
        <v>0.96575537723934901</v>
      </c>
      <c r="C1241" s="13" t="s">
        <v>115</v>
      </c>
      <c r="D1241" s="13" t="s">
        <v>29</v>
      </c>
    </row>
    <row r="1242" spans="1:4" x14ac:dyDescent="0.3">
      <c r="A1242" s="13" t="s">
        <v>153</v>
      </c>
      <c r="B1242" s="14">
        <v>0.98211870224659681</v>
      </c>
      <c r="C1242" s="13" t="s">
        <v>115</v>
      </c>
      <c r="D1242" s="13" t="s">
        <v>36</v>
      </c>
    </row>
    <row r="1243" spans="1:4" x14ac:dyDescent="0.3">
      <c r="A1243" s="13" t="s">
        <v>153</v>
      </c>
      <c r="B1243" s="14">
        <v>0.95606829089934764</v>
      </c>
      <c r="C1243" s="13" t="s">
        <v>115</v>
      </c>
      <c r="D1243" s="13" t="s">
        <v>41</v>
      </c>
    </row>
    <row r="1244" spans="1:4" x14ac:dyDescent="0.3">
      <c r="A1244" s="13" t="s">
        <v>153</v>
      </c>
      <c r="B1244" s="14">
        <v>0.91550638889911751</v>
      </c>
      <c r="C1244" s="13" t="s">
        <v>25</v>
      </c>
      <c r="D1244" s="13"/>
    </row>
    <row r="1245" spans="1:4" x14ac:dyDescent="0.3">
      <c r="A1245" s="13" t="s">
        <v>153</v>
      </c>
      <c r="B1245" s="14">
        <v>0.9551882177800558</v>
      </c>
      <c r="C1245" s="13" t="s">
        <v>25</v>
      </c>
      <c r="D1245" s="13" t="s">
        <v>0</v>
      </c>
    </row>
    <row r="1246" spans="1:4" x14ac:dyDescent="0.3">
      <c r="A1246" s="13" t="s">
        <v>153</v>
      </c>
      <c r="B1246" s="14">
        <v>0.83227633158781056</v>
      </c>
      <c r="C1246" s="13" t="s">
        <v>116</v>
      </c>
      <c r="D1246" s="13" t="s">
        <v>0</v>
      </c>
    </row>
    <row r="1247" spans="1:4" x14ac:dyDescent="0.3">
      <c r="A1247" s="13" t="s">
        <v>153</v>
      </c>
      <c r="B1247" s="14">
        <v>0.98297006867141368</v>
      </c>
      <c r="C1247" s="13" t="s">
        <v>117</v>
      </c>
      <c r="D1247" s="13" t="s">
        <v>29</v>
      </c>
    </row>
    <row r="1248" spans="1:4" x14ac:dyDescent="0.3">
      <c r="A1248" s="13" t="s">
        <v>153</v>
      </c>
      <c r="B1248" s="14">
        <v>0.93226089053476036</v>
      </c>
      <c r="C1248" s="13" t="s">
        <v>26</v>
      </c>
      <c r="D1248" s="13" t="s">
        <v>0</v>
      </c>
    </row>
    <row r="1249" spans="1:4" x14ac:dyDescent="0.3">
      <c r="A1249" s="13" t="s">
        <v>153</v>
      </c>
      <c r="B1249" s="14">
        <v>0.88243541060037789</v>
      </c>
      <c r="C1249" s="13" t="s">
        <v>26</v>
      </c>
      <c r="D1249" s="13" t="s">
        <v>33</v>
      </c>
    </row>
    <row r="1250" spans="1:4" x14ac:dyDescent="0.3">
      <c r="A1250" s="13" t="s">
        <v>153</v>
      </c>
      <c r="B1250" s="14">
        <v>0.85346649321884127</v>
      </c>
      <c r="C1250" s="13" t="s">
        <v>26</v>
      </c>
      <c r="D1250" s="13" t="s">
        <v>29</v>
      </c>
    </row>
    <row r="1251" spans="1:4" x14ac:dyDescent="0.3">
      <c r="A1251" s="13" t="s">
        <v>153</v>
      </c>
      <c r="B1251" s="14">
        <v>0.94167926019916648</v>
      </c>
      <c r="C1251" s="13" t="s">
        <v>26</v>
      </c>
      <c r="D1251" s="13" t="s">
        <v>36</v>
      </c>
    </row>
    <row r="1252" spans="1:4" x14ac:dyDescent="0.3">
      <c r="A1252" s="13" t="s">
        <v>153</v>
      </c>
      <c r="B1252" s="14">
        <v>0.34840497666218401</v>
      </c>
      <c r="C1252" s="13" t="s">
        <v>118</v>
      </c>
      <c r="D1252" s="13" t="s">
        <v>29</v>
      </c>
    </row>
    <row r="1253" spans="1:4" x14ac:dyDescent="0.3">
      <c r="A1253" s="13" t="s">
        <v>153</v>
      </c>
      <c r="B1253" s="14">
        <v>0.8170000674672353</v>
      </c>
      <c r="C1253" s="13" t="s">
        <v>119</v>
      </c>
      <c r="D1253" s="13" t="s">
        <v>42</v>
      </c>
    </row>
    <row r="1254" spans="1:4" x14ac:dyDescent="0.3">
      <c r="A1254" s="13" t="s">
        <v>153</v>
      </c>
      <c r="B1254" s="14">
        <v>1</v>
      </c>
      <c r="C1254" s="13" t="s">
        <v>120</v>
      </c>
      <c r="D1254" s="13"/>
    </row>
    <row r="1255" spans="1:4" x14ac:dyDescent="0.3">
      <c r="A1255" s="13" t="s">
        <v>153</v>
      </c>
      <c r="B1255" s="14">
        <v>0.9318133351985709</v>
      </c>
      <c r="C1255" s="13" t="s">
        <v>121</v>
      </c>
      <c r="D1255" s="13"/>
    </row>
    <row r="1256" spans="1:4" x14ac:dyDescent="0.3">
      <c r="A1256" s="13" t="s">
        <v>153</v>
      </c>
      <c r="B1256" s="14">
        <v>0.81519113789309117</v>
      </c>
      <c r="C1256" s="13" t="s">
        <v>121</v>
      </c>
      <c r="D1256" s="13" t="s">
        <v>0</v>
      </c>
    </row>
    <row r="1257" spans="1:4" x14ac:dyDescent="0.3">
      <c r="A1257" s="13" t="s">
        <v>153</v>
      </c>
      <c r="B1257" s="14">
        <v>0.84847444629879165</v>
      </c>
      <c r="C1257" s="13" t="s">
        <v>122</v>
      </c>
      <c r="D1257" s="13" t="s">
        <v>42</v>
      </c>
    </row>
    <row r="1258" spans="1:4" x14ac:dyDescent="0.3">
      <c r="A1258" s="13" t="s">
        <v>153</v>
      </c>
      <c r="B1258" s="14">
        <v>0.6598610457144648</v>
      </c>
      <c r="C1258" s="13" t="s">
        <v>123</v>
      </c>
      <c r="D1258" s="13" t="s">
        <v>29</v>
      </c>
    </row>
    <row r="1259" spans="1:4" x14ac:dyDescent="0.3">
      <c r="A1259" s="13" t="s">
        <v>153</v>
      </c>
      <c r="B1259" s="14">
        <v>0.96469644280723499</v>
      </c>
      <c r="C1259" s="13" t="s">
        <v>124</v>
      </c>
      <c r="D1259" s="13" t="s">
        <v>0</v>
      </c>
    </row>
    <row r="1260" spans="1:4" x14ac:dyDescent="0.3">
      <c r="A1260" s="13" t="s">
        <v>153</v>
      </c>
      <c r="B1260" s="14">
        <v>0.88928586867171977</v>
      </c>
      <c r="C1260" s="13" t="s">
        <v>124</v>
      </c>
      <c r="D1260" s="13" t="s">
        <v>42</v>
      </c>
    </row>
    <row r="1261" spans="1:4" x14ac:dyDescent="0.3">
      <c r="A1261" s="13" t="s">
        <v>153</v>
      </c>
      <c r="B1261" s="14">
        <v>0.94924113719935466</v>
      </c>
      <c r="C1261" s="13" t="s">
        <v>124</v>
      </c>
      <c r="D1261" s="13" t="s">
        <v>33</v>
      </c>
    </row>
    <row r="1262" spans="1:4" x14ac:dyDescent="0.3">
      <c r="A1262" s="13" t="s">
        <v>153</v>
      </c>
      <c r="B1262" s="14">
        <v>0.96563756937154788</v>
      </c>
      <c r="C1262" s="13" t="s">
        <v>124</v>
      </c>
      <c r="D1262" s="13" t="s">
        <v>29</v>
      </c>
    </row>
    <row r="1263" spans="1:4" x14ac:dyDescent="0.3">
      <c r="A1263" s="13" t="s">
        <v>153</v>
      </c>
      <c r="B1263" s="14">
        <v>0.96643847220898571</v>
      </c>
      <c r="C1263" s="13" t="s">
        <v>124</v>
      </c>
      <c r="D1263" s="13" t="s">
        <v>36</v>
      </c>
    </row>
    <row r="1264" spans="1:4" x14ac:dyDescent="0.3">
      <c r="A1264" s="13" t="s">
        <v>153</v>
      </c>
      <c r="B1264" s="14">
        <v>0.97243117507435628</v>
      </c>
      <c r="C1264" s="13" t="s">
        <v>124</v>
      </c>
      <c r="D1264" s="13" t="s">
        <v>41</v>
      </c>
    </row>
    <row r="1265" spans="1:4" x14ac:dyDescent="0.3">
      <c r="A1265" s="13" t="s">
        <v>153</v>
      </c>
      <c r="B1265" s="14">
        <v>0.61208264714646954</v>
      </c>
      <c r="C1265" s="13" t="s">
        <v>125</v>
      </c>
      <c r="D1265" s="13" t="s">
        <v>41</v>
      </c>
    </row>
    <row r="1266" spans="1:4" x14ac:dyDescent="0.3">
      <c r="A1266" s="13" t="s">
        <v>153</v>
      </c>
      <c r="B1266" s="14">
        <v>0.98840015318158414</v>
      </c>
      <c r="C1266" s="13" t="s">
        <v>126</v>
      </c>
      <c r="D1266" s="13" t="s">
        <v>36</v>
      </c>
    </row>
    <row r="1267" spans="1:4" x14ac:dyDescent="0.3">
      <c r="A1267" s="13" t="s">
        <v>153</v>
      </c>
      <c r="B1267" s="14">
        <v>0.87667103873742924</v>
      </c>
      <c r="C1267" s="13" t="s">
        <v>127</v>
      </c>
      <c r="D1267" s="13" t="s">
        <v>41</v>
      </c>
    </row>
    <row r="1268" spans="1:4" x14ac:dyDescent="0.3">
      <c r="A1268" s="13" t="s">
        <v>153</v>
      </c>
      <c r="B1268" s="14">
        <v>0.95539228948496602</v>
      </c>
      <c r="C1268" s="13" t="s">
        <v>128</v>
      </c>
      <c r="D1268" s="13" t="s">
        <v>0</v>
      </c>
    </row>
    <row r="1269" spans="1:4" x14ac:dyDescent="0.3">
      <c r="A1269" s="13" t="s">
        <v>153</v>
      </c>
      <c r="B1269" s="14">
        <v>0.9557231179880179</v>
      </c>
      <c r="C1269" s="13" t="s">
        <v>128</v>
      </c>
      <c r="D1269" s="13" t="s">
        <v>33</v>
      </c>
    </row>
    <row r="1270" spans="1:4" x14ac:dyDescent="0.3">
      <c r="A1270" s="13" t="s">
        <v>153</v>
      </c>
      <c r="B1270" s="14">
        <v>0.93238985477124137</v>
      </c>
      <c r="C1270" s="13" t="s">
        <v>128</v>
      </c>
      <c r="D1270" s="13" t="s">
        <v>29</v>
      </c>
    </row>
    <row r="1271" spans="1:4" x14ac:dyDescent="0.3">
      <c r="A1271" s="13" t="s">
        <v>153</v>
      </c>
      <c r="B1271" s="14">
        <v>0.95098744081068676</v>
      </c>
      <c r="C1271" s="13" t="s">
        <v>128</v>
      </c>
      <c r="D1271" s="13" t="s">
        <v>41</v>
      </c>
    </row>
    <row r="1272" spans="1:4" x14ac:dyDescent="0.3">
      <c r="A1272" s="13" t="s">
        <v>153</v>
      </c>
      <c r="B1272" s="14">
        <v>0.93984424497048569</v>
      </c>
      <c r="C1272" s="13" t="s">
        <v>129</v>
      </c>
      <c r="D1272" s="13" t="s">
        <v>29</v>
      </c>
    </row>
    <row r="1273" spans="1:4" x14ac:dyDescent="0.3">
      <c r="A1273" s="13" t="s">
        <v>153</v>
      </c>
      <c r="B1273" s="14">
        <v>0.88832490815947895</v>
      </c>
      <c r="C1273" s="13" t="s">
        <v>27</v>
      </c>
      <c r="D1273" s="13" t="s">
        <v>0</v>
      </c>
    </row>
    <row r="1274" spans="1:4" x14ac:dyDescent="0.3">
      <c r="A1274" s="13" t="s">
        <v>153</v>
      </c>
      <c r="B1274" s="14">
        <v>0.89142333179307309</v>
      </c>
      <c r="C1274" s="13" t="s">
        <v>27</v>
      </c>
      <c r="D1274" s="13" t="s">
        <v>33</v>
      </c>
    </row>
    <row r="1275" spans="1:4" x14ac:dyDescent="0.3">
      <c r="A1275" s="13" t="s">
        <v>153</v>
      </c>
      <c r="B1275" s="14">
        <v>0.94694483867773649</v>
      </c>
      <c r="C1275" s="13" t="s">
        <v>27</v>
      </c>
      <c r="D1275" s="13" t="s">
        <v>41</v>
      </c>
    </row>
    <row r="1276" spans="1:4" x14ac:dyDescent="0.3">
      <c r="A1276" s="13" t="s">
        <v>153</v>
      </c>
      <c r="B1276" s="14">
        <v>0.77791495508117625</v>
      </c>
      <c r="C1276" s="13" t="s">
        <v>130</v>
      </c>
      <c r="D1276" s="13" t="s">
        <v>41</v>
      </c>
    </row>
    <row r="1277" spans="1:4" x14ac:dyDescent="0.3">
      <c r="A1277" s="13" t="s">
        <v>153</v>
      </c>
      <c r="B1277" s="14">
        <v>0.970861353537392</v>
      </c>
      <c r="C1277" s="13" t="s">
        <v>131</v>
      </c>
      <c r="D1277" s="13" t="s">
        <v>0</v>
      </c>
    </row>
    <row r="1278" spans="1:4" x14ac:dyDescent="0.3">
      <c r="A1278" s="13" t="s">
        <v>153</v>
      </c>
      <c r="B1278" s="14">
        <v>0.95979940652234219</v>
      </c>
      <c r="C1278" s="13" t="s">
        <v>131</v>
      </c>
      <c r="D1278" s="13" t="s">
        <v>42</v>
      </c>
    </row>
    <row r="1279" spans="1:4" x14ac:dyDescent="0.3">
      <c r="A1279" s="13" t="s">
        <v>153</v>
      </c>
      <c r="B1279" s="14">
        <v>0.96346006445303223</v>
      </c>
      <c r="C1279" s="13" t="s">
        <v>131</v>
      </c>
      <c r="D1279" s="13" t="s">
        <v>33</v>
      </c>
    </row>
    <row r="1280" spans="1:4" x14ac:dyDescent="0.3">
      <c r="A1280" s="13" t="s">
        <v>153</v>
      </c>
      <c r="B1280" s="14">
        <v>0.95781882189964274</v>
      </c>
      <c r="C1280" s="13" t="s">
        <v>131</v>
      </c>
      <c r="D1280" s="13" t="s">
        <v>29</v>
      </c>
    </row>
    <row r="1281" spans="1:4" x14ac:dyDescent="0.3">
      <c r="A1281" s="13" t="s">
        <v>153</v>
      </c>
      <c r="B1281" s="14">
        <v>0.96184775611564655</v>
      </c>
      <c r="C1281" s="13" t="s">
        <v>131</v>
      </c>
      <c r="D1281" s="13" t="s">
        <v>36</v>
      </c>
    </row>
    <row r="1282" spans="1:4" x14ac:dyDescent="0.3">
      <c r="A1282" s="13" t="s">
        <v>153</v>
      </c>
      <c r="B1282" s="14">
        <v>0.97476322347612487</v>
      </c>
      <c r="C1282" s="13" t="s">
        <v>131</v>
      </c>
      <c r="D1282" s="13" t="s">
        <v>41</v>
      </c>
    </row>
    <row r="1283" spans="1:4" x14ac:dyDescent="0.3">
      <c r="A1283" s="13" t="s">
        <v>153</v>
      </c>
      <c r="B1283" s="14">
        <v>0.98023201769434165</v>
      </c>
      <c r="C1283" s="13" t="s">
        <v>44</v>
      </c>
      <c r="D1283" s="13" t="s">
        <v>42</v>
      </c>
    </row>
    <row r="1284" spans="1:4" x14ac:dyDescent="0.3">
      <c r="A1284" s="13" t="s">
        <v>153</v>
      </c>
      <c r="B1284" s="14">
        <v>0.93550142897776778</v>
      </c>
      <c r="C1284" s="13" t="s">
        <v>45</v>
      </c>
      <c r="D1284" s="13" t="s">
        <v>42</v>
      </c>
    </row>
    <row r="1285" spans="1:4" x14ac:dyDescent="0.3">
      <c r="A1285" s="13" t="s">
        <v>153</v>
      </c>
      <c r="B1285" s="14">
        <v>0.95642678498193001</v>
      </c>
      <c r="C1285" s="13" t="s">
        <v>46</v>
      </c>
      <c r="D1285" s="13" t="s">
        <v>42</v>
      </c>
    </row>
    <row r="1286" spans="1:4" x14ac:dyDescent="0.3">
      <c r="A1286" s="13" t="s">
        <v>153</v>
      </c>
      <c r="B1286" s="14">
        <v>0.88661845915136739</v>
      </c>
      <c r="C1286" s="13" t="s">
        <v>132</v>
      </c>
      <c r="D1286" s="13" t="s">
        <v>29</v>
      </c>
    </row>
    <row r="1287" spans="1:4" x14ac:dyDescent="0.3">
      <c r="A1287" s="13" t="s">
        <v>153</v>
      </c>
      <c r="B1287" s="14">
        <v>0.92807157538892482</v>
      </c>
      <c r="C1287" s="13" t="s">
        <v>133</v>
      </c>
      <c r="D1287" s="13"/>
    </row>
    <row r="1288" spans="1:4" x14ac:dyDescent="0.3">
      <c r="A1288" s="13" t="s">
        <v>153</v>
      </c>
      <c r="B1288" s="14">
        <v>0.7700348764940731</v>
      </c>
      <c r="C1288" s="13" t="s">
        <v>133</v>
      </c>
      <c r="D1288" s="13" t="s">
        <v>0</v>
      </c>
    </row>
    <row r="1289" spans="1:4" x14ac:dyDescent="0.3">
      <c r="A1289" s="13" t="s">
        <v>153</v>
      </c>
      <c r="B1289" s="14">
        <v>0.82294296485585383</v>
      </c>
      <c r="C1289" s="13" t="s">
        <v>134</v>
      </c>
      <c r="D1289" s="13" t="s">
        <v>36</v>
      </c>
    </row>
    <row r="1290" spans="1:4" x14ac:dyDescent="0.3">
      <c r="A1290" s="13" t="s">
        <v>153</v>
      </c>
      <c r="B1290" s="14">
        <v>0.84071547539147673</v>
      </c>
      <c r="C1290" s="13" t="s">
        <v>135</v>
      </c>
      <c r="D1290" s="13" t="s">
        <v>0</v>
      </c>
    </row>
    <row r="1291" spans="1:4" x14ac:dyDescent="0.3">
      <c r="A1291" s="13" t="s">
        <v>153</v>
      </c>
      <c r="B1291" s="14">
        <v>1</v>
      </c>
      <c r="C1291" s="13" t="s">
        <v>136</v>
      </c>
      <c r="D1291" s="13"/>
    </row>
    <row r="1292" spans="1:4" x14ac:dyDescent="0.3">
      <c r="A1292" s="13" t="s">
        <v>153</v>
      </c>
      <c r="B1292" s="14">
        <v>0.95216863847636191</v>
      </c>
      <c r="C1292" s="13" t="s">
        <v>136</v>
      </c>
      <c r="D1292" s="13" t="s">
        <v>42</v>
      </c>
    </row>
    <row r="1293" spans="1:4" x14ac:dyDescent="0.3">
      <c r="A1293" s="13" t="s">
        <v>153</v>
      </c>
      <c r="B1293" s="14">
        <v>0.74327193278640857</v>
      </c>
      <c r="C1293" s="13" t="s">
        <v>137</v>
      </c>
      <c r="D1293" s="13" t="s">
        <v>42</v>
      </c>
    </row>
    <row r="1294" spans="1:4" x14ac:dyDescent="0.3">
      <c r="A1294" s="13" t="s">
        <v>153</v>
      </c>
      <c r="B1294" s="14">
        <v>0.87510046070802561</v>
      </c>
      <c r="C1294" s="13" t="s">
        <v>138</v>
      </c>
      <c r="D1294" s="13" t="s">
        <v>0</v>
      </c>
    </row>
    <row r="1295" spans="1:4" x14ac:dyDescent="0.3">
      <c r="A1295" s="13" t="s">
        <v>153</v>
      </c>
      <c r="B1295" s="14">
        <v>0.90866352114571991</v>
      </c>
      <c r="C1295" s="13" t="s">
        <v>139</v>
      </c>
      <c r="D1295" s="13" t="s">
        <v>42</v>
      </c>
    </row>
    <row r="1296" spans="1:4" x14ac:dyDescent="0.3">
      <c r="A1296" s="13" t="s">
        <v>153</v>
      </c>
      <c r="B1296" s="14">
        <v>0.31004545372615622</v>
      </c>
      <c r="C1296" s="13" t="s">
        <v>140</v>
      </c>
      <c r="D1296" s="13" t="s">
        <v>36</v>
      </c>
    </row>
    <row r="1297" spans="1:4" x14ac:dyDescent="0.3">
      <c r="A1297" s="13" t="s">
        <v>153</v>
      </c>
      <c r="B1297" s="14">
        <v>0.86072277517337004</v>
      </c>
      <c r="C1297" s="13" t="s">
        <v>40</v>
      </c>
      <c r="D1297" s="13"/>
    </row>
    <row r="1298" spans="1:4" x14ac:dyDescent="0.3">
      <c r="A1298" s="13" t="s">
        <v>153</v>
      </c>
      <c r="B1298" s="14">
        <v>0.94617921461775978</v>
      </c>
      <c r="C1298" s="13" t="s">
        <v>40</v>
      </c>
      <c r="D1298" s="13" t="s">
        <v>42</v>
      </c>
    </row>
    <row r="1299" spans="1:4" x14ac:dyDescent="0.3">
      <c r="A1299" s="13" t="s">
        <v>153</v>
      </c>
      <c r="B1299" s="14">
        <v>0.9586059062146014</v>
      </c>
      <c r="C1299" s="13" t="s">
        <v>40</v>
      </c>
      <c r="D1299" s="13" t="s">
        <v>36</v>
      </c>
    </row>
    <row r="1300" spans="1:4" x14ac:dyDescent="0.3">
      <c r="A1300" s="13" t="s">
        <v>153</v>
      </c>
      <c r="B1300" s="14">
        <v>0.78901665621424055</v>
      </c>
      <c r="C1300" s="13" t="s">
        <v>141</v>
      </c>
      <c r="D1300" s="13" t="s">
        <v>29</v>
      </c>
    </row>
    <row r="1301" spans="1:4" x14ac:dyDescent="0.3">
      <c r="A1301" s="13" t="s">
        <v>153</v>
      </c>
      <c r="B1301" s="14">
        <v>0.39983953052122001</v>
      </c>
      <c r="C1301" s="13" t="s">
        <v>142</v>
      </c>
      <c r="D1301" s="13" t="s">
        <v>41</v>
      </c>
    </row>
    <row r="1302" spans="1:4" x14ac:dyDescent="0.3">
      <c r="A1302" s="13" t="s">
        <v>153</v>
      </c>
      <c r="B1302" s="14">
        <v>0.85018146225760571</v>
      </c>
      <c r="C1302" s="13" t="s">
        <v>143</v>
      </c>
      <c r="D1302" s="13" t="s">
        <v>42</v>
      </c>
    </row>
    <row r="1303" spans="1:4" x14ac:dyDescent="0.3">
      <c r="A1303" s="13" t="s">
        <v>153</v>
      </c>
      <c r="B1303" s="14">
        <v>0.93516345185532457</v>
      </c>
      <c r="C1303" s="13" t="s">
        <v>144</v>
      </c>
      <c r="D1303" s="13" t="s">
        <v>42</v>
      </c>
    </row>
    <row r="1304" spans="1:4" x14ac:dyDescent="0.3">
      <c r="A1304" s="13" t="s">
        <v>153</v>
      </c>
      <c r="B1304" s="14">
        <v>0.97599693151927081</v>
      </c>
      <c r="C1304" s="13" t="s">
        <v>47</v>
      </c>
      <c r="D1304" s="13" t="s">
        <v>42</v>
      </c>
    </row>
    <row r="1305" spans="1:4" x14ac:dyDescent="0.3">
      <c r="A1305" s="13" t="s">
        <v>153</v>
      </c>
      <c r="B1305" s="14">
        <v>0.95510075032790365</v>
      </c>
      <c r="C1305" s="13" t="s">
        <v>145</v>
      </c>
      <c r="D1305" s="13" t="s">
        <v>0</v>
      </c>
    </row>
    <row r="1306" spans="1:4" x14ac:dyDescent="0.3">
      <c r="A1306" s="13" t="s">
        <v>153</v>
      </c>
      <c r="B1306" s="14">
        <v>0.87727134301001097</v>
      </c>
      <c r="C1306" s="13" t="s">
        <v>146</v>
      </c>
      <c r="D1306" s="13" t="s">
        <v>41</v>
      </c>
    </row>
    <row r="1307" spans="1:4" x14ac:dyDescent="0.3">
      <c r="A1307" s="13" t="s">
        <v>153</v>
      </c>
      <c r="B1307" s="14">
        <v>0.96602453855430614</v>
      </c>
      <c r="C1307" s="13" t="s">
        <v>32</v>
      </c>
      <c r="D1307" s="13" t="s">
        <v>33</v>
      </c>
    </row>
    <row r="1308" spans="1:4" x14ac:dyDescent="0.3">
      <c r="A1308" s="13" t="s">
        <v>153</v>
      </c>
      <c r="B1308" s="14">
        <v>0.73106275600350201</v>
      </c>
      <c r="C1308" s="13" t="s">
        <v>32</v>
      </c>
      <c r="D1308" s="13" t="s">
        <v>29</v>
      </c>
    </row>
    <row r="1309" spans="1:4" x14ac:dyDescent="0.3">
      <c r="A1309" s="13" t="s">
        <v>153</v>
      </c>
      <c r="B1309" s="14">
        <v>0.96866138269669233</v>
      </c>
      <c r="C1309" s="13" t="s">
        <v>32</v>
      </c>
      <c r="D1309" s="13" t="s">
        <v>36</v>
      </c>
    </row>
    <row r="1310" spans="1:4" x14ac:dyDescent="0.3">
      <c r="A1310" s="13" t="s">
        <v>155</v>
      </c>
      <c r="B1310" s="14">
        <v>0.90767921388398742</v>
      </c>
      <c r="C1310" s="13" t="s">
        <v>53</v>
      </c>
      <c r="D1310" s="13" t="s">
        <v>0</v>
      </c>
    </row>
    <row r="1311" spans="1:4" x14ac:dyDescent="0.3">
      <c r="A1311" s="13" t="s">
        <v>155</v>
      </c>
      <c r="B1311" s="14">
        <v>0.9251151388890394</v>
      </c>
      <c r="C1311" s="13" t="s">
        <v>54</v>
      </c>
      <c r="D1311" s="13" t="s">
        <v>29</v>
      </c>
    </row>
    <row r="1312" spans="1:4" x14ac:dyDescent="0.3">
      <c r="A1312" s="13" t="s">
        <v>155</v>
      </c>
      <c r="B1312" s="14">
        <v>0.94061208508620031</v>
      </c>
      <c r="C1312" s="13" t="s">
        <v>55</v>
      </c>
      <c r="D1312" s="13" t="s">
        <v>0</v>
      </c>
    </row>
    <row r="1313" spans="1:4" x14ac:dyDescent="0.3">
      <c r="A1313" s="13" t="s">
        <v>155</v>
      </c>
      <c r="B1313" s="14">
        <v>0.97980200647954896</v>
      </c>
      <c r="C1313" s="13" t="s">
        <v>55</v>
      </c>
      <c r="D1313" s="13" t="s">
        <v>33</v>
      </c>
    </row>
    <row r="1314" spans="1:4" x14ac:dyDescent="0.3">
      <c r="A1314" s="13" t="s">
        <v>155</v>
      </c>
      <c r="B1314" s="14">
        <v>0.90057679703622162</v>
      </c>
      <c r="C1314" s="13" t="s">
        <v>55</v>
      </c>
      <c r="D1314" s="13" t="s">
        <v>29</v>
      </c>
    </row>
    <row r="1315" spans="1:4" x14ac:dyDescent="0.3">
      <c r="A1315" s="13" t="s">
        <v>155</v>
      </c>
      <c r="B1315" s="14">
        <v>0.60934292922432942</v>
      </c>
      <c r="C1315" s="13" t="s">
        <v>56</v>
      </c>
      <c r="D1315" s="13" t="s">
        <v>29</v>
      </c>
    </row>
    <row r="1316" spans="1:4" x14ac:dyDescent="0.3">
      <c r="A1316" s="13" t="s">
        <v>155</v>
      </c>
      <c r="B1316" s="14">
        <v>0.15517035850483371</v>
      </c>
      <c r="C1316" s="13" t="s">
        <v>57</v>
      </c>
      <c r="D1316" s="13" t="s">
        <v>0</v>
      </c>
    </row>
    <row r="1317" spans="1:4" x14ac:dyDescent="0.3">
      <c r="A1317" s="13" t="s">
        <v>155</v>
      </c>
      <c r="B1317" s="14">
        <v>0.19617437614325831</v>
      </c>
      <c r="C1317" s="13" t="s">
        <v>57</v>
      </c>
      <c r="D1317" s="13" t="s">
        <v>33</v>
      </c>
    </row>
    <row r="1318" spans="1:4" x14ac:dyDescent="0.3">
      <c r="A1318" s="13" t="s">
        <v>155</v>
      </c>
      <c r="B1318" s="14">
        <v>0.1718250929946421</v>
      </c>
      <c r="C1318" s="13" t="s">
        <v>57</v>
      </c>
      <c r="D1318" s="13" t="s">
        <v>29</v>
      </c>
    </row>
    <row r="1319" spans="1:4" x14ac:dyDescent="0.3">
      <c r="A1319" s="13" t="s">
        <v>155</v>
      </c>
      <c r="B1319" s="14">
        <v>0.40706225404141161</v>
      </c>
      <c r="C1319" s="13" t="s">
        <v>57</v>
      </c>
      <c r="D1319" s="13" t="s">
        <v>36</v>
      </c>
    </row>
    <row r="1320" spans="1:4" x14ac:dyDescent="0.3">
      <c r="A1320" s="13" t="s">
        <v>155</v>
      </c>
      <c r="B1320" s="14">
        <v>0.27795079665498268</v>
      </c>
      <c r="C1320" s="13" t="s">
        <v>57</v>
      </c>
      <c r="D1320" s="13" t="s">
        <v>41</v>
      </c>
    </row>
    <row r="1321" spans="1:4" x14ac:dyDescent="0.3">
      <c r="A1321" s="13" t="s">
        <v>155</v>
      </c>
      <c r="B1321" s="14">
        <v>1</v>
      </c>
      <c r="C1321" s="13" t="s">
        <v>37</v>
      </c>
      <c r="D1321" s="13"/>
    </row>
    <row r="1322" spans="1:4" x14ac:dyDescent="0.3">
      <c r="A1322" s="13" t="s">
        <v>155</v>
      </c>
      <c r="B1322" s="14">
        <v>0.94003916670551524</v>
      </c>
      <c r="C1322" s="13" t="s">
        <v>37</v>
      </c>
      <c r="D1322" s="13" t="s">
        <v>42</v>
      </c>
    </row>
    <row r="1323" spans="1:4" x14ac:dyDescent="0.3">
      <c r="A1323" s="13" t="s">
        <v>155</v>
      </c>
      <c r="B1323" s="14">
        <v>0.97789996634714049</v>
      </c>
      <c r="C1323" s="13" t="s">
        <v>37</v>
      </c>
      <c r="D1323" s="13" t="s">
        <v>36</v>
      </c>
    </row>
    <row r="1324" spans="1:4" x14ac:dyDescent="0.3">
      <c r="A1324" s="13" t="s">
        <v>155</v>
      </c>
      <c r="B1324" s="14">
        <v>0.97393100684793188</v>
      </c>
      <c r="C1324" s="13" t="s">
        <v>30</v>
      </c>
      <c r="D1324" s="13" t="s">
        <v>42</v>
      </c>
    </row>
    <row r="1325" spans="1:4" x14ac:dyDescent="0.3">
      <c r="A1325" s="13" t="s">
        <v>155</v>
      </c>
      <c r="B1325" s="14">
        <v>0.99569731349159007</v>
      </c>
      <c r="C1325" s="13" t="s">
        <v>30</v>
      </c>
      <c r="D1325" s="13" t="s">
        <v>29</v>
      </c>
    </row>
    <row r="1326" spans="1:4" x14ac:dyDescent="0.3">
      <c r="A1326" s="13" t="s">
        <v>155</v>
      </c>
      <c r="B1326" s="14">
        <v>0.98110762437324561</v>
      </c>
      <c r="C1326" s="13" t="s">
        <v>30</v>
      </c>
      <c r="D1326" s="13" t="s">
        <v>36</v>
      </c>
    </row>
    <row r="1327" spans="1:4" x14ac:dyDescent="0.3">
      <c r="A1327" s="13" t="s">
        <v>155</v>
      </c>
      <c r="B1327" s="14">
        <v>0.9426877059447254</v>
      </c>
      <c r="C1327" s="13" t="s">
        <v>28</v>
      </c>
      <c r="D1327" s="13" t="s">
        <v>33</v>
      </c>
    </row>
    <row r="1328" spans="1:4" x14ac:dyDescent="0.3">
      <c r="A1328" s="13" t="s">
        <v>155</v>
      </c>
      <c r="B1328" s="14">
        <v>0.85312977652500133</v>
      </c>
      <c r="C1328" s="13" t="s">
        <v>28</v>
      </c>
      <c r="D1328" s="13" t="s">
        <v>29</v>
      </c>
    </row>
    <row r="1329" spans="1:4" x14ac:dyDescent="0.3">
      <c r="A1329" s="13" t="s">
        <v>155</v>
      </c>
      <c r="B1329" s="14">
        <v>0.95115183311979734</v>
      </c>
      <c r="C1329" s="13" t="s">
        <v>34</v>
      </c>
      <c r="D1329" s="13" t="s">
        <v>33</v>
      </c>
    </row>
    <row r="1330" spans="1:4" x14ac:dyDescent="0.3">
      <c r="A1330" s="13" t="s">
        <v>155</v>
      </c>
      <c r="B1330" s="14">
        <v>0.94685592522655415</v>
      </c>
      <c r="C1330" s="13" t="s">
        <v>58</v>
      </c>
      <c r="D1330" s="13" t="s">
        <v>29</v>
      </c>
    </row>
    <row r="1331" spans="1:4" x14ac:dyDescent="0.3">
      <c r="A1331" s="13" t="s">
        <v>155</v>
      </c>
      <c r="B1331" s="14">
        <v>0.77067343817818013</v>
      </c>
      <c r="C1331" s="13" t="s">
        <v>154</v>
      </c>
      <c r="D1331" s="13" t="s">
        <v>42</v>
      </c>
    </row>
    <row r="1332" spans="1:4" x14ac:dyDescent="0.3">
      <c r="A1332" s="13" t="s">
        <v>155</v>
      </c>
      <c r="B1332" s="14">
        <v>0.47249103255135899</v>
      </c>
      <c r="C1332" s="13" t="s">
        <v>59</v>
      </c>
      <c r="D1332" s="13" t="s">
        <v>0</v>
      </c>
    </row>
    <row r="1333" spans="1:4" x14ac:dyDescent="0.3">
      <c r="A1333" s="13" t="s">
        <v>155</v>
      </c>
      <c r="B1333" s="14">
        <v>0.67063132919624924</v>
      </c>
      <c r="C1333" s="13" t="s">
        <v>59</v>
      </c>
      <c r="D1333" s="13" t="s">
        <v>33</v>
      </c>
    </row>
    <row r="1334" spans="1:4" x14ac:dyDescent="0.3">
      <c r="A1334" s="13" t="s">
        <v>155</v>
      </c>
      <c r="B1334" s="14">
        <v>0.89981005393692282</v>
      </c>
      <c r="C1334" s="13" t="s">
        <v>60</v>
      </c>
      <c r="D1334" s="13" t="s">
        <v>33</v>
      </c>
    </row>
    <row r="1335" spans="1:4" x14ac:dyDescent="0.3">
      <c r="A1335" s="13" t="s">
        <v>155</v>
      </c>
      <c r="B1335" s="14">
        <v>0.52569316757615725</v>
      </c>
      <c r="C1335" s="13" t="s">
        <v>61</v>
      </c>
      <c r="D1335" s="13" t="s">
        <v>36</v>
      </c>
    </row>
    <row r="1336" spans="1:4" x14ac:dyDescent="0.3">
      <c r="A1336" s="13" t="s">
        <v>155</v>
      </c>
      <c r="B1336" s="14">
        <v>0.3398530830558148</v>
      </c>
      <c r="C1336" s="13" t="s">
        <v>62</v>
      </c>
      <c r="D1336" s="13"/>
    </row>
    <row r="1337" spans="1:4" x14ac:dyDescent="0.3">
      <c r="A1337" s="13" t="s">
        <v>155</v>
      </c>
      <c r="B1337" s="14">
        <v>0.72839930475146053</v>
      </c>
      <c r="C1337" s="13" t="s">
        <v>62</v>
      </c>
      <c r="D1337" s="13" t="s">
        <v>0</v>
      </c>
    </row>
    <row r="1338" spans="1:4" x14ac:dyDescent="0.3">
      <c r="A1338" s="13" t="s">
        <v>155</v>
      </c>
      <c r="B1338" s="14">
        <v>0.91527039058776383</v>
      </c>
      <c r="C1338" s="13" t="s">
        <v>63</v>
      </c>
      <c r="D1338" s="13"/>
    </row>
    <row r="1339" spans="1:4" x14ac:dyDescent="0.3">
      <c r="A1339" s="13" t="s">
        <v>155</v>
      </c>
      <c r="B1339" s="14">
        <v>0.87689986149138022</v>
      </c>
      <c r="C1339" s="13" t="s">
        <v>63</v>
      </c>
      <c r="D1339" s="13" t="s">
        <v>42</v>
      </c>
    </row>
    <row r="1340" spans="1:4" x14ac:dyDescent="0.3">
      <c r="A1340" s="13" t="s">
        <v>155</v>
      </c>
      <c r="B1340" s="14">
        <v>0.57263844937492347</v>
      </c>
      <c r="C1340" s="13" t="s">
        <v>64</v>
      </c>
      <c r="D1340" s="13" t="s">
        <v>0</v>
      </c>
    </row>
    <row r="1341" spans="1:4" x14ac:dyDescent="0.3">
      <c r="A1341" s="13" t="s">
        <v>155</v>
      </c>
      <c r="B1341" s="14">
        <v>0.85290031540838862</v>
      </c>
      <c r="C1341" s="13" t="s">
        <v>65</v>
      </c>
      <c r="D1341" s="13" t="s">
        <v>41</v>
      </c>
    </row>
    <row r="1342" spans="1:4" x14ac:dyDescent="0.3">
      <c r="A1342" s="13" t="s">
        <v>155</v>
      </c>
      <c r="B1342" s="14">
        <v>0.95028530662769362</v>
      </c>
      <c r="C1342" s="13" t="s">
        <v>66</v>
      </c>
      <c r="D1342" s="13" t="s">
        <v>29</v>
      </c>
    </row>
    <row r="1343" spans="1:4" x14ac:dyDescent="0.3">
      <c r="A1343" s="13" t="s">
        <v>155</v>
      </c>
      <c r="B1343" s="14">
        <v>0.97282365737346632</v>
      </c>
      <c r="C1343" s="13" t="s">
        <v>66</v>
      </c>
      <c r="D1343" s="13" t="s">
        <v>41</v>
      </c>
    </row>
    <row r="1344" spans="1:4" x14ac:dyDescent="0.3">
      <c r="A1344" s="13" t="s">
        <v>155</v>
      </c>
      <c r="B1344" s="14">
        <v>0.98064123621804855</v>
      </c>
      <c r="C1344" s="13" t="s">
        <v>67</v>
      </c>
      <c r="D1344" s="13" t="s">
        <v>0</v>
      </c>
    </row>
    <row r="1345" spans="1:4" x14ac:dyDescent="0.3">
      <c r="A1345" s="13" t="s">
        <v>155</v>
      </c>
      <c r="B1345" s="14">
        <v>0.98696088952493333</v>
      </c>
      <c r="C1345" s="13" t="s">
        <v>67</v>
      </c>
      <c r="D1345" s="13" t="s">
        <v>33</v>
      </c>
    </row>
    <row r="1346" spans="1:4" x14ac:dyDescent="0.3">
      <c r="A1346" s="13" t="s">
        <v>155</v>
      </c>
      <c r="B1346" s="14">
        <v>0.97577278045636351</v>
      </c>
      <c r="C1346" s="13" t="s">
        <v>67</v>
      </c>
      <c r="D1346" s="13" t="s">
        <v>29</v>
      </c>
    </row>
    <row r="1347" spans="1:4" x14ac:dyDescent="0.3">
      <c r="A1347" s="13" t="s">
        <v>155</v>
      </c>
      <c r="B1347" s="14">
        <v>0.99061301918567757</v>
      </c>
      <c r="C1347" s="13" t="s">
        <v>67</v>
      </c>
      <c r="D1347" s="13" t="s">
        <v>36</v>
      </c>
    </row>
    <row r="1348" spans="1:4" x14ac:dyDescent="0.3">
      <c r="A1348" s="13" t="s">
        <v>155</v>
      </c>
      <c r="B1348" s="14">
        <v>0.97863792613511158</v>
      </c>
      <c r="C1348" s="13" t="s">
        <v>67</v>
      </c>
      <c r="D1348" s="13" t="s">
        <v>41</v>
      </c>
    </row>
    <row r="1349" spans="1:4" x14ac:dyDescent="0.3">
      <c r="A1349" s="13" t="s">
        <v>155</v>
      </c>
      <c r="B1349" s="14">
        <v>0.79251530012129412</v>
      </c>
      <c r="C1349" s="13" t="s">
        <v>68</v>
      </c>
      <c r="D1349" s="13" t="s">
        <v>0</v>
      </c>
    </row>
    <row r="1350" spans="1:4" x14ac:dyDescent="0.3">
      <c r="A1350" s="13" t="s">
        <v>155</v>
      </c>
      <c r="B1350" s="14">
        <v>0.1885402656882719</v>
      </c>
      <c r="C1350" s="13" t="s">
        <v>152</v>
      </c>
      <c r="D1350" s="13" t="s">
        <v>0</v>
      </c>
    </row>
    <row r="1351" spans="1:4" x14ac:dyDescent="0.3">
      <c r="A1351" s="13" t="s">
        <v>155</v>
      </c>
      <c r="B1351" s="14">
        <v>0.51887659641929051</v>
      </c>
      <c r="C1351" s="13" t="s">
        <v>69</v>
      </c>
      <c r="D1351" s="13" t="s">
        <v>36</v>
      </c>
    </row>
    <row r="1352" spans="1:4" x14ac:dyDescent="0.3">
      <c r="A1352" s="13" t="s">
        <v>155</v>
      </c>
      <c r="B1352" s="14">
        <v>0.98449615949268365</v>
      </c>
      <c r="C1352" s="13" t="s">
        <v>15</v>
      </c>
      <c r="D1352" s="13"/>
    </row>
    <row r="1353" spans="1:4" x14ac:dyDescent="0.3">
      <c r="A1353" s="13" t="s">
        <v>155</v>
      </c>
      <c r="B1353" s="14">
        <v>0.32355702318228891</v>
      </c>
      <c r="C1353" s="13" t="s">
        <v>15</v>
      </c>
      <c r="D1353" s="13" t="s">
        <v>0</v>
      </c>
    </row>
    <row r="1354" spans="1:4" x14ac:dyDescent="0.3">
      <c r="A1354" s="13" t="s">
        <v>155</v>
      </c>
      <c r="B1354" s="14">
        <v>0.94575917869157944</v>
      </c>
      <c r="C1354" s="13" t="s">
        <v>15</v>
      </c>
      <c r="D1354" s="13" t="s">
        <v>42</v>
      </c>
    </row>
    <row r="1355" spans="1:4" x14ac:dyDescent="0.3">
      <c r="A1355" s="13" t="s">
        <v>155</v>
      </c>
      <c r="B1355" s="14">
        <v>0.95120230164560937</v>
      </c>
      <c r="C1355" s="13" t="s">
        <v>15</v>
      </c>
      <c r="D1355" s="13" t="s">
        <v>36</v>
      </c>
    </row>
    <row r="1356" spans="1:4" x14ac:dyDescent="0.3">
      <c r="A1356" s="13" t="s">
        <v>155</v>
      </c>
      <c r="B1356" s="14">
        <v>0.9535501477324847</v>
      </c>
      <c r="C1356" s="13" t="s">
        <v>43</v>
      </c>
      <c r="D1356" s="13"/>
    </row>
    <row r="1357" spans="1:4" x14ac:dyDescent="0.3">
      <c r="A1357" s="13" t="s">
        <v>155</v>
      </c>
      <c r="B1357" s="14">
        <v>0.93811297308078212</v>
      </c>
      <c r="C1357" s="13" t="s">
        <v>43</v>
      </c>
      <c r="D1357" s="13" t="s">
        <v>42</v>
      </c>
    </row>
    <row r="1358" spans="1:4" x14ac:dyDescent="0.3">
      <c r="A1358" s="13" t="s">
        <v>155</v>
      </c>
      <c r="B1358" s="14">
        <v>0.80030803493231506</v>
      </c>
      <c r="C1358" s="13" t="s">
        <v>71</v>
      </c>
      <c r="D1358" s="13" t="s">
        <v>42</v>
      </c>
    </row>
    <row r="1359" spans="1:4" x14ac:dyDescent="0.3">
      <c r="A1359" s="13" t="s">
        <v>155</v>
      </c>
      <c r="B1359" s="14">
        <v>0.9329894906372892</v>
      </c>
      <c r="C1359" s="13" t="s">
        <v>72</v>
      </c>
      <c r="D1359" s="13" t="s">
        <v>36</v>
      </c>
    </row>
    <row r="1360" spans="1:4" x14ac:dyDescent="0.3">
      <c r="A1360" s="13" t="s">
        <v>155</v>
      </c>
      <c r="B1360" s="14">
        <v>0.88593126088943508</v>
      </c>
      <c r="C1360" s="13" t="s">
        <v>73</v>
      </c>
      <c r="D1360" s="13" t="s">
        <v>33</v>
      </c>
    </row>
    <row r="1361" spans="1:4" x14ac:dyDescent="0.3">
      <c r="A1361" s="13" t="s">
        <v>155</v>
      </c>
      <c r="B1361" s="14">
        <v>0.90266530124242816</v>
      </c>
      <c r="C1361" s="13" t="s">
        <v>74</v>
      </c>
      <c r="D1361" s="13"/>
    </row>
    <row r="1362" spans="1:4" x14ac:dyDescent="0.3">
      <c r="A1362" s="13" t="s">
        <v>155</v>
      </c>
      <c r="B1362" s="14">
        <v>0.82989178568089772</v>
      </c>
      <c r="C1362" s="13" t="s">
        <v>74</v>
      </c>
      <c r="D1362" s="13" t="s">
        <v>41</v>
      </c>
    </row>
    <row r="1363" spans="1:4" x14ac:dyDescent="0.3">
      <c r="A1363" s="13" t="s">
        <v>155</v>
      </c>
      <c r="B1363" s="14">
        <v>0.95386596606433538</v>
      </c>
      <c r="C1363" s="13" t="s">
        <v>75</v>
      </c>
      <c r="D1363" s="13" t="s">
        <v>0</v>
      </c>
    </row>
    <row r="1364" spans="1:4" x14ac:dyDescent="0.3">
      <c r="A1364" s="13" t="s">
        <v>155</v>
      </c>
      <c r="B1364" s="14">
        <v>0.94713372809841956</v>
      </c>
      <c r="C1364" s="13" t="s">
        <v>75</v>
      </c>
      <c r="D1364" s="13" t="s">
        <v>33</v>
      </c>
    </row>
    <row r="1365" spans="1:4" x14ac:dyDescent="0.3">
      <c r="A1365" s="13" t="s">
        <v>155</v>
      </c>
      <c r="B1365" s="14">
        <v>0.93529321848073232</v>
      </c>
      <c r="C1365" s="13" t="s">
        <v>75</v>
      </c>
      <c r="D1365" s="13" t="s">
        <v>29</v>
      </c>
    </row>
    <row r="1366" spans="1:4" x14ac:dyDescent="0.3">
      <c r="A1366" s="13" t="s">
        <v>155</v>
      </c>
      <c r="B1366" s="14">
        <v>0.71284942962661102</v>
      </c>
      <c r="C1366" s="13" t="s">
        <v>76</v>
      </c>
      <c r="D1366" s="13" t="s">
        <v>0</v>
      </c>
    </row>
    <row r="1367" spans="1:4" x14ac:dyDescent="0.3">
      <c r="A1367" s="13" t="s">
        <v>155</v>
      </c>
      <c r="B1367" s="14">
        <v>0.51520957540301793</v>
      </c>
      <c r="C1367" s="13" t="s">
        <v>77</v>
      </c>
      <c r="D1367" s="13"/>
    </row>
    <row r="1368" spans="1:4" x14ac:dyDescent="0.3">
      <c r="A1368" s="13" t="s">
        <v>155</v>
      </c>
      <c r="B1368" s="14">
        <v>0.38293321094931121</v>
      </c>
      <c r="C1368" s="13" t="s">
        <v>77</v>
      </c>
      <c r="D1368" s="13" t="s">
        <v>29</v>
      </c>
    </row>
    <row r="1369" spans="1:4" x14ac:dyDescent="0.3">
      <c r="A1369" s="13" t="s">
        <v>155</v>
      </c>
      <c r="B1369" s="14">
        <v>0.98483265986018842</v>
      </c>
      <c r="C1369" s="13" t="s">
        <v>78</v>
      </c>
      <c r="D1369" s="13" t="s">
        <v>33</v>
      </c>
    </row>
    <row r="1370" spans="1:4" x14ac:dyDescent="0.3">
      <c r="A1370" s="13" t="s">
        <v>155</v>
      </c>
      <c r="B1370" s="14">
        <v>0.99516851108759008</v>
      </c>
      <c r="C1370" s="13" t="s">
        <v>78</v>
      </c>
      <c r="D1370" s="13" t="s">
        <v>29</v>
      </c>
    </row>
    <row r="1371" spans="1:4" x14ac:dyDescent="0.3">
      <c r="A1371" s="13" t="s">
        <v>155</v>
      </c>
      <c r="B1371" s="14">
        <v>0.85969566180528112</v>
      </c>
      <c r="C1371" s="13" t="s">
        <v>79</v>
      </c>
      <c r="D1371" s="13" t="s">
        <v>33</v>
      </c>
    </row>
    <row r="1372" spans="1:4" x14ac:dyDescent="0.3">
      <c r="A1372" s="13" t="s">
        <v>155</v>
      </c>
      <c r="B1372" s="14">
        <v>0.96602398058092609</v>
      </c>
      <c r="C1372" s="13" t="s">
        <v>22</v>
      </c>
      <c r="D1372" s="13" t="s">
        <v>0</v>
      </c>
    </row>
    <row r="1373" spans="1:4" x14ac:dyDescent="0.3">
      <c r="A1373" s="13" t="s">
        <v>155</v>
      </c>
      <c r="B1373" s="14">
        <v>0.96017007442331426</v>
      </c>
      <c r="C1373" s="13" t="s">
        <v>22</v>
      </c>
      <c r="D1373" s="13" t="s">
        <v>41</v>
      </c>
    </row>
    <row r="1374" spans="1:4" x14ac:dyDescent="0.3">
      <c r="A1374" s="13" t="s">
        <v>155</v>
      </c>
      <c r="B1374" s="14">
        <v>0.54556338030155593</v>
      </c>
      <c r="C1374" s="13" t="s">
        <v>80</v>
      </c>
      <c r="D1374" s="13" t="s">
        <v>29</v>
      </c>
    </row>
    <row r="1375" spans="1:4" x14ac:dyDescent="0.3">
      <c r="A1375" s="13" t="s">
        <v>155</v>
      </c>
      <c r="B1375" s="14">
        <v>0.32385436944303347</v>
      </c>
      <c r="C1375" s="13" t="s">
        <v>81</v>
      </c>
      <c r="D1375" s="13" t="s">
        <v>33</v>
      </c>
    </row>
    <row r="1376" spans="1:4" x14ac:dyDescent="0.3">
      <c r="A1376" s="13" t="s">
        <v>155</v>
      </c>
      <c r="B1376" s="14">
        <v>0.97349430853273045</v>
      </c>
      <c r="C1376" s="13" t="s">
        <v>82</v>
      </c>
      <c r="D1376" s="13" t="s">
        <v>33</v>
      </c>
    </row>
    <row r="1377" spans="1:4" x14ac:dyDescent="0.3">
      <c r="A1377" s="13" t="s">
        <v>155</v>
      </c>
      <c r="B1377" s="14">
        <v>0.97184376731378863</v>
      </c>
      <c r="C1377" s="13" t="s">
        <v>82</v>
      </c>
      <c r="D1377" s="13" t="s">
        <v>29</v>
      </c>
    </row>
    <row r="1378" spans="1:4" x14ac:dyDescent="0.3">
      <c r="A1378" s="13" t="s">
        <v>155</v>
      </c>
      <c r="B1378" s="14">
        <v>0.97713954075521536</v>
      </c>
      <c r="C1378" s="13" t="s">
        <v>82</v>
      </c>
      <c r="D1378" s="13" t="s">
        <v>41</v>
      </c>
    </row>
    <row r="1379" spans="1:4" x14ac:dyDescent="0.3">
      <c r="A1379" s="13" t="s">
        <v>155</v>
      </c>
      <c r="B1379" s="14">
        <v>0.82458087453931594</v>
      </c>
      <c r="C1379" s="13" t="s">
        <v>83</v>
      </c>
      <c r="D1379" s="13" t="s">
        <v>0</v>
      </c>
    </row>
    <row r="1380" spans="1:4" x14ac:dyDescent="0.3">
      <c r="A1380" s="13" t="s">
        <v>155</v>
      </c>
      <c r="B1380" s="14">
        <v>0.78980623263839167</v>
      </c>
      <c r="C1380" s="13" t="s">
        <v>83</v>
      </c>
      <c r="D1380" s="13" t="s">
        <v>33</v>
      </c>
    </row>
    <row r="1381" spans="1:4" x14ac:dyDescent="0.3">
      <c r="A1381" s="13" t="s">
        <v>155</v>
      </c>
      <c r="B1381" s="14">
        <v>0.77798823524967375</v>
      </c>
      <c r="C1381" s="13" t="s">
        <v>83</v>
      </c>
      <c r="D1381" s="13" t="s">
        <v>41</v>
      </c>
    </row>
    <row r="1382" spans="1:4" x14ac:dyDescent="0.3">
      <c r="A1382" s="13" t="s">
        <v>155</v>
      </c>
      <c r="B1382" s="14">
        <v>0.6787316508036052</v>
      </c>
      <c r="C1382" s="13" t="s">
        <v>84</v>
      </c>
      <c r="D1382" s="13"/>
    </row>
    <row r="1383" spans="1:4" x14ac:dyDescent="0.3">
      <c r="A1383" s="13" t="s">
        <v>155</v>
      </c>
      <c r="B1383" s="14">
        <v>0.87654717139589111</v>
      </c>
      <c r="C1383" s="13" t="s">
        <v>84</v>
      </c>
      <c r="D1383" s="13" t="s">
        <v>42</v>
      </c>
    </row>
    <row r="1384" spans="1:4" x14ac:dyDescent="0.3">
      <c r="A1384" s="13" t="s">
        <v>155</v>
      </c>
      <c r="B1384" s="14">
        <v>0.83754469204897464</v>
      </c>
      <c r="C1384" s="13" t="s">
        <v>85</v>
      </c>
      <c r="D1384" s="13" t="s">
        <v>33</v>
      </c>
    </row>
    <row r="1385" spans="1:4" x14ac:dyDescent="0.3">
      <c r="A1385" s="13" t="s">
        <v>155</v>
      </c>
      <c r="B1385" s="14">
        <v>0.83656443619647225</v>
      </c>
      <c r="C1385" s="13" t="s">
        <v>85</v>
      </c>
      <c r="D1385" s="13" t="s">
        <v>41</v>
      </c>
    </row>
    <row r="1386" spans="1:4" x14ac:dyDescent="0.3">
      <c r="A1386" s="13" t="s">
        <v>155</v>
      </c>
      <c r="B1386" s="14">
        <v>0.9945645924442934</v>
      </c>
      <c r="C1386" s="13" t="s">
        <v>86</v>
      </c>
      <c r="D1386" s="13" t="s">
        <v>29</v>
      </c>
    </row>
    <row r="1387" spans="1:4" x14ac:dyDescent="0.3">
      <c r="A1387" s="13" t="s">
        <v>155</v>
      </c>
      <c r="B1387" s="14">
        <v>0.68165811771560514</v>
      </c>
      <c r="C1387" s="13" t="s">
        <v>87</v>
      </c>
      <c r="D1387" s="13" t="s">
        <v>0</v>
      </c>
    </row>
    <row r="1388" spans="1:4" x14ac:dyDescent="0.3">
      <c r="A1388" s="13" t="s">
        <v>155</v>
      </c>
      <c r="B1388" s="14">
        <v>0.46447656604832982</v>
      </c>
      <c r="C1388" s="13" t="s">
        <v>87</v>
      </c>
      <c r="D1388" s="13" t="s">
        <v>29</v>
      </c>
    </row>
    <row r="1389" spans="1:4" x14ac:dyDescent="0.3">
      <c r="A1389" s="13" t="s">
        <v>155</v>
      </c>
      <c r="B1389" s="14">
        <v>0.78726080657083586</v>
      </c>
      <c r="C1389" s="13" t="s">
        <v>87</v>
      </c>
      <c r="D1389" s="13" t="s">
        <v>36</v>
      </c>
    </row>
    <row r="1390" spans="1:4" x14ac:dyDescent="0.3">
      <c r="A1390" s="13" t="s">
        <v>155</v>
      </c>
      <c r="B1390" s="14">
        <v>0.85746131872805564</v>
      </c>
      <c r="C1390" s="13" t="s">
        <v>88</v>
      </c>
      <c r="D1390" s="13" t="s">
        <v>29</v>
      </c>
    </row>
    <row r="1391" spans="1:4" x14ac:dyDescent="0.3">
      <c r="A1391" s="13" t="s">
        <v>155</v>
      </c>
      <c r="B1391" s="14">
        <v>0.84914866360971686</v>
      </c>
      <c r="C1391" s="13" t="s">
        <v>89</v>
      </c>
      <c r="D1391" s="13"/>
    </row>
    <row r="1392" spans="1:4" x14ac:dyDescent="0.3">
      <c r="A1392" s="13" t="s">
        <v>155</v>
      </c>
      <c r="B1392" s="14">
        <v>0.90198308657360249</v>
      </c>
      <c r="C1392" s="13" t="s">
        <v>89</v>
      </c>
      <c r="D1392" s="13" t="s">
        <v>42</v>
      </c>
    </row>
    <row r="1393" spans="1:4" x14ac:dyDescent="0.3">
      <c r="A1393" s="13" t="s">
        <v>155</v>
      </c>
      <c r="B1393" s="14">
        <v>0.83570108433111323</v>
      </c>
      <c r="C1393" s="13" t="s">
        <v>89</v>
      </c>
      <c r="D1393" s="13" t="s">
        <v>33</v>
      </c>
    </row>
    <row r="1394" spans="1:4" x14ac:dyDescent="0.3">
      <c r="A1394" s="13" t="s">
        <v>155</v>
      </c>
      <c r="B1394" s="14">
        <v>0.75220071946233569</v>
      </c>
      <c r="C1394" s="13" t="s">
        <v>89</v>
      </c>
      <c r="D1394" s="13" t="s">
        <v>36</v>
      </c>
    </row>
    <row r="1395" spans="1:4" x14ac:dyDescent="0.3">
      <c r="A1395" s="13" t="s">
        <v>155</v>
      </c>
      <c r="B1395" s="14">
        <v>0.55072333431308462</v>
      </c>
      <c r="C1395" s="13" t="s">
        <v>89</v>
      </c>
      <c r="D1395" s="13" t="s">
        <v>41</v>
      </c>
    </row>
    <row r="1396" spans="1:4" x14ac:dyDescent="0.3">
      <c r="A1396" s="13" t="s">
        <v>155</v>
      </c>
      <c r="B1396" s="14">
        <v>0.59564051217785885</v>
      </c>
      <c r="C1396" s="13" t="s">
        <v>90</v>
      </c>
      <c r="D1396" s="13" t="s">
        <v>0</v>
      </c>
    </row>
    <row r="1397" spans="1:4" x14ac:dyDescent="0.3">
      <c r="A1397" s="13" t="s">
        <v>155</v>
      </c>
      <c r="B1397" s="14">
        <v>0.84572346447535096</v>
      </c>
      <c r="C1397" s="13" t="s">
        <v>90</v>
      </c>
      <c r="D1397" s="13" t="s">
        <v>33</v>
      </c>
    </row>
    <row r="1398" spans="1:4" x14ac:dyDescent="0.3">
      <c r="A1398" s="13" t="s">
        <v>155</v>
      </c>
      <c r="B1398" s="14">
        <v>0.75039846044974756</v>
      </c>
      <c r="C1398" s="13" t="s">
        <v>90</v>
      </c>
      <c r="D1398" s="13" t="s">
        <v>29</v>
      </c>
    </row>
    <row r="1399" spans="1:4" x14ac:dyDescent="0.3">
      <c r="A1399" s="13" t="s">
        <v>155</v>
      </c>
      <c r="B1399" s="14">
        <v>0.67960807600154649</v>
      </c>
      <c r="C1399" s="13" t="s">
        <v>90</v>
      </c>
      <c r="D1399" s="13" t="s">
        <v>36</v>
      </c>
    </row>
    <row r="1400" spans="1:4" x14ac:dyDescent="0.3">
      <c r="A1400" s="13" t="s">
        <v>155</v>
      </c>
      <c r="B1400" s="14">
        <v>0.81410194041884065</v>
      </c>
      <c r="C1400" s="13" t="s">
        <v>90</v>
      </c>
      <c r="D1400" s="13" t="s">
        <v>41</v>
      </c>
    </row>
    <row r="1401" spans="1:4" x14ac:dyDescent="0.3">
      <c r="A1401" s="13" t="s">
        <v>155</v>
      </c>
      <c r="B1401" s="14">
        <v>0.95321555589208007</v>
      </c>
      <c r="C1401" s="13" t="s">
        <v>91</v>
      </c>
      <c r="D1401" s="13" t="s">
        <v>29</v>
      </c>
    </row>
    <row r="1402" spans="1:4" x14ac:dyDescent="0.3">
      <c r="A1402" s="13" t="s">
        <v>155</v>
      </c>
      <c r="B1402" s="14">
        <v>0.8558124769896579</v>
      </c>
      <c r="C1402" s="13" t="s">
        <v>92</v>
      </c>
      <c r="D1402" s="13" t="s">
        <v>42</v>
      </c>
    </row>
    <row r="1403" spans="1:4" x14ac:dyDescent="0.3">
      <c r="A1403" s="13" t="s">
        <v>155</v>
      </c>
      <c r="B1403" s="14">
        <v>0.81536789611172511</v>
      </c>
      <c r="C1403" s="13" t="s">
        <v>93</v>
      </c>
      <c r="D1403" s="13" t="s">
        <v>33</v>
      </c>
    </row>
    <row r="1404" spans="1:4" x14ac:dyDescent="0.3">
      <c r="A1404" s="13" t="s">
        <v>155</v>
      </c>
      <c r="B1404" s="14">
        <v>0.81958079752350321</v>
      </c>
      <c r="C1404" s="13" t="s">
        <v>94</v>
      </c>
      <c r="D1404" s="13" t="s">
        <v>42</v>
      </c>
    </row>
    <row r="1405" spans="1:4" x14ac:dyDescent="0.3">
      <c r="A1405" s="13" t="s">
        <v>155</v>
      </c>
      <c r="B1405" s="14">
        <v>0.99426866200277264</v>
      </c>
      <c r="C1405" s="13" t="s">
        <v>95</v>
      </c>
      <c r="D1405" s="13" t="s">
        <v>41</v>
      </c>
    </row>
    <row r="1406" spans="1:4" x14ac:dyDescent="0.3">
      <c r="A1406" s="13" t="s">
        <v>155</v>
      </c>
      <c r="B1406" s="14">
        <v>0.86426513132067395</v>
      </c>
      <c r="C1406" s="13" t="s">
        <v>96</v>
      </c>
      <c r="D1406" s="13" t="s">
        <v>33</v>
      </c>
    </row>
    <row r="1407" spans="1:4" x14ac:dyDescent="0.3">
      <c r="A1407" s="13" t="s">
        <v>155</v>
      </c>
      <c r="B1407" s="14">
        <v>0.63563514884482386</v>
      </c>
      <c r="C1407" s="13" t="s">
        <v>97</v>
      </c>
      <c r="D1407" s="13" t="s">
        <v>41</v>
      </c>
    </row>
    <row r="1408" spans="1:4" x14ac:dyDescent="0.3">
      <c r="A1408" s="13" t="s">
        <v>155</v>
      </c>
      <c r="B1408" s="14">
        <v>0.95352335512322473</v>
      </c>
      <c r="C1408" s="13" t="s">
        <v>23</v>
      </c>
      <c r="D1408" s="13" t="s">
        <v>0</v>
      </c>
    </row>
    <row r="1409" spans="1:4" x14ac:dyDescent="0.3">
      <c r="A1409" s="13" t="s">
        <v>155</v>
      </c>
      <c r="B1409" s="14">
        <v>0.98446655237470349</v>
      </c>
      <c r="C1409" s="13" t="s">
        <v>38</v>
      </c>
      <c r="D1409" s="13" t="s">
        <v>42</v>
      </c>
    </row>
    <row r="1410" spans="1:4" x14ac:dyDescent="0.3">
      <c r="A1410" s="13" t="s">
        <v>155</v>
      </c>
      <c r="B1410" s="14">
        <v>0.9907134340847451</v>
      </c>
      <c r="C1410" s="13" t="s">
        <v>38</v>
      </c>
      <c r="D1410" s="13" t="s">
        <v>36</v>
      </c>
    </row>
    <row r="1411" spans="1:4" x14ac:dyDescent="0.3">
      <c r="A1411" s="13" t="s">
        <v>155</v>
      </c>
      <c r="B1411" s="14">
        <v>0.82566766567731842</v>
      </c>
      <c r="C1411" s="13" t="s">
        <v>98</v>
      </c>
      <c r="D1411" s="13" t="s">
        <v>29</v>
      </c>
    </row>
    <row r="1412" spans="1:4" x14ac:dyDescent="0.3">
      <c r="A1412" s="13" t="s">
        <v>155</v>
      </c>
      <c r="B1412" s="14">
        <v>0.94758620349240519</v>
      </c>
      <c r="C1412" s="13" t="s">
        <v>99</v>
      </c>
      <c r="D1412" s="13" t="s">
        <v>42</v>
      </c>
    </row>
    <row r="1413" spans="1:4" x14ac:dyDescent="0.3">
      <c r="A1413" s="13" t="s">
        <v>155</v>
      </c>
      <c r="B1413" s="14">
        <v>0.80555659293384851</v>
      </c>
      <c r="C1413" s="13" t="s">
        <v>100</v>
      </c>
      <c r="D1413" s="13" t="s">
        <v>42</v>
      </c>
    </row>
    <row r="1414" spans="1:4" x14ac:dyDescent="0.3">
      <c r="A1414" s="13" t="s">
        <v>155</v>
      </c>
      <c r="B1414" s="14">
        <v>0.44269823291753579</v>
      </c>
      <c r="C1414" s="13" t="s">
        <v>101</v>
      </c>
      <c r="D1414" s="13" t="s">
        <v>36</v>
      </c>
    </row>
    <row r="1415" spans="1:4" x14ac:dyDescent="0.3">
      <c r="A1415" s="13" t="s">
        <v>155</v>
      </c>
      <c r="B1415" s="14">
        <v>0.96162755419726609</v>
      </c>
      <c r="C1415" s="13" t="s">
        <v>102</v>
      </c>
      <c r="D1415" s="13" t="s">
        <v>0</v>
      </c>
    </row>
    <row r="1416" spans="1:4" x14ac:dyDescent="0.3">
      <c r="A1416" s="13" t="s">
        <v>155</v>
      </c>
      <c r="B1416" s="14">
        <v>0.93287574047903987</v>
      </c>
      <c r="C1416" s="13" t="s">
        <v>102</v>
      </c>
      <c r="D1416" s="13" t="s">
        <v>42</v>
      </c>
    </row>
    <row r="1417" spans="1:4" x14ac:dyDescent="0.3">
      <c r="A1417" s="13" t="s">
        <v>155</v>
      </c>
      <c r="B1417" s="14">
        <v>0.96232129608084327</v>
      </c>
      <c r="C1417" s="13" t="s">
        <v>102</v>
      </c>
      <c r="D1417" s="13" t="s">
        <v>33</v>
      </c>
    </row>
    <row r="1418" spans="1:4" x14ac:dyDescent="0.3">
      <c r="A1418" s="13" t="s">
        <v>155</v>
      </c>
      <c r="B1418" s="14">
        <v>0.95701169011062237</v>
      </c>
      <c r="C1418" s="13" t="s">
        <v>102</v>
      </c>
      <c r="D1418" s="13" t="s">
        <v>29</v>
      </c>
    </row>
    <row r="1419" spans="1:4" x14ac:dyDescent="0.3">
      <c r="A1419" s="13" t="s">
        <v>155</v>
      </c>
      <c r="B1419" s="14">
        <v>0.95139948992729062</v>
      </c>
      <c r="C1419" s="13" t="s">
        <v>102</v>
      </c>
      <c r="D1419" s="13" t="s">
        <v>36</v>
      </c>
    </row>
    <row r="1420" spans="1:4" x14ac:dyDescent="0.3">
      <c r="A1420" s="13" t="s">
        <v>155</v>
      </c>
      <c r="B1420" s="14">
        <v>0.95731755938165886</v>
      </c>
      <c r="C1420" s="13" t="s">
        <v>102</v>
      </c>
      <c r="D1420" s="13" t="s">
        <v>41</v>
      </c>
    </row>
    <row r="1421" spans="1:4" x14ac:dyDescent="0.3">
      <c r="A1421" s="13" t="s">
        <v>155</v>
      </c>
      <c r="B1421" s="14">
        <v>0.90896269634307725</v>
      </c>
      <c r="C1421" s="13" t="s">
        <v>103</v>
      </c>
      <c r="D1421" s="13" t="s">
        <v>0</v>
      </c>
    </row>
    <row r="1422" spans="1:4" x14ac:dyDescent="0.3">
      <c r="A1422" s="13" t="s">
        <v>155</v>
      </c>
      <c r="B1422" s="14">
        <v>0.93507140285648671</v>
      </c>
      <c r="C1422" s="13" t="s">
        <v>103</v>
      </c>
      <c r="D1422" s="13" t="s">
        <v>33</v>
      </c>
    </row>
    <row r="1423" spans="1:4" x14ac:dyDescent="0.3">
      <c r="A1423" s="13" t="s">
        <v>155</v>
      </c>
      <c r="B1423" s="14">
        <v>0.88177736341713597</v>
      </c>
      <c r="C1423" s="13" t="s">
        <v>103</v>
      </c>
      <c r="D1423" s="13" t="s">
        <v>29</v>
      </c>
    </row>
    <row r="1424" spans="1:4" x14ac:dyDescent="0.3">
      <c r="A1424" s="13" t="s">
        <v>155</v>
      </c>
      <c r="B1424" s="14">
        <v>0.90994803507251676</v>
      </c>
      <c r="C1424" s="13" t="s">
        <v>103</v>
      </c>
      <c r="D1424" s="13" t="s">
        <v>36</v>
      </c>
    </row>
    <row r="1425" spans="1:4" x14ac:dyDescent="0.3">
      <c r="A1425" s="13" t="s">
        <v>155</v>
      </c>
      <c r="B1425" s="14">
        <v>0.85941680337550919</v>
      </c>
      <c r="C1425" s="13" t="s">
        <v>103</v>
      </c>
      <c r="D1425" s="13" t="s">
        <v>41</v>
      </c>
    </row>
    <row r="1426" spans="1:4" x14ac:dyDescent="0.3">
      <c r="A1426" s="13" t="s">
        <v>155</v>
      </c>
      <c r="B1426" s="14">
        <v>0.6763091658226128</v>
      </c>
      <c r="C1426" s="13" t="s">
        <v>104</v>
      </c>
      <c r="D1426" s="13" t="s">
        <v>41</v>
      </c>
    </row>
    <row r="1427" spans="1:4" x14ac:dyDescent="0.3">
      <c r="A1427" s="13" t="s">
        <v>155</v>
      </c>
      <c r="B1427" s="14">
        <v>0.88670358579984976</v>
      </c>
      <c r="C1427" s="13" t="s">
        <v>105</v>
      </c>
      <c r="D1427" s="13" t="s">
        <v>33</v>
      </c>
    </row>
    <row r="1428" spans="1:4" x14ac:dyDescent="0.3">
      <c r="A1428" s="13" t="s">
        <v>155</v>
      </c>
      <c r="B1428" s="14">
        <v>0.89414935966189668</v>
      </c>
      <c r="C1428" s="13" t="s">
        <v>105</v>
      </c>
      <c r="D1428" s="13" t="s">
        <v>29</v>
      </c>
    </row>
    <row r="1429" spans="1:4" x14ac:dyDescent="0.3">
      <c r="A1429" s="13" t="s">
        <v>155</v>
      </c>
      <c r="B1429" s="14">
        <v>0.93090161510612057</v>
      </c>
      <c r="C1429" s="13" t="s">
        <v>105</v>
      </c>
      <c r="D1429" s="13" t="s">
        <v>41</v>
      </c>
    </row>
    <row r="1430" spans="1:4" x14ac:dyDescent="0.3">
      <c r="A1430" s="13" t="s">
        <v>155</v>
      </c>
      <c r="B1430" s="14">
        <v>0.21615122340090059</v>
      </c>
      <c r="C1430" s="13" t="s">
        <v>106</v>
      </c>
      <c r="D1430" s="13" t="s">
        <v>0</v>
      </c>
    </row>
    <row r="1431" spans="1:4" x14ac:dyDescent="0.3">
      <c r="A1431" s="13" t="s">
        <v>155</v>
      </c>
      <c r="B1431" s="14">
        <v>0.95801887277707365</v>
      </c>
      <c r="C1431" s="13" t="s">
        <v>107</v>
      </c>
      <c r="D1431" s="13"/>
    </row>
    <row r="1432" spans="1:4" x14ac:dyDescent="0.3">
      <c r="A1432" s="13" t="s">
        <v>155</v>
      </c>
      <c r="B1432" s="14">
        <v>0.98044825567949445</v>
      </c>
      <c r="C1432" s="13" t="s">
        <v>107</v>
      </c>
      <c r="D1432" s="13" t="s">
        <v>41</v>
      </c>
    </row>
    <row r="1433" spans="1:4" x14ac:dyDescent="0.3">
      <c r="A1433" s="13" t="s">
        <v>155</v>
      </c>
      <c r="B1433" s="14">
        <v>0.89389253184375284</v>
      </c>
      <c r="C1433" s="13" t="s">
        <v>108</v>
      </c>
      <c r="D1433" s="13" t="s">
        <v>29</v>
      </c>
    </row>
    <row r="1434" spans="1:4" x14ac:dyDescent="0.3">
      <c r="A1434" s="13" t="s">
        <v>155</v>
      </c>
      <c r="B1434" s="14">
        <v>0.85253168586539818</v>
      </c>
      <c r="C1434" s="13" t="s">
        <v>24</v>
      </c>
      <c r="D1434" s="13"/>
    </row>
    <row r="1435" spans="1:4" x14ac:dyDescent="0.3">
      <c r="A1435" s="13" t="s">
        <v>155</v>
      </c>
      <c r="B1435" s="14">
        <v>0.64424380215639332</v>
      </c>
      <c r="C1435" s="13" t="s">
        <v>24</v>
      </c>
      <c r="D1435" s="13" t="s">
        <v>0</v>
      </c>
    </row>
    <row r="1436" spans="1:4" x14ac:dyDescent="0.3">
      <c r="A1436" s="13" t="s">
        <v>155</v>
      </c>
      <c r="B1436" s="14">
        <v>0.86739285348106054</v>
      </c>
      <c r="C1436" s="13" t="s">
        <v>24</v>
      </c>
      <c r="D1436" s="13" t="s">
        <v>42</v>
      </c>
    </row>
    <row r="1437" spans="1:4" x14ac:dyDescent="0.3">
      <c r="A1437" s="13" t="s">
        <v>155</v>
      </c>
      <c r="B1437" s="14">
        <v>0.70372983691190116</v>
      </c>
      <c r="C1437" s="13" t="s">
        <v>24</v>
      </c>
      <c r="D1437" s="13" t="s">
        <v>33</v>
      </c>
    </row>
    <row r="1438" spans="1:4" x14ac:dyDescent="0.3">
      <c r="A1438" s="13" t="s">
        <v>155</v>
      </c>
      <c r="B1438" s="14">
        <v>0.77454570981587711</v>
      </c>
      <c r="C1438" s="13" t="s">
        <v>24</v>
      </c>
      <c r="D1438" s="13" t="s">
        <v>29</v>
      </c>
    </row>
    <row r="1439" spans="1:4" x14ac:dyDescent="0.3">
      <c r="A1439" s="13" t="s">
        <v>155</v>
      </c>
      <c r="B1439" s="14">
        <v>0.86771876449434193</v>
      </c>
      <c r="C1439" s="13" t="s">
        <v>109</v>
      </c>
      <c r="D1439" s="13" t="s">
        <v>41</v>
      </c>
    </row>
    <row r="1440" spans="1:4" x14ac:dyDescent="0.3">
      <c r="A1440" s="13" t="s">
        <v>155</v>
      </c>
      <c r="B1440" s="14">
        <v>0.95060193294224182</v>
      </c>
      <c r="C1440" s="13" t="s">
        <v>110</v>
      </c>
      <c r="D1440" s="13" t="s">
        <v>0</v>
      </c>
    </row>
    <row r="1441" spans="1:4" x14ac:dyDescent="0.3">
      <c r="A1441" s="13" t="s">
        <v>155</v>
      </c>
      <c r="B1441" s="14">
        <v>0.93706766598496594</v>
      </c>
      <c r="C1441" s="13" t="s">
        <v>110</v>
      </c>
      <c r="D1441" s="13" t="s">
        <v>33</v>
      </c>
    </row>
    <row r="1442" spans="1:4" x14ac:dyDescent="0.3">
      <c r="A1442" s="13" t="s">
        <v>155</v>
      </c>
      <c r="B1442" s="14">
        <v>0.92789622441602804</v>
      </c>
      <c r="C1442" s="13" t="s">
        <v>110</v>
      </c>
      <c r="D1442" s="13" t="s">
        <v>29</v>
      </c>
    </row>
    <row r="1443" spans="1:4" x14ac:dyDescent="0.3">
      <c r="A1443" s="13" t="s">
        <v>155</v>
      </c>
      <c r="B1443" s="14">
        <v>0.91087568731089286</v>
      </c>
      <c r="C1443" s="13" t="s">
        <v>110</v>
      </c>
      <c r="D1443" s="13" t="s">
        <v>36</v>
      </c>
    </row>
    <row r="1444" spans="1:4" x14ac:dyDescent="0.3">
      <c r="A1444" s="13" t="s">
        <v>155</v>
      </c>
      <c r="B1444" s="14">
        <v>0.9533952811535118</v>
      </c>
      <c r="C1444" s="13" t="s">
        <v>110</v>
      </c>
      <c r="D1444" s="13" t="s">
        <v>41</v>
      </c>
    </row>
    <row r="1445" spans="1:4" x14ac:dyDescent="0.3">
      <c r="A1445" s="13" t="s">
        <v>155</v>
      </c>
      <c r="B1445" s="14">
        <v>0.94501773230544295</v>
      </c>
      <c r="C1445" s="13" t="s">
        <v>112</v>
      </c>
      <c r="D1445" s="13" t="s">
        <v>0</v>
      </c>
    </row>
    <row r="1446" spans="1:4" x14ac:dyDescent="0.3">
      <c r="A1446" s="13" t="s">
        <v>155</v>
      </c>
      <c r="B1446" s="14">
        <v>0.90525120290339567</v>
      </c>
      <c r="C1446" s="13" t="s">
        <v>112</v>
      </c>
      <c r="D1446" s="13" t="s">
        <v>42</v>
      </c>
    </row>
    <row r="1447" spans="1:4" x14ac:dyDescent="0.3">
      <c r="A1447" s="13" t="s">
        <v>155</v>
      </c>
      <c r="B1447" s="14">
        <v>0.94737786284848158</v>
      </c>
      <c r="C1447" s="13" t="s">
        <v>112</v>
      </c>
      <c r="D1447" s="13" t="s">
        <v>33</v>
      </c>
    </row>
    <row r="1448" spans="1:4" x14ac:dyDescent="0.3">
      <c r="A1448" s="13" t="s">
        <v>155</v>
      </c>
      <c r="B1448" s="14">
        <v>0.93235812704159482</v>
      </c>
      <c r="C1448" s="13" t="s">
        <v>112</v>
      </c>
      <c r="D1448" s="13" t="s">
        <v>29</v>
      </c>
    </row>
    <row r="1449" spans="1:4" x14ac:dyDescent="0.3">
      <c r="A1449" s="13" t="s">
        <v>155</v>
      </c>
      <c r="B1449" s="14">
        <v>0.93261317545887856</v>
      </c>
      <c r="C1449" s="13" t="s">
        <v>112</v>
      </c>
      <c r="D1449" s="13" t="s">
        <v>36</v>
      </c>
    </row>
    <row r="1450" spans="1:4" x14ac:dyDescent="0.3">
      <c r="A1450" s="13" t="s">
        <v>155</v>
      </c>
      <c r="B1450" s="14">
        <v>0.94013277683743013</v>
      </c>
      <c r="C1450" s="13" t="s">
        <v>112</v>
      </c>
      <c r="D1450" s="13" t="s">
        <v>41</v>
      </c>
    </row>
    <row r="1451" spans="1:4" x14ac:dyDescent="0.3">
      <c r="A1451" s="13" t="s">
        <v>155</v>
      </c>
      <c r="B1451" s="14">
        <v>0.96226774061636122</v>
      </c>
      <c r="C1451" s="13" t="s">
        <v>113</v>
      </c>
      <c r="D1451" s="13" t="s">
        <v>0</v>
      </c>
    </row>
    <row r="1452" spans="1:4" x14ac:dyDescent="0.3">
      <c r="A1452" s="13" t="s">
        <v>155</v>
      </c>
      <c r="B1452" s="14">
        <v>0.95457121323228489</v>
      </c>
      <c r="C1452" s="13" t="s">
        <v>113</v>
      </c>
      <c r="D1452" s="13" t="s">
        <v>33</v>
      </c>
    </row>
    <row r="1453" spans="1:4" x14ac:dyDescent="0.3">
      <c r="A1453" s="13" t="s">
        <v>155</v>
      </c>
      <c r="B1453" s="14">
        <v>0.94148884700586399</v>
      </c>
      <c r="C1453" s="13" t="s">
        <v>113</v>
      </c>
      <c r="D1453" s="13" t="s">
        <v>29</v>
      </c>
    </row>
    <row r="1454" spans="1:4" x14ac:dyDescent="0.3">
      <c r="A1454" s="13" t="s">
        <v>155</v>
      </c>
      <c r="B1454" s="14">
        <v>0.93945121644848362</v>
      </c>
      <c r="C1454" s="13" t="s">
        <v>113</v>
      </c>
      <c r="D1454" s="13" t="s">
        <v>36</v>
      </c>
    </row>
    <row r="1455" spans="1:4" x14ac:dyDescent="0.3">
      <c r="A1455" s="13" t="s">
        <v>155</v>
      </c>
      <c r="B1455" s="14">
        <v>0.952129822055369</v>
      </c>
      <c r="C1455" s="13" t="s">
        <v>113</v>
      </c>
      <c r="D1455" s="13" t="s">
        <v>41</v>
      </c>
    </row>
    <row r="1456" spans="1:4" x14ac:dyDescent="0.3">
      <c r="A1456" s="13" t="s">
        <v>155</v>
      </c>
      <c r="B1456" s="14">
        <v>0.85732674030562828</v>
      </c>
      <c r="C1456" s="13" t="s">
        <v>35</v>
      </c>
      <c r="D1456" s="13" t="s">
        <v>33</v>
      </c>
    </row>
    <row r="1457" spans="1:4" x14ac:dyDescent="0.3">
      <c r="A1457" s="13" t="s">
        <v>155</v>
      </c>
      <c r="B1457" s="14">
        <v>0.97381261189076018</v>
      </c>
      <c r="C1457" s="13" t="s">
        <v>31</v>
      </c>
      <c r="D1457" s="13" t="s">
        <v>33</v>
      </c>
    </row>
    <row r="1458" spans="1:4" x14ac:dyDescent="0.3">
      <c r="A1458" s="13" t="s">
        <v>155</v>
      </c>
      <c r="B1458" s="14">
        <v>0.9615032435899834</v>
      </c>
      <c r="C1458" s="13" t="s">
        <v>31</v>
      </c>
      <c r="D1458" s="13" t="s">
        <v>29</v>
      </c>
    </row>
    <row r="1459" spans="1:4" x14ac:dyDescent="0.3">
      <c r="A1459" s="13" t="s">
        <v>155</v>
      </c>
      <c r="B1459" s="14">
        <v>0.94661612168639053</v>
      </c>
      <c r="C1459" s="13" t="s">
        <v>114</v>
      </c>
      <c r="D1459" s="13" t="s">
        <v>29</v>
      </c>
    </row>
    <row r="1460" spans="1:4" x14ac:dyDescent="0.3">
      <c r="A1460" s="13" t="s">
        <v>155</v>
      </c>
      <c r="B1460" s="14">
        <v>0.96583443592391971</v>
      </c>
      <c r="C1460" s="13" t="s">
        <v>39</v>
      </c>
      <c r="D1460" s="13" t="s">
        <v>36</v>
      </c>
    </row>
    <row r="1461" spans="1:4" x14ac:dyDescent="0.3">
      <c r="A1461" s="13" t="s">
        <v>155</v>
      </c>
      <c r="B1461" s="14">
        <v>0.95736864045781578</v>
      </c>
      <c r="C1461" s="13" t="s">
        <v>115</v>
      </c>
      <c r="D1461" s="13" t="s">
        <v>0</v>
      </c>
    </row>
    <row r="1462" spans="1:4" x14ac:dyDescent="0.3">
      <c r="A1462" s="13" t="s">
        <v>155</v>
      </c>
      <c r="B1462" s="14">
        <v>0.99402812587506129</v>
      </c>
      <c r="C1462" s="13" t="s">
        <v>115</v>
      </c>
      <c r="D1462" s="13" t="s">
        <v>42</v>
      </c>
    </row>
    <row r="1463" spans="1:4" x14ac:dyDescent="0.3">
      <c r="A1463" s="13" t="s">
        <v>155</v>
      </c>
      <c r="B1463" s="14">
        <v>0.97568151261137559</v>
      </c>
      <c r="C1463" s="13" t="s">
        <v>115</v>
      </c>
      <c r="D1463" s="13" t="s">
        <v>33</v>
      </c>
    </row>
    <row r="1464" spans="1:4" x14ac:dyDescent="0.3">
      <c r="A1464" s="13" t="s">
        <v>155</v>
      </c>
      <c r="B1464" s="14">
        <v>0.97186747518933891</v>
      </c>
      <c r="C1464" s="13" t="s">
        <v>115</v>
      </c>
      <c r="D1464" s="13" t="s">
        <v>29</v>
      </c>
    </row>
    <row r="1465" spans="1:4" x14ac:dyDescent="0.3">
      <c r="A1465" s="13" t="s">
        <v>155</v>
      </c>
      <c r="B1465" s="14">
        <v>0.9623362991690857</v>
      </c>
      <c r="C1465" s="13" t="s">
        <v>115</v>
      </c>
      <c r="D1465" s="13" t="s">
        <v>36</v>
      </c>
    </row>
    <row r="1466" spans="1:4" x14ac:dyDescent="0.3">
      <c r="A1466" s="13" t="s">
        <v>155</v>
      </c>
      <c r="B1466" s="14">
        <v>0.95690392362215893</v>
      </c>
      <c r="C1466" s="13" t="s">
        <v>115</v>
      </c>
      <c r="D1466" s="13" t="s">
        <v>41</v>
      </c>
    </row>
    <row r="1467" spans="1:4" x14ac:dyDescent="0.3">
      <c r="A1467" s="13" t="s">
        <v>155</v>
      </c>
      <c r="B1467" s="14">
        <v>0.94488364924044199</v>
      </c>
      <c r="C1467" s="13" t="s">
        <v>25</v>
      </c>
      <c r="D1467" s="13"/>
    </row>
    <row r="1468" spans="1:4" x14ac:dyDescent="0.3">
      <c r="A1468" s="13" t="s">
        <v>155</v>
      </c>
      <c r="B1468" s="14">
        <v>0.96192072721742439</v>
      </c>
      <c r="C1468" s="13" t="s">
        <v>25</v>
      </c>
      <c r="D1468" s="13" t="s">
        <v>0</v>
      </c>
    </row>
    <row r="1469" spans="1:4" x14ac:dyDescent="0.3">
      <c r="A1469" s="13" t="s">
        <v>155</v>
      </c>
      <c r="B1469" s="14">
        <v>0.85733667236806388</v>
      </c>
      <c r="C1469" s="13" t="s">
        <v>116</v>
      </c>
      <c r="D1469" s="13" t="s">
        <v>0</v>
      </c>
    </row>
    <row r="1470" spans="1:4" x14ac:dyDescent="0.3">
      <c r="A1470" s="13" t="s">
        <v>155</v>
      </c>
      <c r="B1470" s="14">
        <v>0.98020282340682219</v>
      </c>
      <c r="C1470" s="13" t="s">
        <v>117</v>
      </c>
      <c r="D1470" s="13" t="s">
        <v>29</v>
      </c>
    </row>
    <row r="1471" spans="1:4" x14ac:dyDescent="0.3">
      <c r="A1471" s="13" t="s">
        <v>155</v>
      </c>
      <c r="B1471" s="14">
        <v>0.94385788056132203</v>
      </c>
      <c r="C1471" s="13" t="s">
        <v>26</v>
      </c>
      <c r="D1471" s="13" t="s">
        <v>0</v>
      </c>
    </row>
    <row r="1472" spans="1:4" x14ac:dyDescent="0.3">
      <c r="A1472" s="13" t="s">
        <v>155</v>
      </c>
      <c r="B1472" s="14">
        <v>0.90794733415352868</v>
      </c>
      <c r="C1472" s="13" t="s">
        <v>26</v>
      </c>
      <c r="D1472" s="13" t="s">
        <v>33</v>
      </c>
    </row>
    <row r="1473" spans="1:4" x14ac:dyDescent="0.3">
      <c r="A1473" s="13" t="s">
        <v>155</v>
      </c>
      <c r="B1473" s="14">
        <v>0.86009022586649253</v>
      </c>
      <c r="C1473" s="13" t="s">
        <v>26</v>
      </c>
      <c r="D1473" s="13" t="s">
        <v>29</v>
      </c>
    </row>
    <row r="1474" spans="1:4" x14ac:dyDescent="0.3">
      <c r="A1474" s="13" t="s">
        <v>155</v>
      </c>
      <c r="B1474" s="14">
        <v>0.95185663200520099</v>
      </c>
      <c r="C1474" s="13" t="s">
        <v>26</v>
      </c>
      <c r="D1474" s="13" t="s">
        <v>36</v>
      </c>
    </row>
    <row r="1475" spans="1:4" x14ac:dyDescent="0.3">
      <c r="A1475" s="13" t="s">
        <v>155</v>
      </c>
      <c r="B1475" s="14">
        <v>0.34231409235621812</v>
      </c>
      <c r="C1475" s="13" t="s">
        <v>118</v>
      </c>
      <c r="D1475" s="13" t="s">
        <v>29</v>
      </c>
    </row>
    <row r="1476" spans="1:4" x14ac:dyDescent="0.3">
      <c r="A1476" s="13" t="s">
        <v>155</v>
      </c>
      <c r="B1476" s="14">
        <v>0.72405428683655904</v>
      </c>
      <c r="C1476" s="13" t="s">
        <v>119</v>
      </c>
      <c r="D1476" s="13" t="s">
        <v>42</v>
      </c>
    </row>
    <row r="1477" spans="1:4" x14ac:dyDescent="0.3">
      <c r="A1477" s="13" t="s">
        <v>155</v>
      </c>
      <c r="B1477" s="14">
        <v>0.29625124467991831</v>
      </c>
      <c r="C1477" s="13" t="s">
        <v>156</v>
      </c>
      <c r="D1477" s="13" t="s">
        <v>29</v>
      </c>
    </row>
    <row r="1478" spans="1:4" x14ac:dyDescent="0.3">
      <c r="A1478" s="13" t="s">
        <v>155</v>
      </c>
      <c r="B1478" s="14">
        <v>0.93711137815863454</v>
      </c>
      <c r="C1478" s="13" t="s">
        <v>120</v>
      </c>
      <c r="D1478" s="13"/>
    </row>
    <row r="1479" spans="1:4" x14ac:dyDescent="0.3">
      <c r="A1479" s="13" t="s">
        <v>155</v>
      </c>
      <c r="B1479" s="14">
        <v>0.90584475708147805</v>
      </c>
      <c r="C1479" s="13" t="s">
        <v>121</v>
      </c>
      <c r="D1479" s="13"/>
    </row>
    <row r="1480" spans="1:4" x14ac:dyDescent="0.3">
      <c r="A1480" s="13" t="s">
        <v>155</v>
      </c>
      <c r="B1480" s="14">
        <v>0.82207479646226989</v>
      </c>
      <c r="C1480" s="13" t="s">
        <v>121</v>
      </c>
      <c r="D1480" s="13" t="s">
        <v>0</v>
      </c>
    </row>
    <row r="1481" spans="1:4" x14ac:dyDescent="0.3">
      <c r="A1481" s="13" t="s">
        <v>155</v>
      </c>
      <c r="B1481" s="14">
        <v>0.90106372640911925</v>
      </c>
      <c r="C1481" s="13" t="s">
        <v>122</v>
      </c>
      <c r="D1481" s="13" t="s">
        <v>42</v>
      </c>
    </row>
    <row r="1482" spans="1:4" x14ac:dyDescent="0.3">
      <c r="A1482" s="13" t="s">
        <v>155</v>
      </c>
      <c r="B1482" s="14">
        <v>0.55184615835813744</v>
      </c>
      <c r="C1482" s="13" t="s">
        <v>123</v>
      </c>
      <c r="D1482" s="13" t="s">
        <v>29</v>
      </c>
    </row>
    <row r="1483" spans="1:4" x14ac:dyDescent="0.3">
      <c r="A1483" s="13" t="s">
        <v>155</v>
      </c>
      <c r="B1483" s="14">
        <v>0.96953168991120964</v>
      </c>
      <c r="C1483" s="13" t="s">
        <v>124</v>
      </c>
      <c r="D1483" s="13" t="s">
        <v>0</v>
      </c>
    </row>
    <row r="1484" spans="1:4" x14ac:dyDescent="0.3">
      <c r="A1484" s="13" t="s">
        <v>155</v>
      </c>
      <c r="B1484" s="14">
        <v>0.93728064323348992</v>
      </c>
      <c r="C1484" s="13" t="s">
        <v>124</v>
      </c>
      <c r="D1484" s="13" t="s">
        <v>33</v>
      </c>
    </row>
    <row r="1485" spans="1:4" x14ac:dyDescent="0.3">
      <c r="A1485" s="13" t="s">
        <v>155</v>
      </c>
      <c r="B1485" s="14">
        <v>0.9608573557952711</v>
      </c>
      <c r="C1485" s="13" t="s">
        <v>124</v>
      </c>
      <c r="D1485" s="13" t="s">
        <v>29</v>
      </c>
    </row>
    <row r="1486" spans="1:4" x14ac:dyDescent="0.3">
      <c r="A1486" s="13" t="s">
        <v>155</v>
      </c>
      <c r="B1486" s="14">
        <v>0.81127238516588107</v>
      </c>
      <c r="C1486" s="13" t="s">
        <v>124</v>
      </c>
      <c r="D1486" s="13" t="s">
        <v>36</v>
      </c>
    </row>
    <row r="1487" spans="1:4" x14ac:dyDescent="0.3">
      <c r="A1487" s="13" t="s">
        <v>155</v>
      </c>
      <c r="B1487" s="14">
        <v>0.96670655082534018</v>
      </c>
      <c r="C1487" s="13" t="s">
        <v>124</v>
      </c>
      <c r="D1487" s="13" t="s">
        <v>41</v>
      </c>
    </row>
    <row r="1488" spans="1:4" x14ac:dyDescent="0.3">
      <c r="A1488" s="13" t="s">
        <v>155</v>
      </c>
      <c r="B1488" s="14">
        <v>0.40194175317119191</v>
      </c>
      <c r="C1488" s="13" t="s">
        <v>157</v>
      </c>
      <c r="D1488" s="13" t="s">
        <v>0</v>
      </c>
    </row>
    <row r="1489" spans="1:4" x14ac:dyDescent="0.3">
      <c r="A1489" s="13" t="s">
        <v>155</v>
      </c>
      <c r="B1489" s="14">
        <v>0.60944867624196875</v>
      </c>
      <c r="C1489" s="13" t="s">
        <v>125</v>
      </c>
      <c r="D1489" s="13" t="s">
        <v>41</v>
      </c>
    </row>
    <row r="1490" spans="1:4" x14ac:dyDescent="0.3">
      <c r="A1490" s="13" t="s">
        <v>155</v>
      </c>
      <c r="B1490" s="14">
        <v>0.99099416379559768</v>
      </c>
      <c r="C1490" s="13" t="s">
        <v>126</v>
      </c>
      <c r="D1490" s="13" t="s">
        <v>36</v>
      </c>
    </row>
    <row r="1491" spans="1:4" x14ac:dyDescent="0.3">
      <c r="A1491" s="13" t="s">
        <v>155</v>
      </c>
      <c r="B1491" s="14">
        <v>0.85313337713753323</v>
      </c>
      <c r="C1491" s="13" t="s">
        <v>127</v>
      </c>
      <c r="D1491" s="13" t="s">
        <v>41</v>
      </c>
    </row>
    <row r="1492" spans="1:4" x14ac:dyDescent="0.3">
      <c r="A1492" s="13" t="s">
        <v>155</v>
      </c>
      <c r="B1492" s="14">
        <v>0.95023933336399435</v>
      </c>
      <c r="C1492" s="13" t="s">
        <v>128</v>
      </c>
      <c r="D1492" s="13" t="s">
        <v>0</v>
      </c>
    </row>
    <row r="1493" spans="1:4" x14ac:dyDescent="0.3">
      <c r="A1493" s="13" t="s">
        <v>155</v>
      </c>
      <c r="B1493" s="14">
        <v>0.95321961862239002</v>
      </c>
      <c r="C1493" s="13" t="s">
        <v>128</v>
      </c>
      <c r="D1493" s="13" t="s">
        <v>33</v>
      </c>
    </row>
    <row r="1494" spans="1:4" x14ac:dyDescent="0.3">
      <c r="A1494" s="13" t="s">
        <v>155</v>
      </c>
      <c r="B1494" s="14">
        <v>0.93526475694252842</v>
      </c>
      <c r="C1494" s="13" t="s">
        <v>128</v>
      </c>
      <c r="D1494" s="13" t="s">
        <v>29</v>
      </c>
    </row>
    <row r="1495" spans="1:4" x14ac:dyDescent="0.3">
      <c r="A1495" s="13" t="s">
        <v>155</v>
      </c>
      <c r="B1495" s="14">
        <v>0.9445972204245624</v>
      </c>
      <c r="C1495" s="13" t="s">
        <v>128</v>
      </c>
      <c r="D1495" s="13" t="s">
        <v>41</v>
      </c>
    </row>
    <row r="1496" spans="1:4" x14ac:dyDescent="0.3">
      <c r="A1496" s="13" t="s">
        <v>155</v>
      </c>
      <c r="B1496" s="14">
        <v>0.94729959013463583</v>
      </c>
      <c r="C1496" s="13" t="s">
        <v>129</v>
      </c>
      <c r="D1496" s="13" t="s">
        <v>29</v>
      </c>
    </row>
    <row r="1497" spans="1:4" x14ac:dyDescent="0.3">
      <c r="A1497" s="13" t="s">
        <v>155</v>
      </c>
      <c r="B1497" s="14">
        <v>0.97949507133416192</v>
      </c>
      <c r="C1497" s="13" t="s">
        <v>27</v>
      </c>
      <c r="D1497" s="13" t="s">
        <v>0</v>
      </c>
    </row>
    <row r="1498" spans="1:4" x14ac:dyDescent="0.3">
      <c r="A1498" s="13" t="s">
        <v>155</v>
      </c>
      <c r="B1498" s="14">
        <v>1</v>
      </c>
      <c r="C1498" s="13" t="s">
        <v>27</v>
      </c>
      <c r="D1498" s="13" t="s">
        <v>33</v>
      </c>
    </row>
    <row r="1499" spans="1:4" x14ac:dyDescent="0.3">
      <c r="A1499" s="13" t="s">
        <v>155</v>
      </c>
      <c r="B1499" s="14">
        <v>0.98797137835418147</v>
      </c>
      <c r="C1499" s="13" t="s">
        <v>27</v>
      </c>
      <c r="D1499" s="13" t="s">
        <v>41</v>
      </c>
    </row>
    <row r="1500" spans="1:4" x14ac:dyDescent="0.3">
      <c r="A1500" s="13" t="s">
        <v>155</v>
      </c>
      <c r="B1500" s="14">
        <v>0.65803955920308554</v>
      </c>
      <c r="C1500" s="13" t="s">
        <v>130</v>
      </c>
      <c r="D1500" s="13" t="s">
        <v>41</v>
      </c>
    </row>
    <row r="1501" spans="1:4" x14ac:dyDescent="0.3">
      <c r="A1501" s="13" t="s">
        <v>155</v>
      </c>
      <c r="B1501" s="14">
        <v>0.969207128246383</v>
      </c>
      <c r="C1501" s="13" t="s">
        <v>131</v>
      </c>
      <c r="D1501" s="13" t="s">
        <v>0</v>
      </c>
    </row>
    <row r="1502" spans="1:4" x14ac:dyDescent="0.3">
      <c r="A1502" s="13" t="s">
        <v>155</v>
      </c>
      <c r="B1502" s="14">
        <v>0.95494864173169236</v>
      </c>
      <c r="C1502" s="13" t="s">
        <v>131</v>
      </c>
      <c r="D1502" s="13" t="s">
        <v>42</v>
      </c>
    </row>
    <row r="1503" spans="1:4" x14ac:dyDescent="0.3">
      <c r="A1503" s="13" t="s">
        <v>155</v>
      </c>
      <c r="B1503" s="14">
        <v>0.96443311058612968</v>
      </c>
      <c r="C1503" s="13" t="s">
        <v>131</v>
      </c>
      <c r="D1503" s="13" t="s">
        <v>33</v>
      </c>
    </row>
    <row r="1504" spans="1:4" x14ac:dyDescent="0.3">
      <c r="A1504" s="13" t="s">
        <v>155</v>
      </c>
      <c r="B1504" s="14">
        <v>0.95777479628104933</v>
      </c>
      <c r="C1504" s="13" t="s">
        <v>131</v>
      </c>
      <c r="D1504" s="13" t="s">
        <v>29</v>
      </c>
    </row>
    <row r="1505" spans="1:4" x14ac:dyDescent="0.3">
      <c r="A1505" s="13" t="s">
        <v>155</v>
      </c>
      <c r="B1505" s="14">
        <v>0.95117300197157006</v>
      </c>
      <c r="C1505" s="13" t="s">
        <v>131</v>
      </c>
      <c r="D1505" s="13" t="s">
        <v>36</v>
      </c>
    </row>
    <row r="1506" spans="1:4" x14ac:dyDescent="0.3">
      <c r="A1506" s="13" t="s">
        <v>155</v>
      </c>
      <c r="B1506" s="14">
        <v>0.97214722889465144</v>
      </c>
      <c r="C1506" s="13" t="s">
        <v>131</v>
      </c>
      <c r="D1506" s="13" t="s">
        <v>41</v>
      </c>
    </row>
    <row r="1507" spans="1:4" x14ac:dyDescent="0.3">
      <c r="A1507" s="13" t="s">
        <v>155</v>
      </c>
      <c r="B1507" s="14">
        <v>0.96203381935824683</v>
      </c>
      <c r="C1507" s="13" t="s">
        <v>44</v>
      </c>
      <c r="D1507" s="13" t="s">
        <v>42</v>
      </c>
    </row>
    <row r="1508" spans="1:4" x14ac:dyDescent="0.3">
      <c r="A1508" s="13" t="s">
        <v>155</v>
      </c>
      <c r="B1508" s="14">
        <v>0.93628785392172398</v>
      </c>
      <c r="C1508" s="13" t="s">
        <v>45</v>
      </c>
      <c r="D1508" s="13" t="s">
        <v>42</v>
      </c>
    </row>
    <row r="1509" spans="1:4" x14ac:dyDescent="0.3">
      <c r="A1509" s="13" t="s">
        <v>155</v>
      </c>
      <c r="B1509" s="14">
        <v>0.95055540809466854</v>
      </c>
      <c r="C1509" s="13" t="s">
        <v>46</v>
      </c>
      <c r="D1509" s="13" t="s">
        <v>42</v>
      </c>
    </row>
    <row r="1510" spans="1:4" x14ac:dyDescent="0.3">
      <c r="A1510" s="13" t="s">
        <v>155</v>
      </c>
      <c r="B1510" s="14">
        <v>0.90011610309013113</v>
      </c>
      <c r="C1510" s="13" t="s">
        <v>132</v>
      </c>
      <c r="D1510" s="13" t="s">
        <v>29</v>
      </c>
    </row>
    <row r="1511" spans="1:4" x14ac:dyDescent="0.3">
      <c r="A1511" s="13" t="s">
        <v>155</v>
      </c>
      <c r="B1511" s="14">
        <v>0.93265188249902187</v>
      </c>
      <c r="C1511" s="13" t="s">
        <v>133</v>
      </c>
      <c r="D1511" s="13"/>
    </row>
    <row r="1512" spans="1:4" x14ac:dyDescent="0.3">
      <c r="A1512" s="13" t="s">
        <v>155</v>
      </c>
      <c r="B1512" s="14">
        <v>0.77965488856293197</v>
      </c>
      <c r="C1512" s="13" t="s">
        <v>133</v>
      </c>
      <c r="D1512" s="13" t="s">
        <v>0</v>
      </c>
    </row>
    <row r="1513" spans="1:4" x14ac:dyDescent="0.3">
      <c r="A1513" s="13" t="s">
        <v>155</v>
      </c>
      <c r="B1513" s="14">
        <v>0.81940004651975218</v>
      </c>
      <c r="C1513" s="13" t="s">
        <v>134</v>
      </c>
      <c r="D1513" s="13" t="s">
        <v>36</v>
      </c>
    </row>
    <row r="1514" spans="1:4" x14ac:dyDescent="0.3">
      <c r="A1514" s="13" t="s">
        <v>155</v>
      </c>
      <c r="B1514" s="14">
        <v>0.77944533595308374</v>
      </c>
      <c r="C1514" s="13" t="s">
        <v>135</v>
      </c>
      <c r="D1514" s="13" t="s">
        <v>0</v>
      </c>
    </row>
    <row r="1515" spans="1:4" x14ac:dyDescent="0.3">
      <c r="A1515" s="13" t="s">
        <v>155</v>
      </c>
      <c r="B1515" s="14">
        <v>1</v>
      </c>
      <c r="C1515" s="13" t="s">
        <v>136</v>
      </c>
      <c r="D1515" s="13"/>
    </row>
    <row r="1516" spans="1:4" x14ac:dyDescent="0.3">
      <c r="A1516" s="13" t="s">
        <v>155</v>
      </c>
      <c r="B1516" s="14">
        <v>0.96297503734596035</v>
      </c>
      <c r="C1516" s="13" t="s">
        <v>136</v>
      </c>
      <c r="D1516" s="13" t="s">
        <v>42</v>
      </c>
    </row>
    <row r="1517" spans="1:4" x14ac:dyDescent="0.3">
      <c r="A1517" s="13" t="s">
        <v>155</v>
      </c>
      <c r="B1517" s="14">
        <v>0.79489252640439234</v>
      </c>
      <c r="C1517" s="13" t="s">
        <v>137</v>
      </c>
      <c r="D1517" s="13" t="s">
        <v>42</v>
      </c>
    </row>
    <row r="1518" spans="1:4" x14ac:dyDescent="0.3">
      <c r="A1518" s="13" t="s">
        <v>155</v>
      </c>
      <c r="B1518" s="14">
        <v>0.84876549219279951</v>
      </c>
      <c r="C1518" s="13" t="s">
        <v>138</v>
      </c>
      <c r="D1518" s="13" t="s">
        <v>0</v>
      </c>
    </row>
    <row r="1519" spans="1:4" x14ac:dyDescent="0.3">
      <c r="A1519" s="13" t="s">
        <v>155</v>
      </c>
      <c r="B1519" s="14">
        <v>0.87541392979621568</v>
      </c>
      <c r="C1519" s="13" t="s">
        <v>139</v>
      </c>
      <c r="D1519" s="13" t="s">
        <v>42</v>
      </c>
    </row>
    <row r="1520" spans="1:4" x14ac:dyDescent="0.3">
      <c r="A1520" s="13" t="s">
        <v>155</v>
      </c>
      <c r="B1520" s="14">
        <v>0.21436188970583731</v>
      </c>
      <c r="C1520" s="13" t="s">
        <v>140</v>
      </c>
      <c r="D1520" s="13" t="s">
        <v>36</v>
      </c>
    </row>
    <row r="1521" spans="1:4" x14ac:dyDescent="0.3">
      <c r="A1521" s="13" t="s">
        <v>155</v>
      </c>
      <c r="B1521" s="14">
        <v>0.85237951713736737</v>
      </c>
      <c r="C1521" s="13" t="s">
        <v>40</v>
      </c>
      <c r="D1521" s="13"/>
    </row>
    <row r="1522" spans="1:4" x14ac:dyDescent="0.3">
      <c r="A1522" s="13" t="s">
        <v>155</v>
      </c>
      <c r="B1522" s="14">
        <v>0.91364283829713733</v>
      </c>
      <c r="C1522" s="13" t="s">
        <v>40</v>
      </c>
      <c r="D1522" s="13" t="s">
        <v>42</v>
      </c>
    </row>
    <row r="1523" spans="1:4" x14ac:dyDescent="0.3">
      <c r="A1523" s="13" t="s">
        <v>155</v>
      </c>
      <c r="B1523" s="14">
        <v>0.94632360095972767</v>
      </c>
      <c r="C1523" s="13" t="s">
        <v>40</v>
      </c>
      <c r="D1523" s="13" t="s">
        <v>36</v>
      </c>
    </row>
    <row r="1524" spans="1:4" x14ac:dyDescent="0.3">
      <c r="A1524" s="13" t="s">
        <v>155</v>
      </c>
      <c r="B1524" s="14">
        <v>0.67686096040067911</v>
      </c>
      <c r="C1524" s="13" t="s">
        <v>141</v>
      </c>
      <c r="D1524" s="13" t="s">
        <v>29</v>
      </c>
    </row>
    <row r="1525" spans="1:4" x14ac:dyDescent="0.3">
      <c r="A1525" s="13" t="s">
        <v>155</v>
      </c>
      <c r="B1525" s="14">
        <v>0.48947340073073647</v>
      </c>
      <c r="C1525" s="13" t="s">
        <v>142</v>
      </c>
      <c r="D1525" s="13" t="s">
        <v>41</v>
      </c>
    </row>
    <row r="1526" spans="1:4" x14ac:dyDescent="0.3">
      <c r="A1526" s="13" t="s">
        <v>155</v>
      </c>
      <c r="B1526" s="14">
        <v>0.84460612450891392</v>
      </c>
      <c r="C1526" s="13" t="s">
        <v>143</v>
      </c>
      <c r="D1526" s="13" t="s">
        <v>42</v>
      </c>
    </row>
    <row r="1527" spans="1:4" x14ac:dyDescent="0.3">
      <c r="A1527" s="13" t="s">
        <v>155</v>
      </c>
      <c r="B1527" s="14">
        <v>0.96357154829645075</v>
      </c>
      <c r="C1527" s="13" t="s">
        <v>144</v>
      </c>
      <c r="D1527" s="13"/>
    </row>
    <row r="1528" spans="1:4" x14ac:dyDescent="0.3">
      <c r="A1528" s="13" t="s">
        <v>155</v>
      </c>
      <c r="B1528" s="14">
        <v>0.91119857636545076</v>
      </c>
      <c r="C1528" s="13" t="s">
        <v>144</v>
      </c>
      <c r="D1528" s="13" t="s">
        <v>42</v>
      </c>
    </row>
    <row r="1529" spans="1:4" x14ac:dyDescent="0.3">
      <c r="A1529" s="13" t="s">
        <v>155</v>
      </c>
      <c r="B1529" s="14">
        <v>0.97524991579074283</v>
      </c>
      <c r="C1529" s="13" t="s">
        <v>47</v>
      </c>
      <c r="D1529" s="13" t="s">
        <v>42</v>
      </c>
    </row>
    <row r="1530" spans="1:4" x14ac:dyDescent="0.3">
      <c r="A1530" s="13" t="s">
        <v>155</v>
      </c>
      <c r="B1530" s="14">
        <v>0.95848457184654046</v>
      </c>
      <c r="C1530" s="13" t="s">
        <v>145</v>
      </c>
      <c r="D1530" s="13" t="s">
        <v>0</v>
      </c>
    </row>
    <row r="1531" spans="1:4" x14ac:dyDescent="0.3">
      <c r="A1531" s="13" t="s">
        <v>155</v>
      </c>
      <c r="B1531" s="14">
        <v>0.83419982541249926</v>
      </c>
      <c r="C1531" s="13" t="s">
        <v>146</v>
      </c>
      <c r="D1531" s="13" t="s">
        <v>41</v>
      </c>
    </row>
    <row r="1532" spans="1:4" x14ac:dyDescent="0.3">
      <c r="A1532" s="13" t="s">
        <v>155</v>
      </c>
      <c r="B1532" s="14">
        <v>0.95971254606690237</v>
      </c>
      <c r="C1532" s="13" t="s">
        <v>32</v>
      </c>
      <c r="D1532" s="13" t="s">
        <v>33</v>
      </c>
    </row>
    <row r="1533" spans="1:4" x14ac:dyDescent="0.3">
      <c r="A1533" s="13" t="s">
        <v>155</v>
      </c>
      <c r="B1533" s="14">
        <v>0.95921308144232487</v>
      </c>
      <c r="C1533" s="13" t="s">
        <v>32</v>
      </c>
      <c r="D1533" s="13" t="s">
        <v>29</v>
      </c>
    </row>
    <row r="1534" spans="1:4" x14ac:dyDescent="0.3">
      <c r="A1534" s="13" t="s">
        <v>155</v>
      </c>
      <c r="B1534" s="14">
        <v>0.95802781037787321</v>
      </c>
      <c r="C1534" s="13" t="s">
        <v>32</v>
      </c>
      <c r="D1534" s="13" t="s">
        <v>36</v>
      </c>
    </row>
    <row r="1535" spans="1:4" x14ac:dyDescent="0.3">
      <c r="A1535" s="13" t="s">
        <v>158</v>
      </c>
      <c r="B1535" s="14">
        <v>0.79722764135672208</v>
      </c>
      <c r="C1535" s="13" t="s">
        <v>53</v>
      </c>
      <c r="D1535" s="13" t="s">
        <v>0</v>
      </c>
    </row>
    <row r="1536" spans="1:4" x14ac:dyDescent="0.3">
      <c r="A1536" s="13" t="s">
        <v>158</v>
      </c>
      <c r="B1536" s="14">
        <v>0.9452221897983929</v>
      </c>
      <c r="C1536" s="13" t="s">
        <v>54</v>
      </c>
      <c r="D1536" s="13" t="s">
        <v>29</v>
      </c>
    </row>
    <row r="1537" spans="1:4" x14ac:dyDescent="0.3">
      <c r="A1537" s="13" t="s">
        <v>158</v>
      </c>
      <c r="B1537" s="14">
        <v>0.91485770983565562</v>
      </c>
      <c r="C1537" s="13" t="s">
        <v>55</v>
      </c>
      <c r="D1537" s="13" t="s">
        <v>0</v>
      </c>
    </row>
    <row r="1538" spans="1:4" x14ac:dyDescent="0.3">
      <c r="A1538" s="13" t="s">
        <v>158</v>
      </c>
      <c r="B1538" s="14">
        <v>0.98094125262480103</v>
      </c>
      <c r="C1538" s="13" t="s">
        <v>55</v>
      </c>
      <c r="D1538" s="13" t="s">
        <v>33</v>
      </c>
    </row>
    <row r="1539" spans="1:4" x14ac:dyDescent="0.3">
      <c r="A1539" s="13" t="s">
        <v>158</v>
      </c>
      <c r="B1539" s="14">
        <v>0.88965074183411919</v>
      </c>
      <c r="C1539" s="13" t="s">
        <v>55</v>
      </c>
      <c r="D1539" s="13" t="s">
        <v>29</v>
      </c>
    </row>
    <row r="1540" spans="1:4" x14ac:dyDescent="0.3">
      <c r="A1540" s="13" t="s">
        <v>158</v>
      </c>
      <c r="B1540" s="14">
        <v>0.51011897360471015</v>
      </c>
      <c r="C1540" s="13" t="s">
        <v>56</v>
      </c>
      <c r="D1540" s="13" t="s">
        <v>29</v>
      </c>
    </row>
    <row r="1541" spans="1:4" x14ac:dyDescent="0.3">
      <c r="A1541" s="13" t="s">
        <v>158</v>
      </c>
      <c r="B1541" s="14">
        <v>0.16664571742586909</v>
      </c>
      <c r="C1541" s="13" t="s">
        <v>57</v>
      </c>
      <c r="D1541" s="13" t="s">
        <v>29</v>
      </c>
    </row>
    <row r="1542" spans="1:4" x14ac:dyDescent="0.3">
      <c r="A1542" s="13" t="s">
        <v>158</v>
      </c>
      <c r="B1542" s="14">
        <v>1</v>
      </c>
      <c r="C1542" s="13" t="s">
        <v>37</v>
      </c>
      <c r="D1542" s="13"/>
    </row>
    <row r="1543" spans="1:4" x14ac:dyDescent="0.3">
      <c r="A1543" s="13" t="s">
        <v>158</v>
      </c>
      <c r="B1543" s="14">
        <v>0.99222467938595094</v>
      </c>
      <c r="C1543" s="13" t="s">
        <v>37</v>
      </c>
      <c r="D1543" s="13" t="s">
        <v>42</v>
      </c>
    </row>
    <row r="1544" spans="1:4" x14ac:dyDescent="0.3">
      <c r="A1544" s="13" t="s">
        <v>158</v>
      </c>
      <c r="B1544" s="14">
        <v>0.97334597480407192</v>
      </c>
      <c r="C1544" s="13" t="s">
        <v>37</v>
      </c>
      <c r="D1544" s="13" t="s">
        <v>36</v>
      </c>
    </row>
    <row r="1545" spans="1:4" x14ac:dyDescent="0.3">
      <c r="A1545" s="13" t="s">
        <v>158</v>
      </c>
      <c r="B1545" s="14">
        <v>0.97664624230430008</v>
      </c>
      <c r="C1545" s="13" t="s">
        <v>30</v>
      </c>
      <c r="D1545" s="13" t="s">
        <v>42</v>
      </c>
    </row>
    <row r="1546" spans="1:4" x14ac:dyDescent="0.3">
      <c r="A1546" s="13" t="s">
        <v>158</v>
      </c>
      <c r="B1546" s="14">
        <v>0.93187931636017984</v>
      </c>
      <c r="C1546" s="13" t="s">
        <v>30</v>
      </c>
      <c r="D1546" s="13" t="s">
        <v>29</v>
      </c>
    </row>
    <row r="1547" spans="1:4" x14ac:dyDescent="0.3">
      <c r="A1547" s="13" t="s">
        <v>158</v>
      </c>
      <c r="B1547" s="14">
        <v>0.9559308490029943</v>
      </c>
      <c r="C1547" s="13" t="s">
        <v>30</v>
      </c>
      <c r="D1547" s="13" t="s">
        <v>36</v>
      </c>
    </row>
    <row r="1548" spans="1:4" x14ac:dyDescent="0.3">
      <c r="A1548" s="13" t="s">
        <v>158</v>
      </c>
      <c r="B1548" s="14">
        <v>0.88124155527674564</v>
      </c>
      <c r="C1548" s="13" t="s">
        <v>28</v>
      </c>
      <c r="D1548" s="13" t="s">
        <v>0</v>
      </c>
    </row>
    <row r="1549" spans="1:4" x14ac:dyDescent="0.3">
      <c r="A1549" s="13" t="s">
        <v>158</v>
      </c>
      <c r="B1549" s="14">
        <v>0.94094102210932851</v>
      </c>
      <c r="C1549" s="13" t="s">
        <v>28</v>
      </c>
      <c r="D1549" s="13" t="s">
        <v>33</v>
      </c>
    </row>
    <row r="1550" spans="1:4" x14ac:dyDescent="0.3">
      <c r="A1550" s="13" t="s">
        <v>158</v>
      </c>
      <c r="B1550" s="14">
        <v>0.84231228586594598</v>
      </c>
      <c r="C1550" s="13" t="s">
        <v>28</v>
      </c>
      <c r="D1550" s="13" t="s">
        <v>29</v>
      </c>
    </row>
    <row r="1551" spans="1:4" x14ac:dyDescent="0.3">
      <c r="A1551" s="13" t="s">
        <v>158</v>
      </c>
      <c r="B1551" s="14">
        <v>0.95979896834872713</v>
      </c>
      <c r="C1551" s="13" t="s">
        <v>34</v>
      </c>
      <c r="D1551" s="13" t="s">
        <v>33</v>
      </c>
    </row>
    <row r="1552" spans="1:4" x14ac:dyDescent="0.3">
      <c r="A1552" s="13" t="s">
        <v>158</v>
      </c>
      <c r="B1552" s="14">
        <v>0.94346936181862096</v>
      </c>
      <c r="C1552" s="13" t="s">
        <v>58</v>
      </c>
      <c r="D1552" s="13" t="s">
        <v>29</v>
      </c>
    </row>
    <row r="1553" spans="1:4" x14ac:dyDescent="0.3">
      <c r="A1553" s="13" t="s">
        <v>158</v>
      </c>
      <c r="B1553" s="14">
        <v>0.66857813140766442</v>
      </c>
      <c r="C1553" s="13" t="s">
        <v>59</v>
      </c>
      <c r="D1553" s="13" t="s">
        <v>0</v>
      </c>
    </row>
    <row r="1554" spans="1:4" x14ac:dyDescent="0.3">
      <c r="A1554" s="13" t="s">
        <v>158</v>
      </c>
      <c r="B1554" s="14">
        <v>0.66253108318409215</v>
      </c>
      <c r="C1554" s="13" t="s">
        <v>59</v>
      </c>
      <c r="D1554" s="13" t="s">
        <v>33</v>
      </c>
    </row>
    <row r="1555" spans="1:4" x14ac:dyDescent="0.3">
      <c r="A1555" s="13" t="s">
        <v>158</v>
      </c>
      <c r="B1555" s="14">
        <v>0.89608408971405651</v>
      </c>
      <c r="C1555" s="13" t="s">
        <v>60</v>
      </c>
      <c r="D1555" s="13" t="s">
        <v>33</v>
      </c>
    </row>
    <row r="1556" spans="1:4" x14ac:dyDescent="0.3">
      <c r="A1556" s="13" t="s">
        <v>158</v>
      </c>
      <c r="B1556" s="14">
        <v>0.52167738213155579</v>
      </c>
      <c r="C1556" s="13" t="s">
        <v>61</v>
      </c>
      <c r="D1556" s="13" t="s">
        <v>36</v>
      </c>
    </row>
    <row r="1557" spans="1:4" x14ac:dyDescent="0.3">
      <c r="A1557" s="13" t="s">
        <v>158</v>
      </c>
      <c r="B1557" s="14">
        <v>0.69972461961531018</v>
      </c>
      <c r="C1557" s="13" t="s">
        <v>62</v>
      </c>
      <c r="D1557" s="13"/>
    </row>
    <row r="1558" spans="1:4" x14ac:dyDescent="0.3">
      <c r="A1558" s="13" t="s">
        <v>158</v>
      </c>
      <c r="B1558" s="14">
        <v>0.69132967823945302</v>
      </c>
      <c r="C1558" s="13" t="s">
        <v>62</v>
      </c>
      <c r="D1558" s="13" t="s">
        <v>0</v>
      </c>
    </row>
    <row r="1559" spans="1:4" x14ac:dyDescent="0.3">
      <c r="A1559" s="13" t="s">
        <v>158</v>
      </c>
      <c r="B1559" s="14">
        <v>0.90392580913358878</v>
      </c>
      <c r="C1559" s="13" t="s">
        <v>63</v>
      </c>
      <c r="D1559" s="13"/>
    </row>
    <row r="1560" spans="1:4" x14ac:dyDescent="0.3">
      <c r="A1560" s="13" t="s">
        <v>158</v>
      </c>
      <c r="B1560" s="14">
        <v>0.90235486958723521</v>
      </c>
      <c r="C1560" s="13" t="s">
        <v>63</v>
      </c>
      <c r="D1560" s="13" t="s">
        <v>42</v>
      </c>
    </row>
    <row r="1561" spans="1:4" x14ac:dyDescent="0.3">
      <c r="A1561" s="13" t="s">
        <v>158</v>
      </c>
      <c r="B1561" s="14">
        <v>0.61991323787474262</v>
      </c>
      <c r="C1561" s="13" t="s">
        <v>64</v>
      </c>
      <c r="D1561" s="13" t="s">
        <v>0</v>
      </c>
    </row>
    <row r="1562" spans="1:4" x14ac:dyDescent="0.3">
      <c r="A1562" s="13" t="s">
        <v>158</v>
      </c>
      <c r="B1562" s="14">
        <v>0.77404813749202761</v>
      </c>
      <c r="C1562" s="13" t="s">
        <v>65</v>
      </c>
      <c r="D1562" s="13" t="s">
        <v>41</v>
      </c>
    </row>
    <row r="1563" spans="1:4" x14ac:dyDescent="0.3">
      <c r="A1563" s="13" t="s">
        <v>158</v>
      </c>
      <c r="B1563" s="14">
        <v>0.91619282418756653</v>
      </c>
      <c r="C1563" s="13" t="s">
        <v>66</v>
      </c>
      <c r="D1563" s="13" t="s">
        <v>29</v>
      </c>
    </row>
    <row r="1564" spans="1:4" x14ac:dyDescent="0.3">
      <c r="A1564" s="13" t="s">
        <v>158</v>
      </c>
      <c r="B1564" s="14">
        <v>0.920711563045295</v>
      </c>
      <c r="C1564" s="13" t="s">
        <v>66</v>
      </c>
      <c r="D1564" s="13" t="s">
        <v>41</v>
      </c>
    </row>
    <row r="1565" spans="1:4" x14ac:dyDescent="0.3">
      <c r="A1565" s="13" t="s">
        <v>158</v>
      </c>
      <c r="B1565" s="14">
        <v>0.96753183955049138</v>
      </c>
      <c r="C1565" s="13" t="s">
        <v>67</v>
      </c>
      <c r="D1565" s="13" t="s">
        <v>0</v>
      </c>
    </row>
    <row r="1566" spans="1:4" x14ac:dyDescent="0.3">
      <c r="A1566" s="13" t="s">
        <v>158</v>
      </c>
      <c r="B1566" s="14">
        <v>0.98413362739065124</v>
      </c>
      <c r="C1566" s="13" t="s">
        <v>67</v>
      </c>
      <c r="D1566" s="13" t="s">
        <v>33</v>
      </c>
    </row>
    <row r="1567" spans="1:4" x14ac:dyDescent="0.3">
      <c r="A1567" s="13" t="s">
        <v>158</v>
      </c>
      <c r="B1567" s="14">
        <v>0.97250994156427317</v>
      </c>
      <c r="C1567" s="13" t="s">
        <v>67</v>
      </c>
      <c r="D1567" s="13" t="s">
        <v>29</v>
      </c>
    </row>
    <row r="1568" spans="1:4" x14ac:dyDescent="0.3">
      <c r="A1568" s="13" t="s">
        <v>158</v>
      </c>
      <c r="B1568" s="14">
        <v>0.97420771932763683</v>
      </c>
      <c r="C1568" s="13" t="s">
        <v>67</v>
      </c>
      <c r="D1568" s="13" t="s">
        <v>36</v>
      </c>
    </row>
    <row r="1569" spans="1:4" x14ac:dyDescent="0.3">
      <c r="A1569" s="13" t="s">
        <v>158</v>
      </c>
      <c r="B1569" s="14">
        <v>0.96818781208299132</v>
      </c>
      <c r="C1569" s="13" t="s">
        <v>67</v>
      </c>
      <c r="D1569" s="13" t="s">
        <v>41</v>
      </c>
    </row>
    <row r="1570" spans="1:4" x14ac:dyDescent="0.3">
      <c r="A1570" s="13" t="s">
        <v>158</v>
      </c>
      <c r="B1570" s="14">
        <v>0.79370870951013595</v>
      </c>
      <c r="C1570" s="13" t="s">
        <v>68</v>
      </c>
      <c r="D1570" s="13" t="s">
        <v>0</v>
      </c>
    </row>
    <row r="1571" spans="1:4" x14ac:dyDescent="0.3">
      <c r="A1571" s="13" t="s">
        <v>158</v>
      </c>
      <c r="B1571" s="14">
        <v>0.21607415804783731</v>
      </c>
      <c r="C1571" s="13" t="s">
        <v>152</v>
      </c>
      <c r="D1571" s="13" t="s">
        <v>0</v>
      </c>
    </row>
    <row r="1572" spans="1:4" x14ac:dyDescent="0.3">
      <c r="A1572" s="13" t="s">
        <v>158</v>
      </c>
      <c r="B1572" s="14">
        <v>0.58510220016459979</v>
      </c>
      <c r="C1572" s="13" t="s">
        <v>69</v>
      </c>
      <c r="D1572" s="13" t="s">
        <v>36</v>
      </c>
    </row>
    <row r="1573" spans="1:4" x14ac:dyDescent="0.3">
      <c r="A1573" s="13" t="s">
        <v>158</v>
      </c>
      <c r="B1573" s="14">
        <v>0.97421030579397072</v>
      </c>
      <c r="C1573" s="13" t="s">
        <v>15</v>
      </c>
      <c r="D1573" s="13"/>
    </row>
    <row r="1574" spans="1:4" x14ac:dyDescent="0.3">
      <c r="A1574" s="13" t="s">
        <v>158</v>
      </c>
      <c r="B1574" s="14">
        <v>0.30224565943142312</v>
      </c>
      <c r="C1574" s="13" t="s">
        <v>15</v>
      </c>
      <c r="D1574" s="13" t="s">
        <v>0</v>
      </c>
    </row>
    <row r="1575" spans="1:4" x14ac:dyDescent="0.3">
      <c r="A1575" s="13" t="s">
        <v>158</v>
      </c>
      <c r="B1575" s="14">
        <v>0.95153201780577468</v>
      </c>
      <c r="C1575" s="13" t="s">
        <v>15</v>
      </c>
      <c r="D1575" s="13" t="s">
        <v>42</v>
      </c>
    </row>
    <row r="1576" spans="1:4" x14ac:dyDescent="0.3">
      <c r="A1576" s="13" t="s">
        <v>158</v>
      </c>
      <c r="B1576" s="14">
        <v>0.96195226635936548</v>
      </c>
      <c r="C1576" s="13" t="s">
        <v>15</v>
      </c>
      <c r="D1576" s="13" t="s">
        <v>36</v>
      </c>
    </row>
    <row r="1577" spans="1:4" x14ac:dyDescent="0.3">
      <c r="A1577" s="13" t="s">
        <v>158</v>
      </c>
      <c r="B1577" s="14">
        <v>0.98618069851626722</v>
      </c>
      <c r="C1577" s="13" t="s">
        <v>43</v>
      </c>
      <c r="D1577" s="13"/>
    </row>
    <row r="1578" spans="1:4" x14ac:dyDescent="0.3">
      <c r="A1578" s="13" t="s">
        <v>158</v>
      </c>
      <c r="B1578" s="14">
        <v>0.94713249141841982</v>
      </c>
      <c r="C1578" s="13" t="s">
        <v>43</v>
      </c>
      <c r="D1578" s="13" t="s">
        <v>42</v>
      </c>
    </row>
    <row r="1579" spans="1:4" x14ac:dyDescent="0.3">
      <c r="A1579" s="13" t="s">
        <v>158</v>
      </c>
      <c r="B1579" s="14">
        <v>0.93697296827586329</v>
      </c>
      <c r="C1579" s="13" t="s">
        <v>71</v>
      </c>
      <c r="D1579" s="13" t="s">
        <v>42</v>
      </c>
    </row>
    <row r="1580" spans="1:4" x14ac:dyDescent="0.3">
      <c r="A1580" s="13" t="s">
        <v>158</v>
      </c>
      <c r="B1580" s="14">
        <v>0.94096244425712539</v>
      </c>
      <c r="C1580" s="13" t="s">
        <v>72</v>
      </c>
      <c r="D1580" s="13" t="s">
        <v>36</v>
      </c>
    </row>
    <row r="1581" spans="1:4" x14ac:dyDescent="0.3">
      <c r="A1581" s="13" t="s">
        <v>158</v>
      </c>
      <c r="B1581" s="14">
        <v>0.83808200493690399</v>
      </c>
      <c r="C1581" s="13" t="s">
        <v>73</v>
      </c>
      <c r="D1581" s="13" t="s">
        <v>33</v>
      </c>
    </row>
    <row r="1582" spans="1:4" x14ac:dyDescent="0.3">
      <c r="A1582" s="13" t="s">
        <v>158</v>
      </c>
      <c r="B1582" s="14">
        <v>0.87614744809312506</v>
      </c>
      <c r="C1582" s="13" t="s">
        <v>74</v>
      </c>
      <c r="D1582" s="13"/>
    </row>
    <row r="1583" spans="1:4" x14ac:dyDescent="0.3">
      <c r="A1583" s="13" t="s">
        <v>158</v>
      </c>
      <c r="B1583" s="14">
        <v>0.782372551774143</v>
      </c>
      <c r="C1583" s="13" t="s">
        <v>74</v>
      </c>
      <c r="D1583" s="13" t="s">
        <v>41</v>
      </c>
    </row>
    <row r="1584" spans="1:4" x14ac:dyDescent="0.3">
      <c r="A1584" s="13" t="s">
        <v>158</v>
      </c>
      <c r="B1584" s="14">
        <v>0.94868764007164752</v>
      </c>
      <c r="C1584" s="13" t="s">
        <v>75</v>
      </c>
      <c r="D1584" s="13" t="s">
        <v>0</v>
      </c>
    </row>
    <row r="1585" spans="1:4" x14ac:dyDescent="0.3">
      <c r="A1585" s="13" t="s">
        <v>158</v>
      </c>
      <c r="B1585" s="14">
        <v>0.95512303416172117</v>
      </c>
      <c r="C1585" s="13" t="s">
        <v>75</v>
      </c>
      <c r="D1585" s="13" t="s">
        <v>33</v>
      </c>
    </row>
    <row r="1586" spans="1:4" x14ac:dyDescent="0.3">
      <c r="A1586" s="13" t="s">
        <v>158</v>
      </c>
      <c r="B1586" s="14">
        <v>0.94885710599414019</v>
      </c>
      <c r="C1586" s="13" t="s">
        <v>75</v>
      </c>
      <c r="D1586" s="13" t="s">
        <v>29</v>
      </c>
    </row>
    <row r="1587" spans="1:4" x14ac:dyDescent="0.3">
      <c r="A1587" s="13" t="s">
        <v>158</v>
      </c>
      <c r="B1587" s="14">
        <v>0.70088534368484423</v>
      </c>
      <c r="C1587" s="13" t="s">
        <v>76</v>
      </c>
      <c r="D1587" s="13" t="s">
        <v>0</v>
      </c>
    </row>
    <row r="1588" spans="1:4" x14ac:dyDescent="0.3">
      <c r="A1588" s="13" t="s">
        <v>158</v>
      </c>
      <c r="B1588" s="14">
        <v>0.48233701835344189</v>
      </c>
      <c r="C1588" s="13" t="s">
        <v>77</v>
      </c>
      <c r="D1588" s="13"/>
    </row>
    <row r="1589" spans="1:4" x14ac:dyDescent="0.3">
      <c r="A1589" s="13" t="s">
        <v>158</v>
      </c>
      <c r="B1589" s="14">
        <v>0.35222874581028418</v>
      </c>
      <c r="C1589" s="13" t="s">
        <v>77</v>
      </c>
      <c r="D1589" s="13" t="s">
        <v>29</v>
      </c>
    </row>
    <row r="1590" spans="1:4" x14ac:dyDescent="0.3">
      <c r="A1590" s="13" t="s">
        <v>158</v>
      </c>
      <c r="B1590" s="14">
        <v>0.98813606595373249</v>
      </c>
      <c r="C1590" s="13" t="s">
        <v>78</v>
      </c>
      <c r="D1590" s="13" t="s">
        <v>33</v>
      </c>
    </row>
    <row r="1591" spans="1:4" x14ac:dyDescent="0.3">
      <c r="A1591" s="13" t="s">
        <v>158</v>
      </c>
      <c r="B1591" s="14">
        <v>0.99860710846675249</v>
      </c>
      <c r="C1591" s="13" t="s">
        <v>78</v>
      </c>
      <c r="D1591" s="13" t="s">
        <v>29</v>
      </c>
    </row>
    <row r="1592" spans="1:4" x14ac:dyDescent="0.3">
      <c r="A1592" s="13" t="s">
        <v>158</v>
      </c>
      <c r="B1592" s="14">
        <v>0.86440220016908131</v>
      </c>
      <c r="C1592" s="13" t="s">
        <v>79</v>
      </c>
      <c r="D1592" s="13" t="s">
        <v>33</v>
      </c>
    </row>
    <row r="1593" spans="1:4" x14ac:dyDescent="0.3">
      <c r="A1593" s="13" t="s">
        <v>158</v>
      </c>
      <c r="B1593" s="14">
        <v>0.96087481187876023</v>
      </c>
      <c r="C1593" s="13" t="s">
        <v>22</v>
      </c>
      <c r="D1593" s="13" t="s">
        <v>0</v>
      </c>
    </row>
    <row r="1594" spans="1:4" x14ac:dyDescent="0.3">
      <c r="A1594" s="13" t="s">
        <v>158</v>
      </c>
      <c r="B1594" s="14">
        <v>0.7237199647700655</v>
      </c>
      <c r="C1594" s="13" t="s">
        <v>22</v>
      </c>
      <c r="D1594" s="13" t="s">
        <v>41</v>
      </c>
    </row>
    <row r="1595" spans="1:4" x14ac:dyDescent="0.3">
      <c r="A1595" s="13" t="s">
        <v>158</v>
      </c>
      <c r="B1595" s="14">
        <v>0.58485041929257664</v>
      </c>
      <c r="C1595" s="13" t="s">
        <v>80</v>
      </c>
      <c r="D1595" s="13" t="s">
        <v>29</v>
      </c>
    </row>
    <row r="1596" spans="1:4" x14ac:dyDescent="0.3">
      <c r="A1596" s="13" t="s">
        <v>158</v>
      </c>
      <c r="B1596" s="14">
        <v>0.31791560549732412</v>
      </c>
      <c r="C1596" s="13" t="s">
        <v>81</v>
      </c>
      <c r="D1596" s="13" t="s">
        <v>33</v>
      </c>
    </row>
    <row r="1597" spans="1:4" x14ac:dyDescent="0.3">
      <c r="A1597" s="13" t="s">
        <v>158</v>
      </c>
      <c r="B1597" s="14">
        <v>0.97073078302750371</v>
      </c>
      <c r="C1597" s="13" t="s">
        <v>82</v>
      </c>
      <c r="D1597" s="13" t="s">
        <v>33</v>
      </c>
    </row>
    <row r="1598" spans="1:4" x14ac:dyDescent="0.3">
      <c r="A1598" s="13" t="s">
        <v>158</v>
      </c>
      <c r="B1598" s="14">
        <v>0.97011105337498016</v>
      </c>
      <c r="C1598" s="13" t="s">
        <v>82</v>
      </c>
      <c r="D1598" s="13" t="s">
        <v>29</v>
      </c>
    </row>
    <row r="1599" spans="1:4" x14ac:dyDescent="0.3">
      <c r="A1599" s="13" t="s">
        <v>158</v>
      </c>
      <c r="B1599" s="14">
        <v>0.94976306877701977</v>
      </c>
      <c r="C1599" s="13" t="s">
        <v>82</v>
      </c>
      <c r="D1599" s="13" t="s">
        <v>41</v>
      </c>
    </row>
    <row r="1600" spans="1:4" x14ac:dyDescent="0.3">
      <c r="A1600" s="13" t="s">
        <v>158</v>
      </c>
      <c r="B1600" s="14">
        <v>0.76906820313622914</v>
      </c>
      <c r="C1600" s="13" t="s">
        <v>83</v>
      </c>
      <c r="D1600" s="13" t="s">
        <v>0</v>
      </c>
    </row>
    <row r="1601" spans="1:4" x14ac:dyDescent="0.3">
      <c r="A1601" s="13" t="s">
        <v>158</v>
      </c>
      <c r="B1601" s="14">
        <v>0.86382579462743492</v>
      </c>
      <c r="C1601" s="13" t="s">
        <v>83</v>
      </c>
      <c r="D1601" s="13" t="s">
        <v>33</v>
      </c>
    </row>
    <row r="1602" spans="1:4" x14ac:dyDescent="0.3">
      <c r="A1602" s="13" t="s">
        <v>158</v>
      </c>
      <c r="B1602" s="14">
        <v>0.78933517794924657</v>
      </c>
      <c r="C1602" s="13" t="s">
        <v>83</v>
      </c>
      <c r="D1602" s="13" t="s">
        <v>41</v>
      </c>
    </row>
    <row r="1603" spans="1:4" x14ac:dyDescent="0.3">
      <c r="A1603" s="13" t="s">
        <v>158</v>
      </c>
      <c r="B1603" s="14">
        <v>0.71881799380105116</v>
      </c>
      <c r="C1603" s="13" t="s">
        <v>84</v>
      </c>
      <c r="D1603" s="13"/>
    </row>
    <row r="1604" spans="1:4" x14ac:dyDescent="0.3">
      <c r="A1604" s="13" t="s">
        <v>158</v>
      </c>
      <c r="B1604" s="14">
        <v>0.90821734334005133</v>
      </c>
      <c r="C1604" s="13" t="s">
        <v>84</v>
      </c>
      <c r="D1604" s="13" t="s">
        <v>42</v>
      </c>
    </row>
    <row r="1605" spans="1:4" x14ac:dyDescent="0.3">
      <c r="A1605" s="13" t="s">
        <v>158</v>
      </c>
      <c r="B1605" s="14">
        <v>0.86347455079599933</v>
      </c>
      <c r="C1605" s="13" t="s">
        <v>85</v>
      </c>
      <c r="D1605" s="13" t="s">
        <v>33</v>
      </c>
    </row>
    <row r="1606" spans="1:4" x14ac:dyDescent="0.3">
      <c r="A1606" s="13" t="s">
        <v>158</v>
      </c>
      <c r="B1606" s="14">
        <v>0.82888515911402272</v>
      </c>
      <c r="C1606" s="13" t="s">
        <v>85</v>
      </c>
      <c r="D1606" s="13" t="s">
        <v>41</v>
      </c>
    </row>
    <row r="1607" spans="1:4" x14ac:dyDescent="0.3">
      <c r="A1607" s="13" t="s">
        <v>158</v>
      </c>
      <c r="B1607" s="14">
        <v>0.97513188668949402</v>
      </c>
      <c r="C1607" s="13" t="s">
        <v>86</v>
      </c>
      <c r="D1607" s="13" t="s">
        <v>29</v>
      </c>
    </row>
    <row r="1608" spans="1:4" x14ac:dyDescent="0.3">
      <c r="A1608" s="13" t="s">
        <v>158</v>
      </c>
      <c r="B1608" s="14">
        <v>0.6786003836161475</v>
      </c>
      <c r="C1608" s="13" t="s">
        <v>87</v>
      </c>
      <c r="D1608" s="13" t="s">
        <v>0</v>
      </c>
    </row>
    <row r="1609" spans="1:4" x14ac:dyDescent="0.3">
      <c r="A1609" s="13" t="s">
        <v>158</v>
      </c>
      <c r="B1609" s="14">
        <v>0.54042773537736821</v>
      </c>
      <c r="C1609" s="13" t="s">
        <v>87</v>
      </c>
      <c r="D1609" s="13" t="s">
        <v>29</v>
      </c>
    </row>
    <row r="1610" spans="1:4" x14ac:dyDescent="0.3">
      <c r="A1610" s="13" t="s">
        <v>158</v>
      </c>
      <c r="B1610" s="14">
        <v>0.85326960122690143</v>
      </c>
      <c r="C1610" s="13" t="s">
        <v>87</v>
      </c>
      <c r="D1610" s="13" t="s">
        <v>36</v>
      </c>
    </row>
    <row r="1611" spans="1:4" x14ac:dyDescent="0.3">
      <c r="A1611" s="13" t="s">
        <v>158</v>
      </c>
      <c r="B1611" s="14">
        <v>0.98128595139856767</v>
      </c>
      <c r="C1611" s="13" t="s">
        <v>88</v>
      </c>
      <c r="D1611" s="13" t="s">
        <v>29</v>
      </c>
    </row>
    <row r="1612" spans="1:4" x14ac:dyDescent="0.3">
      <c r="A1612" s="13" t="s">
        <v>158</v>
      </c>
      <c r="B1612" s="14">
        <v>0.8760669324381033</v>
      </c>
      <c r="C1612" s="13" t="s">
        <v>89</v>
      </c>
      <c r="D1612" s="13"/>
    </row>
    <row r="1613" spans="1:4" x14ac:dyDescent="0.3">
      <c r="A1613" s="13" t="s">
        <v>158</v>
      </c>
      <c r="B1613" s="14">
        <v>0.9018997331134494</v>
      </c>
      <c r="C1613" s="13" t="s">
        <v>89</v>
      </c>
      <c r="D1613" s="13" t="s">
        <v>42</v>
      </c>
    </row>
    <row r="1614" spans="1:4" x14ac:dyDescent="0.3">
      <c r="A1614" s="13" t="s">
        <v>158</v>
      </c>
      <c r="B1614" s="14">
        <v>0.90999425583880089</v>
      </c>
      <c r="C1614" s="13" t="s">
        <v>89</v>
      </c>
      <c r="D1614" s="13" t="s">
        <v>33</v>
      </c>
    </row>
    <row r="1615" spans="1:4" x14ac:dyDescent="0.3">
      <c r="A1615" s="13" t="s">
        <v>158</v>
      </c>
      <c r="B1615" s="14">
        <v>0.78398090857520097</v>
      </c>
      <c r="C1615" s="13" t="s">
        <v>89</v>
      </c>
      <c r="D1615" s="13" t="s">
        <v>36</v>
      </c>
    </row>
    <row r="1616" spans="1:4" x14ac:dyDescent="0.3">
      <c r="A1616" s="13" t="s">
        <v>158</v>
      </c>
      <c r="B1616" s="14">
        <v>0.54378497836073614</v>
      </c>
      <c r="C1616" s="13" t="s">
        <v>89</v>
      </c>
      <c r="D1616" s="13" t="s">
        <v>41</v>
      </c>
    </row>
    <row r="1617" spans="1:4" x14ac:dyDescent="0.3">
      <c r="A1617" s="13" t="s">
        <v>158</v>
      </c>
      <c r="B1617" s="14">
        <v>0.71592228274389547</v>
      </c>
      <c r="C1617" s="13" t="s">
        <v>90</v>
      </c>
      <c r="D1617" s="13" t="s">
        <v>0</v>
      </c>
    </row>
    <row r="1618" spans="1:4" x14ac:dyDescent="0.3">
      <c r="A1618" s="13" t="s">
        <v>158</v>
      </c>
      <c r="B1618" s="14">
        <v>0.85882136801575593</v>
      </c>
      <c r="C1618" s="13" t="s">
        <v>90</v>
      </c>
      <c r="D1618" s="13" t="s">
        <v>33</v>
      </c>
    </row>
    <row r="1619" spans="1:4" x14ac:dyDescent="0.3">
      <c r="A1619" s="13" t="s">
        <v>158</v>
      </c>
      <c r="B1619" s="14">
        <v>0.77585138644626239</v>
      </c>
      <c r="C1619" s="13" t="s">
        <v>90</v>
      </c>
      <c r="D1619" s="13" t="s">
        <v>29</v>
      </c>
    </row>
    <row r="1620" spans="1:4" x14ac:dyDescent="0.3">
      <c r="A1620" s="13" t="s">
        <v>158</v>
      </c>
      <c r="B1620" s="14">
        <v>0.77434840688335016</v>
      </c>
      <c r="C1620" s="13" t="s">
        <v>90</v>
      </c>
      <c r="D1620" s="13" t="s">
        <v>36</v>
      </c>
    </row>
    <row r="1621" spans="1:4" x14ac:dyDescent="0.3">
      <c r="A1621" s="13" t="s">
        <v>158</v>
      </c>
      <c r="B1621" s="14">
        <v>0.80556741758652683</v>
      </c>
      <c r="C1621" s="13" t="s">
        <v>90</v>
      </c>
      <c r="D1621" s="13" t="s">
        <v>41</v>
      </c>
    </row>
    <row r="1622" spans="1:4" x14ac:dyDescent="0.3">
      <c r="A1622" s="13" t="s">
        <v>158</v>
      </c>
      <c r="B1622" s="14">
        <v>0.94630689877517904</v>
      </c>
      <c r="C1622" s="13" t="s">
        <v>91</v>
      </c>
      <c r="D1622" s="13" t="s">
        <v>29</v>
      </c>
    </row>
    <row r="1623" spans="1:4" x14ac:dyDescent="0.3">
      <c r="A1623" s="13" t="s">
        <v>158</v>
      </c>
      <c r="B1623" s="14">
        <v>0.8451371900538398</v>
      </c>
      <c r="C1623" s="13" t="s">
        <v>92</v>
      </c>
      <c r="D1623" s="13" t="s">
        <v>42</v>
      </c>
    </row>
    <row r="1624" spans="1:4" x14ac:dyDescent="0.3">
      <c r="A1624" s="13" t="s">
        <v>158</v>
      </c>
      <c r="B1624" s="14">
        <v>0.80819054841553895</v>
      </c>
      <c r="C1624" s="13" t="s">
        <v>93</v>
      </c>
      <c r="D1624" s="13" t="s">
        <v>33</v>
      </c>
    </row>
    <row r="1625" spans="1:4" x14ac:dyDescent="0.3">
      <c r="A1625" s="13" t="s">
        <v>158</v>
      </c>
      <c r="B1625" s="14">
        <v>0.84283806326729704</v>
      </c>
      <c r="C1625" s="13" t="s">
        <v>94</v>
      </c>
      <c r="D1625" s="13" t="s">
        <v>42</v>
      </c>
    </row>
    <row r="1626" spans="1:4" x14ac:dyDescent="0.3">
      <c r="A1626" s="13" t="s">
        <v>158</v>
      </c>
      <c r="B1626" s="14">
        <v>1</v>
      </c>
      <c r="C1626" s="13" t="s">
        <v>95</v>
      </c>
      <c r="D1626" s="13" t="s">
        <v>41</v>
      </c>
    </row>
    <row r="1627" spans="1:4" x14ac:dyDescent="0.3">
      <c r="A1627" s="13" t="s">
        <v>158</v>
      </c>
      <c r="B1627" s="14">
        <v>0.85935316344193846</v>
      </c>
      <c r="C1627" s="13" t="s">
        <v>96</v>
      </c>
      <c r="D1627" s="13" t="s">
        <v>33</v>
      </c>
    </row>
    <row r="1628" spans="1:4" x14ac:dyDescent="0.3">
      <c r="A1628" s="13" t="s">
        <v>158</v>
      </c>
      <c r="B1628" s="14">
        <v>0.64296013771931526</v>
      </c>
      <c r="C1628" s="13" t="s">
        <v>97</v>
      </c>
      <c r="D1628" s="13" t="s">
        <v>41</v>
      </c>
    </row>
    <row r="1629" spans="1:4" x14ac:dyDescent="0.3">
      <c r="A1629" s="13" t="s">
        <v>158</v>
      </c>
      <c r="B1629" s="14">
        <v>0.96279614809934</v>
      </c>
      <c r="C1629" s="13" t="s">
        <v>23</v>
      </c>
      <c r="D1629" s="13" t="s">
        <v>0</v>
      </c>
    </row>
    <row r="1630" spans="1:4" x14ac:dyDescent="0.3">
      <c r="A1630" s="13" t="s">
        <v>158</v>
      </c>
      <c r="B1630" s="14">
        <v>0.9793935209056327</v>
      </c>
      <c r="C1630" s="13" t="s">
        <v>38</v>
      </c>
      <c r="D1630" s="13" t="s">
        <v>42</v>
      </c>
    </row>
    <row r="1631" spans="1:4" x14ac:dyDescent="0.3">
      <c r="A1631" s="13" t="s">
        <v>158</v>
      </c>
      <c r="B1631" s="14">
        <v>0.99297161270397305</v>
      </c>
      <c r="C1631" s="13" t="s">
        <v>38</v>
      </c>
      <c r="D1631" s="13" t="s">
        <v>36</v>
      </c>
    </row>
    <row r="1632" spans="1:4" x14ac:dyDescent="0.3">
      <c r="A1632" s="13" t="s">
        <v>158</v>
      </c>
      <c r="B1632" s="14">
        <v>0.83247012603115988</v>
      </c>
      <c r="C1632" s="13" t="s">
        <v>98</v>
      </c>
      <c r="D1632" s="13" t="s">
        <v>29</v>
      </c>
    </row>
    <row r="1633" spans="1:4" x14ac:dyDescent="0.3">
      <c r="A1633" s="13" t="s">
        <v>158</v>
      </c>
      <c r="B1633" s="14">
        <v>0.95728847709801501</v>
      </c>
      <c r="C1633" s="13" t="s">
        <v>99</v>
      </c>
      <c r="D1633" s="13" t="s">
        <v>42</v>
      </c>
    </row>
    <row r="1634" spans="1:4" x14ac:dyDescent="0.3">
      <c r="A1634" s="13" t="s">
        <v>158</v>
      </c>
      <c r="B1634" s="14">
        <v>0.86941473103445122</v>
      </c>
      <c r="C1634" s="13" t="s">
        <v>100</v>
      </c>
      <c r="D1634" s="13" t="s">
        <v>42</v>
      </c>
    </row>
    <row r="1635" spans="1:4" x14ac:dyDescent="0.3">
      <c r="A1635" s="13" t="s">
        <v>158</v>
      </c>
      <c r="B1635" s="14">
        <v>0.47967358529878679</v>
      </c>
      <c r="C1635" s="13" t="s">
        <v>101</v>
      </c>
      <c r="D1635" s="13" t="s">
        <v>36</v>
      </c>
    </row>
    <row r="1636" spans="1:4" x14ac:dyDescent="0.3">
      <c r="A1636" s="13" t="s">
        <v>158</v>
      </c>
      <c r="B1636" s="14">
        <v>0.96961638693897534</v>
      </c>
      <c r="C1636" s="13" t="s">
        <v>102</v>
      </c>
      <c r="D1636" s="13" t="s">
        <v>0</v>
      </c>
    </row>
    <row r="1637" spans="1:4" x14ac:dyDescent="0.3">
      <c r="A1637" s="13" t="s">
        <v>158</v>
      </c>
      <c r="B1637" s="14">
        <v>0.96249113036405187</v>
      </c>
      <c r="C1637" s="13" t="s">
        <v>102</v>
      </c>
      <c r="D1637" s="13" t="s">
        <v>42</v>
      </c>
    </row>
    <row r="1638" spans="1:4" x14ac:dyDescent="0.3">
      <c r="A1638" s="13" t="s">
        <v>158</v>
      </c>
      <c r="B1638" s="14">
        <v>0.9717571224589383</v>
      </c>
      <c r="C1638" s="13" t="s">
        <v>102</v>
      </c>
      <c r="D1638" s="13" t="s">
        <v>33</v>
      </c>
    </row>
    <row r="1639" spans="1:4" x14ac:dyDescent="0.3">
      <c r="A1639" s="13" t="s">
        <v>158</v>
      </c>
      <c r="B1639" s="14">
        <v>0.94082951856998009</v>
      </c>
      <c r="C1639" s="13" t="s">
        <v>102</v>
      </c>
      <c r="D1639" s="13" t="s">
        <v>29</v>
      </c>
    </row>
    <row r="1640" spans="1:4" x14ac:dyDescent="0.3">
      <c r="A1640" s="13" t="s">
        <v>158</v>
      </c>
      <c r="B1640" s="14">
        <v>0.9761953540484517</v>
      </c>
      <c r="C1640" s="13" t="s">
        <v>102</v>
      </c>
      <c r="D1640" s="13" t="s">
        <v>36</v>
      </c>
    </row>
    <row r="1641" spans="1:4" x14ac:dyDescent="0.3">
      <c r="A1641" s="13" t="s">
        <v>158</v>
      </c>
      <c r="B1641" s="14">
        <v>0.95831723010303416</v>
      </c>
      <c r="C1641" s="13" t="s">
        <v>102</v>
      </c>
      <c r="D1641" s="13" t="s">
        <v>41</v>
      </c>
    </row>
    <row r="1642" spans="1:4" x14ac:dyDescent="0.3">
      <c r="A1642" s="13" t="s">
        <v>158</v>
      </c>
      <c r="B1642" s="14">
        <v>0.91991032739893497</v>
      </c>
      <c r="C1642" s="13" t="s">
        <v>103</v>
      </c>
      <c r="D1642" s="13" t="s">
        <v>0</v>
      </c>
    </row>
    <row r="1643" spans="1:4" x14ac:dyDescent="0.3">
      <c r="A1643" s="13" t="s">
        <v>158</v>
      </c>
      <c r="B1643" s="14">
        <v>0.92672116357063961</v>
      </c>
      <c r="C1643" s="13" t="s">
        <v>103</v>
      </c>
      <c r="D1643" s="13" t="s">
        <v>33</v>
      </c>
    </row>
    <row r="1644" spans="1:4" x14ac:dyDescent="0.3">
      <c r="A1644" s="13" t="s">
        <v>158</v>
      </c>
      <c r="B1644" s="14">
        <v>0.8832023691560329</v>
      </c>
      <c r="C1644" s="13" t="s">
        <v>103</v>
      </c>
      <c r="D1644" s="13" t="s">
        <v>29</v>
      </c>
    </row>
    <row r="1645" spans="1:4" x14ac:dyDescent="0.3">
      <c r="A1645" s="13" t="s">
        <v>158</v>
      </c>
      <c r="B1645" s="14">
        <v>0.92669271774183037</v>
      </c>
      <c r="C1645" s="13" t="s">
        <v>103</v>
      </c>
      <c r="D1645" s="13" t="s">
        <v>36</v>
      </c>
    </row>
    <row r="1646" spans="1:4" x14ac:dyDescent="0.3">
      <c r="A1646" s="13" t="s">
        <v>158</v>
      </c>
      <c r="B1646" s="14">
        <v>0.86619182584592802</v>
      </c>
      <c r="C1646" s="13" t="s">
        <v>103</v>
      </c>
      <c r="D1646" s="13" t="s">
        <v>41</v>
      </c>
    </row>
    <row r="1647" spans="1:4" x14ac:dyDescent="0.3">
      <c r="A1647" s="13" t="s">
        <v>158</v>
      </c>
      <c r="B1647" s="14">
        <v>0.62993856467934717</v>
      </c>
      <c r="C1647" s="13" t="s">
        <v>104</v>
      </c>
      <c r="D1647" s="13" t="s">
        <v>41</v>
      </c>
    </row>
    <row r="1648" spans="1:4" x14ac:dyDescent="0.3">
      <c r="A1648" s="13" t="s">
        <v>158</v>
      </c>
      <c r="B1648" s="14">
        <v>0.88938815339808908</v>
      </c>
      <c r="C1648" s="13" t="s">
        <v>105</v>
      </c>
      <c r="D1648" s="13" t="s">
        <v>33</v>
      </c>
    </row>
    <row r="1649" spans="1:4" x14ac:dyDescent="0.3">
      <c r="A1649" s="13" t="s">
        <v>158</v>
      </c>
      <c r="B1649" s="14">
        <v>0.93624848588956833</v>
      </c>
      <c r="C1649" s="13" t="s">
        <v>105</v>
      </c>
      <c r="D1649" s="13" t="s">
        <v>29</v>
      </c>
    </row>
    <row r="1650" spans="1:4" x14ac:dyDescent="0.3">
      <c r="A1650" s="13" t="s">
        <v>158</v>
      </c>
      <c r="B1650" s="14">
        <v>0.93605856388622966</v>
      </c>
      <c r="C1650" s="13" t="s">
        <v>105</v>
      </c>
      <c r="D1650" s="13" t="s">
        <v>41</v>
      </c>
    </row>
    <row r="1651" spans="1:4" x14ac:dyDescent="0.3">
      <c r="A1651" s="13" t="s">
        <v>158</v>
      </c>
      <c r="B1651" s="14">
        <v>0.21910930040518589</v>
      </c>
      <c r="C1651" s="13" t="s">
        <v>106</v>
      </c>
      <c r="D1651" s="13" t="s">
        <v>0</v>
      </c>
    </row>
    <row r="1652" spans="1:4" x14ac:dyDescent="0.3">
      <c r="A1652" s="13" t="s">
        <v>158</v>
      </c>
      <c r="B1652" s="14">
        <v>0.87104191103444562</v>
      </c>
      <c r="C1652" s="13" t="s">
        <v>107</v>
      </c>
      <c r="D1652" s="13"/>
    </row>
    <row r="1653" spans="1:4" x14ac:dyDescent="0.3">
      <c r="A1653" s="13" t="s">
        <v>158</v>
      </c>
      <c r="B1653" s="14">
        <v>0.98099543024310909</v>
      </c>
      <c r="C1653" s="13" t="s">
        <v>107</v>
      </c>
      <c r="D1653" s="13" t="s">
        <v>41</v>
      </c>
    </row>
    <row r="1654" spans="1:4" x14ac:dyDescent="0.3">
      <c r="A1654" s="13" t="s">
        <v>158</v>
      </c>
      <c r="B1654" s="14">
        <v>0.8972993480278102</v>
      </c>
      <c r="C1654" s="13" t="s">
        <v>108</v>
      </c>
      <c r="D1654" s="13" t="s">
        <v>29</v>
      </c>
    </row>
    <row r="1655" spans="1:4" x14ac:dyDescent="0.3">
      <c r="A1655" s="13" t="s">
        <v>158</v>
      </c>
      <c r="B1655" s="14">
        <v>0.94080536142909632</v>
      </c>
      <c r="C1655" s="13" t="s">
        <v>24</v>
      </c>
      <c r="D1655" s="13"/>
    </row>
    <row r="1656" spans="1:4" x14ac:dyDescent="0.3">
      <c r="A1656" s="13" t="s">
        <v>158</v>
      </c>
      <c r="B1656" s="14">
        <v>0.65586456084219491</v>
      </c>
      <c r="C1656" s="13" t="s">
        <v>24</v>
      </c>
      <c r="D1656" s="13" t="s">
        <v>0</v>
      </c>
    </row>
    <row r="1657" spans="1:4" x14ac:dyDescent="0.3">
      <c r="A1657" s="13" t="s">
        <v>158</v>
      </c>
      <c r="B1657" s="14">
        <v>0.88699644012520074</v>
      </c>
      <c r="C1657" s="13" t="s">
        <v>24</v>
      </c>
      <c r="D1657" s="13" t="s">
        <v>42</v>
      </c>
    </row>
    <row r="1658" spans="1:4" x14ac:dyDescent="0.3">
      <c r="A1658" s="13" t="s">
        <v>158</v>
      </c>
      <c r="B1658" s="14">
        <v>0.7647225812260936</v>
      </c>
      <c r="C1658" s="13" t="s">
        <v>24</v>
      </c>
      <c r="D1658" s="13" t="s">
        <v>33</v>
      </c>
    </row>
    <row r="1659" spans="1:4" x14ac:dyDescent="0.3">
      <c r="A1659" s="13" t="s">
        <v>158</v>
      </c>
      <c r="B1659" s="14">
        <v>0.78601337252347614</v>
      </c>
      <c r="C1659" s="13" t="s">
        <v>109</v>
      </c>
      <c r="D1659" s="13" t="s">
        <v>41</v>
      </c>
    </row>
    <row r="1660" spans="1:4" x14ac:dyDescent="0.3">
      <c r="A1660" s="13" t="s">
        <v>158</v>
      </c>
      <c r="B1660" s="14">
        <v>0.95101753207788542</v>
      </c>
      <c r="C1660" s="13" t="s">
        <v>110</v>
      </c>
      <c r="D1660" s="13" t="s">
        <v>0</v>
      </c>
    </row>
    <row r="1661" spans="1:4" x14ac:dyDescent="0.3">
      <c r="A1661" s="13" t="s">
        <v>158</v>
      </c>
      <c r="B1661" s="14">
        <v>0.94333581593619553</v>
      </c>
      <c r="C1661" s="13" t="s">
        <v>110</v>
      </c>
      <c r="D1661" s="13" t="s">
        <v>33</v>
      </c>
    </row>
    <row r="1662" spans="1:4" x14ac:dyDescent="0.3">
      <c r="A1662" s="13" t="s">
        <v>158</v>
      </c>
      <c r="B1662" s="14">
        <v>0.93496158953194042</v>
      </c>
      <c r="C1662" s="13" t="s">
        <v>110</v>
      </c>
      <c r="D1662" s="13" t="s">
        <v>29</v>
      </c>
    </row>
    <row r="1663" spans="1:4" x14ac:dyDescent="0.3">
      <c r="A1663" s="13" t="s">
        <v>158</v>
      </c>
      <c r="B1663" s="14">
        <v>0.89950233024439097</v>
      </c>
      <c r="C1663" s="13" t="s">
        <v>110</v>
      </c>
      <c r="D1663" s="13" t="s">
        <v>36</v>
      </c>
    </row>
    <row r="1664" spans="1:4" x14ac:dyDescent="0.3">
      <c r="A1664" s="13" t="s">
        <v>158</v>
      </c>
      <c r="B1664" s="14">
        <v>0.96003304637905096</v>
      </c>
      <c r="C1664" s="13" t="s">
        <v>110</v>
      </c>
      <c r="D1664" s="13" t="s">
        <v>41</v>
      </c>
    </row>
    <row r="1665" spans="1:4" x14ac:dyDescent="0.3">
      <c r="A1665" s="13" t="s">
        <v>158</v>
      </c>
      <c r="B1665" s="14">
        <v>0.78913001446427122</v>
      </c>
      <c r="C1665" s="13" t="s">
        <v>111</v>
      </c>
      <c r="D1665" s="13" t="s">
        <v>33</v>
      </c>
    </row>
    <row r="1666" spans="1:4" x14ac:dyDescent="0.3">
      <c r="A1666" s="13" t="s">
        <v>158</v>
      </c>
      <c r="B1666" s="14">
        <v>0.9463481532140785</v>
      </c>
      <c r="C1666" s="13" t="s">
        <v>112</v>
      </c>
      <c r="D1666" s="13" t="s">
        <v>0</v>
      </c>
    </row>
    <row r="1667" spans="1:4" x14ac:dyDescent="0.3">
      <c r="A1667" s="13" t="s">
        <v>158</v>
      </c>
      <c r="B1667" s="14">
        <v>0.87843105354404816</v>
      </c>
      <c r="C1667" s="13" t="s">
        <v>112</v>
      </c>
      <c r="D1667" s="13" t="s">
        <v>42</v>
      </c>
    </row>
    <row r="1668" spans="1:4" x14ac:dyDescent="0.3">
      <c r="A1668" s="13" t="s">
        <v>158</v>
      </c>
      <c r="B1668" s="14">
        <v>0.95195706281126125</v>
      </c>
      <c r="C1668" s="13" t="s">
        <v>112</v>
      </c>
      <c r="D1668" s="13" t="s">
        <v>33</v>
      </c>
    </row>
    <row r="1669" spans="1:4" x14ac:dyDescent="0.3">
      <c r="A1669" s="13" t="s">
        <v>158</v>
      </c>
      <c r="B1669" s="14">
        <v>0.93781504512604286</v>
      </c>
      <c r="C1669" s="13" t="s">
        <v>112</v>
      </c>
      <c r="D1669" s="13" t="s">
        <v>29</v>
      </c>
    </row>
    <row r="1670" spans="1:4" x14ac:dyDescent="0.3">
      <c r="A1670" s="13" t="s">
        <v>158</v>
      </c>
      <c r="B1670" s="14">
        <v>0.93360728428135631</v>
      </c>
      <c r="C1670" s="13" t="s">
        <v>112</v>
      </c>
      <c r="D1670" s="13" t="s">
        <v>36</v>
      </c>
    </row>
    <row r="1671" spans="1:4" x14ac:dyDescent="0.3">
      <c r="A1671" s="13" t="s">
        <v>158</v>
      </c>
      <c r="B1671" s="14">
        <v>0.94071550719765962</v>
      </c>
      <c r="C1671" s="13" t="s">
        <v>112</v>
      </c>
      <c r="D1671" s="13" t="s">
        <v>41</v>
      </c>
    </row>
    <row r="1672" spans="1:4" x14ac:dyDescent="0.3">
      <c r="A1672" s="13" t="s">
        <v>158</v>
      </c>
      <c r="B1672" s="14">
        <v>0.96520893247994777</v>
      </c>
      <c r="C1672" s="13" t="s">
        <v>113</v>
      </c>
      <c r="D1672" s="13" t="s">
        <v>0</v>
      </c>
    </row>
    <row r="1673" spans="1:4" x14ac:dyDescent="0.3">
      <c r="A1673" s="13" t="s">
        <v>158</v>
      </c>
      <c r="B1673" s="14">
        <v>0.96230673984480108</v>
      </c>
      <c r="C1673" s="13" t="s">
        <v>113</v>
      </c>
      <c r="D1673" s="13" t="s">
        <v>33</v>
      </c>
    </row>
    <row r="1674" spans="1:4" x14ac:dyDescent="0.3">
      <c r="A1674" s="13" t="s">
        <v>158</v>
      </c>
      <c r="B1674" s="14">
        <v>0.95002484851305058</v>
      </c>
      <c r="C1674" s="13" t="s">
        <v>113</v>
      </c>
      <c r="D1674" s="13" t="s">
        <v>29</v>
      </c>
    </row>
    <row r="1675" spans="1:4" x14ac:dyDescent="0.3">
      <c r="A1675" s="13" t="s">
        <v>158</v>
      </c>
      <c r="B1675" s="14">
        <v>0.94212326274189495</v>
      </c>
      <c r="C1675" s="13" t="s">
        <v>113</v>
      </c>
      <c r="D1675" s="13" t="s">
        <v>36</v>
      </c>
    </row>
    <row r="1676" spans="1:4" x14ac:dyDescent="0.3">
      <c r="A1676" s="13" t="s">
        <v>158</v>
      </c>
      <c r="B1676" s="14">
        <v>0.95836639380480804</v>
      </c>
      <c r="C1676" s="13" t="s">
        <v>113</v>
      </c>
      <c r="D1676" s="13" t="s">
        <v>41</v>
      </c>
    </row>
    <row r="1677" spans="1:4" x14ac:dyDescent="0.3">
      <c r="A1677" s="13" t="s">
        <v>158</v>
      </c>
      <c r="B1677" s="14">
        <v>0.84444971074980257</v>
      </c>
      <c r="C1677" s="13" t="s">
        <v>35</v>
      </c>
      <c r="D1677" s="13" t="s">
        <v>33</v>
      </c>
    </row>
    <row r="1678" spans="1:4" x14ac:dyDescent="0.3">
      <c r="A1678" s="13" t="s">
        <v>158</v>
      </c>
      <c r="B1678" s="14">
        <v>0.97789001516273188</v>
      </c>
      <c r="C1678" s="13" t="s">
        <v>31</v>
      </c>
      <c r="D1678" s="13" t="s">
        <v>33</v>
      </c>
    </row>
    <row r="1679" spans="1:4" x14ac:dyDescent="0.3">
      <c r="A1679" s="13" t="s">
        <v>158</v>
      </c>
      <c r="B1679" s="14">
        <v>0.95720359999744686</v>
      </c>
      <c r="C1679" s="13" t="s">
        <v>31</v>
      </c>
      <c r="D1679" s="13" t="s">
        <v>29</v>
      </c>
    </row>
    <row r="1680" spans="1:4" x14ac:dyDescent="0.3">
      <c r="A1680" s="13" t="s">
        <v>158</v>
      </c>
      <c r="B1680" s="14">
        <v>0.79980610099861316</v>
      </c>
      <c r="C1680" s="13" t="s">
        <v>114</v>
      </c>
      <c r="D1680" s="13" t="s">
        <v>29</v>
      </c>
    </row>
    <row r="1681" spans="1:4" x14ac:dyDescent="0.3">
      <c r="A1681" s="13" t="s">
        <v>158</v>
      </c>
      <c r="B1681" s="14">
        <v>0.91391204638560952</v>
      </c>
      <c r="C1681" s="13" t="s">
        <v>39</v>
      </c>
      <c r="D1681" s="13" t="s">
        <v>36</v>
      </c>
    </row>
    <row r="1682" spans="1:4" x14ac:dyDescent="0.3">
      <c r="A1682" s="13" t="s">
        <v>158</v>
      </c>
      <c r="B1682" s="14">
        <v>0.96597777318036249</v>
      </c>
      <c r="C1682" s="13" t="s">
        <v>115</v>
      </c>
      <c r="D1682" s="13" t="s">
        <v>0</v>
      </c>
    </row>
    <row r="1683" spans="1:4" x14ac:dyDescent="0.3">
      <c r="A1683" s="13" t="s">
        <v>158</v>
      </c>
      <c r="B1683" s="14">
        <v>0.9933088468349287</v>
      </c>
      <c r="C1683" s="13" t="s">
        <v>115</v>
      </c>
      <c r="D1683" s="13" t="s">
        <v>42</v>
      </c>
    </row>
    <row r="1684" spans="1:4" x14ac:dyDescent="0.3">
      <c r="A1684" s="13" t="s">
        <v>158</v>
      </c>
      <c r="B1684" s="14">
        <v>0.98102572320169268</v>
      </c>
      <c r="C1684" s="13" t="s">
        <v>115</v>
      </c>
      <c r="D1684" s="13" t="s">
        <v>33</v>
      </c>
    </row>
    <row r="1685" spans="1:4" x14ac:dyDescent="0.3">
      <c r="A1685" s="13" t="s">
        <v>158</v>
      </c>
      <c r="B1685" s="14">
        <v>0.97908340476729061</v>
      </c>
      <c r="C1685" s="13" t="s">
        <v>115</v>
      </c>
      <c r="D1685" s="13" t="s">
        <v>29</v>
      </c>
    </row>
    <row r="1686" spans="1:4" x14ac:dyDescent="0.3">
      <c r="A1686" s="13" t="s">
        <v>158</v>
      </c>
      <c r="B1686" s="14">
        <v>0.97472683759837253</v>
      </c>
      <c r="C1686" s="13" t="s">
        <v>115</v>
      </c>
      <c r="D1686" s="13" t="s">
        <v>36</v>
      </c>
    </row>
    <row r="1687" spans="1:4" x14ac:dyDescent="0.3">
      <c r="A1687" s="13" t="s">
        <v>158</v>
      </c>
      <c r="B1687" s="14">
        <v>0.96064561781873437</v>
      </c>
      <c r="C1687" s="13" t="s">
        <v>115</v>
      </c>
      <c r="D1687" s="13" t="s">
        <v>41</v>
      </c>
    </row>
    <row r="1688" spans="1:4" x14ac:dyDescent="0.3">
      <c r="A1688" s="13" t="s">
        <v>158</v>
      </c>
      <c r="B1688" s="14">
        <v>0.98987470736489258</v>
      </c>
      <c r="C1688" s="13" t="s">
        <v>25</v>
      </c>
      <c r="D1688" s="13"/>
    </row>
    <row r="1689" spans="1:4" x14ac:dyDescent="0.3">
      <c r="A1689" s="13" t="s">
        <v>158</v>
      </c>
      <c r="B1689" s="14">
        <v>0.96089723919301218</v>
      </c>
      <c r="C1689" s="13" t="s">
        <v>25</v>
      </c>
      <c r="D1689" s="13" t="s">
        <v>0</v>
      </c>
    </row>
    <row r="1690" spans="1:4" x14ac:dyDescent="0.3">
      <c r="A1690" s="13" t="s">
        <v>158</v>
      </c>
      <c r="B1690" s="14">
        <v>0.84770935970805694</v>
      </c>
      <c r="C1690" s="13" t="s">
        <v>116</v>
      </c>
      <c r="D1690" s="13" t="s">
        <v>0</v>
      </c>
    </row>
    <row r="1691" spans="1:4" x14ac:dyDescent="0.3">
      <c r="A1691" s="13" t="s">
        <v>158</v>
      </c>
      <c r="B1691" s="14">
        <v>0.97769214357513001</v>
      </c>
      <c r="C1691" s="13" t="s">
        <v>117</v>
      </c>
      <c r="D1691" s="13" t="s">
        <v>29</v>
      </c>
    </row>
    <row r="1692" spans="1:4" x14ac:dyDescent="0.3">
      <c r="A1692" s="13" t="s">
        <v>158</v>
      </c>
      <c r="B1692" s="14">
        <v>0.94470625484213622</v>
      </c>
      <c r="C1692" s="13" t="s">
        <v>26</v>
      </c>
      <c r="D1692" s="13" t="s">
        <v>0</v>
      </c>
    </row>
    <row r="1693" spans="1:4" x14ac:dyDescent="0.3">
      <c r="A1693" s="13" t="s">
        <v>158</v>
      </c>
      <c r="B1693" s="14">
        <v>0.91828025417771597</v>
      </c>
      <c r="C1693" s="13" t="s">
        <v>26</v>
      </c>
      <c r="D1693" s="13" t="s">
        <v>33</v>
      </c>
    </row>
    <row r="1694" spans="1:4" x14ac:dyDescent="0.3">
      <c r="A1694" s="13" t="s">
        <v>158</v>
      </c>
      <c r="B1694" s="14">
        <v>0.9126635332102333</v>
      </c>
      <c r="C1694" s="13" t="s">
        <v>26</v>
      </c>
      <c r="D1694" s="13" t="s">
        <v>29</v>
      </c>
    </row>
    <row r="1695" spans="1:4" x14ac:dyDescent="0.3">
      <c r="A1695" s="13" t="s">
        <v>158</v>
      </c>
      <c r="B1695" s="14">
        <v>0.95597455809897192</v>
      </c>
      <c r="C1695" s="13" t="s">
        <v>26</v>
      </c>
      <c r="D1695" s="13" t="s">
        <v>36</v>
      </c>
    </row>
    <row r="1696" spans="1:4" x14ac:dyDescent="0.3">
      <c r="A1696" s="13" t="s">
        <v>158</v>
      </c>
      <c r="B1696" s="14">
        <v>0.42791390406561541</v>
      </c>
      <c r="C1696" s="13" t="s">
        <v>118</v>
      </c>
      <c r="D1696" s="13" t="s">
        <v>29</v>
      </c>
    </row>
    <row r="1697" spans="1:4" x14ac:dyDescent="0.3">
      <c r="A1697" s="13" t="s">
        <v>158</v>
      </c>
      <c r="B1697" s="14">
        <v>0.74091925749454557</v>
      </c>
      <c r="C1697" s="13" t="s">
        <v>119</v>
      </c>
      <c r="D1697" s="13" t="s">
        <v>42</v>
      </c>
    </row>
    <row r="1698" spans="1:4" x14ac:dyDescent="0.3">
      <c r="A1698" s="13" t="s">
        <v>158</v>
      </c>
      <c r="B1698" s="14">
        <v>0.33458851715793742</v>
      </c>
      <c r="C1698" s="13" t="s">
        <v>156</v>
      </c>
      <c r="D1698" s="13" t="s">
        <v>29</v>
      </c>
    </row>
    <row r="1699" spans="1:4" x14ac:dyDescent="0.3">
      <c r="A1699" s="13" t="s">
        <v>158</v>
      </c>
      <c r="B1699" s="14">
        <v>1</v>
      </c>
      <c r="C1699" s="13" t="s">
        <v>120</v>
      </c>
      <c r="D1699" s="13"/>
    </row>
    <row r="1700" spans="1:4" x14ac:dyDescent="0.3">
      <c r="A1700" s="13" t="s">
        <v>158</v>
      </c>
      <c r="B1700" s="14">
        <v>0.90808064636995978</v>
      </c>
      <c r="C1700" s="13" t="s">
        <v>121</v>
      </c>
      <c r="D1700" s="13"/>
    </row>
    <row r="1701" spans="1:4" x14ac:dyDescent="0.3">
      <c r="A1701" s="13" t="s">
        <v>158</v>
      </c>
      <c r="B1701" s="14">
        <v>0.82125727740262922</v>
      </c>
      <c r="C1701" s="13" t="s">
        <v>121</v>
      </c>
      <c r="D1701" s="13" t="s">
        <v>0</v>
      </c>
    </row>
    <row r="1702" spans="1:4" x14ac:dyDescent="0.3">
      <c r="A1702" s="13" t="s">
        <v>158</v>
      </c>
      <c r="B1702" s="14">
        <v>0.90714863830783998</v>
      </c>
      <c r="C1702" s="13" t="s">
        <v>122</v>
      </c>
      <c r="D1702" s="13" t="s">
        <v>42</v>
      </c>
    </row>
    <row r="1703" spans="1:4" x14ac:dyDescent="0.3">
      <c r="A1703" s="13" t="s">
        <v>158</v>
      </c>
      <c r="B1703" s="14">
        <v>0.55729815933277815</v>
      </c>
      <c r="C1703" s="13" t="s">
        <v>123</v>
      </c>
      <c r="D1703" s="13" t="s">
        <v>29</v>
      </c>
    </row>
    <row r="1704" spans="1:4" x14ac:dyDescent="0.3">
      <c r="A1704" s="13" t="s">
        <v>158</v>
      </c>
      <c r="B1704" s="14">
        <v>0.92238092978426511</v>
      </c>
      <c r="C1704" s="13" t="s">
        <v>124</v>
      </c>
      <c r="D1704" s="13" t="s">
        <v>0</v>
      </c>
    </row>
    <row r="1705" spans="1:4" x14ac:dyDescent="0.3">
      <c r="A1705" s="13" t="s">
        <v>158</v>
      </c>
      <c r="B1705" s="14">
        <v>0.9020697213348301</v>
      </c>
      <c r="C1705" s="13" t="s">
        <v>124</v>
      </c>
      <c r="D1705" s="13" t="s">
        <v>33</v>
      </c>
    </row>
    <row r="1706" spans="1:4" x14ac:dyDescent="0.3">
      <c r="A1706" s="13" t="s">
        <v>158</v>
      </c>
      <c r="B1706" s="14">
        <v>0.92813578471326552</v>
      </c>
      <c r="C1706" s="13" t="s">
        <v>124</v>
      </c>
      <c r="D1706" s="13" t="s">
        <v>29</v>
      </c>
    </row>
    <row r="1707" spans="1:4" x14ac:dyDescent="0.3">
      <c r="A1707" s="13" t="s">
        <v>158</v>
      </c>
      <c r="B1707" s="14">
        <v>0.85320071601326097</v>
      </c>
      <c r="C1707" s="13" t="s">
        <v>124</v>
      </c>
      <c r="D1707" s="13" t="s">
        <v>36</v>
      </c>
    </row>
    <row r="1708" spans="1:4" x14ac:dyDescent="0.3">
      <c r="A1708" s="13" t="s">
        <v>158</v>
      </c>
      <c r="B1708" s="14">
        <v>0.92993024528279766</v>
      </c>
      <c r="C1708" s="13" t="s">
        <v>124</v>
      </c>
      <c r="D1708" s="13" t="s">
        <v>41</v>
      </c>
    </row>
    <row r="1709" spans="1:4" x14ac:dyDescent="0.3">
      <c r="A1709" s="13" t="s">
        <v>158</v>
      </c>
      <c r="B1709" s="14">
        <v>0.62620795284247588</v>
      </c>
      <c r="C1709" s="13" t="s">
        <v>125</v>
      </c>
      <c r="D1709" s="13" t="s">
        <v>41</v>
      </c>
    </row>
    <row r="1710" spans="1:4" x14ac:dyDescent="0.3">
      <c r="A1710" s="13" t="s">
        <v>158</v>
      </c>
      <c r="B1710" s="14">
        <v>0.99068653652218464</v>
      </c>
      <c r="C1710" s="13" t="s">
        <v>126</v>
      </c>
      <c r="D1710" s="13" t="s">
        <v>36</v>
      </c>
    </row>
    <row r="1711" spans="1:4" x14ac:dyDescent="0.3">
      <c r="A1711" s="13" t="s">
        <v>158</v>
      </c>
      <c r="B1711" s="14">
        <v>0.82841786827558095</v>
      </c>
      <c r="C1711" s="13" t="s">
        <v>127</v>
      </c>
      <c r="D1711" s="13" t="s">
        <v>41</v>
      </c>
    </row>
    <row r="1712" spans="1:4" x14ac:dyDescent="0.3">
      <c r="A1712" s="13" t="s">
        <v>158</v>
      </c>
      <c r="B1712" s="14">
        <v>0.95704178113956584</v>
      </c>
      <c r="C1712" s="13" t="s">
        <v>128</v>
      </c>
      <c r="D1712" s="13" t="s">
        <v>0</v>
      </c>
    </row>
    <row r="1713" spans="1:4" x14ac:dyDescent="0.3">
      <c r="A1713" s="13" t="s">
        <v>158</v>
      </c>
      <c r="B1713" s="14">
        <v>0.96291126098285651</v>
      </c>
      <c r="C1713" s="13" t="s">
        <v>128</v>
      </c>
      <c r="D1713" s="13" t="s">
        <v>33</v>
      </c>
    </row>
    <row r="1714" spans="1:4" x14ac:dyDescent="0.3">
      <c r="A1714" s="13" t="s">
        <v>158</v>
      </c>
      <c r="B1714" s="14">
        <v>0.94652091872239552</v>
      </c>
      <c r="C1714" s="13" t="s">
        <v>128</v>
      </c>
      <c r="D1714" s="13" t="s">
        <v>29</v>
      </c>
    </row>
    <row r="1715" spans="1:4" x14ac:dyDescent="0.3">
      <c r="A1715" s="13" t="s">
        <v>158</v>
      </c>
      <c r="B1715" s="14">
        <v>0.9517696447324282</v>
      </c>
      <c r="C1715" s="13" t="s">
        <v>128</v>
      </c>
      <c r="D1715" s="13" t="s">
        <v>41</v>
      </c>
    </row>
    <row r="1716" spans="1:4" x14ac:dyDescent="0.3">
      <c r="A1716" s="13" t="s">
        <v>158</v>
      </c>
      <c r="B1716" s="14">
        <v>0.94352806481303586</v>
      </c>
      <c r="C1716" s="13" t="s">
        <v>129</v>
      </c>
      <c r="D1716" s="13" t="s">
        <v>29</v>
      </c>
    </row>
    <row r="1717" spans="1:4" x14ac:dyDescent="0.3">
      <c r="A1717" s="13" t="s">
        <v>158</v>
      </c>
      <c r="B1717" s="14">
        <v>0.94454753859407048</v>
      </c>
      <c r="C1717" s="13" t="s">
        <v>27</v>
      </c>
      <c r="D1717" s="13" t="s">
        <v>0</v>
      </c>
    </row>
    <row r="1718" spans="1:4" x14ac:dyDescent="0.3">
      <c r="A1718" s="13" t="s">
        <v>158</v>
      </c>
      <c r="B1718" s="14">
        <v>0.85636251648480188</v>
      </c>
      <c r="C1718" s="13" t="s">
        <v>27</v>
      </c>
      <c r="D1718" s="13" t="s">
        <v>33</v>
      </c>
    </row>
    <row r="1719" spans="1:4" x14ac:dyDescent="0.3">
      <c r="A1719" s="13" t="s">
        <v>158</v>
      </c>
      <c r="B1719" s="14">
        <v>0.98936506675562275</v>
      </c>
      <c r="C1719" s="13" t="s">
        <v>27</v>
      </c>
      <c r="D1719" s="13" t="s">
        <v>41</v>
      </c>
    </row>
    <row r="1720" spans="1:4" x14ac:dyDescent="0.3">
      <c r="A1720" s="13" t="s">
        <v>158</v>
      </c>
      <c r="B1720" s="14">
        <v>0.97226941728875549</v>
      </c>
      <c r="C1720" s="13" t="s">
        <v>131</v>
      </c>
      <c r="D1720" s="13" t="s">
        <v>0</v>
      </c>
    </row>
    <row r="1721" spans="1:4" x14ac:dyDescent="0.3">
      <c r="A1721" s="13" t="s">
        <v>158</v>
      </c>
      <c r="B1721" s="14">
        <v>0.95612156526385328</v>
      </c>
      <c r="C1721" s="13" t="s">
        <v>131</v>
      </c>
      <c r="D1721" s="13" t="s">
        <v>42</v>
      </c>
    </row>
    <row r="1722" spans="1:4" x14ac:dyDescent="0.3">
      <c r="A1722" s="13" t="s">
        <v>158</v>
      </c>
      <c r="B1722" s="14">
        <v>0.96709086925115295</v>
      </c>
      <c r="C1722" s="13" t="s">
        <v>131</v>
      </c>
      <c r="D1722" s="13" t="s">
        <v>33</v>
      </c>
    </row>
    <row r="1723" spans="1:4" x14ac:dyDescent="0.3">
      <c r="A1723" s="13" t="s">
        <v>158</v>
      </c>
      <c r="B1723" s="14">
        <v>0.96426305209064322</v>
      </c>
      <c r="C1723" s="13" t="s">
        <v>131</v>
      </c>
      <c r="D1723" s="13" t="s">
        <v>29</v>
      </c>
    </row>
    <row r="1724" spans="1:4" x14ac:dyDescent="0.3">
      <c r="A1724" s="13" t="s">
        <v>158</v>
      </c>
      <c r="B1724" s="14">
        <v>0.94911165211474469</v>
      </c>
      <c r="C1724" s="13" t="s">
        <v>131</v>
      </c>
      <c r="D1724" s="13" t="s">
        <v>36</v>
      </c>
    </row>
    <row r="1725" spans="1:4" x14ac:dyDescent="0.3">
      <c r="A1725" s="13" t="s">
        <v>158</v>
      </c>
      <c r="B1725" s="14">
        <v>0.9702364286580597</v>
      </c>
      <c r="C1725" s="13" t="s">
        <v>131</v>
      </c>
      <c r="D1725" s="13" t="s">
        <v>41</v>
      </c>
    </row>
    <row r="1726" spans="1:4" x14ac:dyDescent="0.3">
      <c r="A1726" s="13" t="s">
        <v>158</v>
      </c>
      <c r="B1726" s="14">
        <v>0.92773798602623991</v>
      </c>
      <c r="C1726" s="13" t="s">
        <v>44</v>
      </c>
      <c r="D1726" s="13" t="s">
        <v>42</v>
      </c>
    </row>
    <row r="1727" spans="1:4" x14ac:dyDescent="0.3">
      <c r="A1727" s="13" t="s">
        <v>158</v>
      </c>
      <c r="B1727" s="14">
        <v>0.92940004152931854</v>
      </c>
      <c r="C1727" s="13" t="s">
        <v>45</v>
      </c>
      <c r="D1727" s="13" t="s">
        <v>42</v>
      </c>
    </row>
    <row r="1728" spans="1:4" x14ac:dyDescent="0.3">
      <c r="A1728" s="13" t="s">
        <v>158</v>
      </c>
      <c r="B1728" s="14">
        <v>0.96627748045956485</v>
      </c>
      <c r="C1728" s="13" t="s">
        <v>46</v>
      </c>
      <c r="D1728" s="13" t="s">
        <v>42</v>
      </c>
    </row>
    <row r="1729" spans="1:4" x14ac:dyDescent="0.3">
      <c r="A1729" s="13" t="s">
        <v>158</v>
      </c>
      <c r="B1729" s="14">
        <v>0.90990092085814256</v>
      </c>
      <c r="C1729" s="13" t="s">
        <v>132</v>
      </c>
      <c r="D1729" s="13" t="s">
        <v>29</v>
      </c>
    </row>
    <row r="1730" spans="1:4" x14ac:dyDescent="0.3">
      <c r="A1730" s="13" t="s">
        <v>158</v>
      </c>
      <c r="B1730" s="14">
        <v>0.9304174153091701</v>
      </c>
      <c r="C1730" s="13" t="s">
        <v>133</v>
      </c>
      <c r="D1730" s="13"/>
    </row>
    <row r="1731" spans="1:4" x14ac:dyDescent="0.3">
      <c r="A1731" s="13" t="s">
        <v>158</v>
      </c>
      <c r="B1731" s="14">
        <v>0.79129939365180069</v>
      </c>
      <c r="C1731" s="13" t="s">
        <v>133</v>
      </c>
      <c r="D1731" s="13" t="s">
        <v>0</v>
      </c>
    </row>
    <row r="1732" spans="1:4" x14ac:dyDescent="0.3">
      <c r="A1732" s="13" t="s">
        <v>158</v>
      </c>
      <c r="B1732" s="14">
        <v>0.86181575682464939</v>
      </c>
      <c r="C1732" s="13" t="s">
        <v>134</v>
      </c>
      <c r="D1732" s="13" t="s">
        <v>36</v>
      </c>
    </row>
    <row r="1733" spans="1:4" x14ac:dyDescent="0.3">
      <c r="A1733" s="13" t="s">
        <v>158</v>
      </c>
      <c r="B1733" s="14">
        <v>0.82782745653167611</v>
      </c>
      <c r="C1733" s="13" t="s">
        <v>135</v>
      </c>
      <c r="D1733" s="13" t="s">
        <v>0</v>
      </c>
    </row>
    <row r="1734" spans="1:4" x14ac:dyDescent="0.3">
      <c r="A1734" s="13" t="s">
        <v>158</v>
      </c>
      <c r="B1734" s="14">
        <v>1</v>
      </c>
      <c r="C1734" s="13" t="s">
        <v>136</v>
      </c>
      <c r="D1734" s="13"/>
    </row>
    <row r="1735" spans="1:4" x14ac:dyDescent="0.3">
      <c r="A1735" s="13" t="s">
        <v>158</v>
      </c>
      <c r="B1735" s="14">
        <v>0.98001782244947311</v>
      </c>
      <c r="C1735" s="13" t="s">
        <v>136</v>
      </c>
      <c r="D1735" s="13" t="s">
        <v>42</v>
      </c>
    </row>
    <row r="1736" spans="1:4" x14ac:dyDescent="0.3">
      <c r="A1736" s="13" t="s">
        <v>158</v>
      </c>
      <c r="B1736" s="14">
        <v>0.83859660347342002</v>
      </c>
      <c r="C1736" s="13" t="s">
        <v>137</v>
      </c>
      <c r="D1736" s="13" t="s">
        <v>42</v>
      </c>
    </row>
    <row r="1737" spans="1:4" x14ac:dyDescent="0.3">
      <c r="A1737" s="13" t="s">
        <v>158</v>
      </c>
      <c r="B1737" s="14">
        <v>0.84857198599997707</v>
      </c>
      <c r="C1737" s="13" t="s">
        <v>138</v>
      </c>
      <c r="D1737" s="13" t="s">
        <v>0</v>
      </c>
    </row>
    <row r="1738" spans="1:4" x14ac:dyDescent="0.3">
      <c r="A1738" s="13" t="s">
        <v>158</v>
      </c>
      <c r="B1738" s="14">
        <v>0.8846656648641823</v>
      </c>
      <c r="C1738" s="13" t="s">
        <v>139</v>
      </c>
      <c r="D1738" s="13" t="s">
        <v>42</v>
      </c>
    </row>
    <row r="1739" spans="1:4" x14ac:dyDescent="0.3">
      <c r="A1739" s="13" t="s">
        <v>158</v>
      </c>
      <c r="B1739" s="14">
        <v>0.2204005235645162</v>
      </c>
      <c r="C1739" s="13" t="s">
        <v>140</v>
      </c>
      <c r="D1739" s="13" t="s">
        <v>36</v>
      </c>
    </row>
    <row r="1740" spans="1:4" x14ac:dyDescent="0.3">
      <c r="A1740" s="13" t="s">
        <v>158</v>
      </c>
      <c r="B1740" s="14">
        <v>0.85898823803962066</v>
      </c>
      <c r="C1740" s="13" t="s">
        <v>40</v>
      </c>
      <c r="D1740" s="13"/>
    </row>
    <row r="1741" spans="1:4" x14ac:dyDescent="0.3">
      <c r="A1741" s="13" t="s">
        <v>158</v>
      </c>
      <c r="B1741" s="14">
        <v>0.89845338651620676</v>
      </c>
      <c r="C1741" s="13" t="s">
        <v>40</v>
      </c>
      <c r="D1741" s="13" t="s">
        <v>42</v>
      </c>
    </row>
    <row r="1742" spans="1:4" x14ac:dyDescent="0.3">
      <c r="A1742" s="13" t="s">
        <v>158</v>
      </c>
      <c r="B1742" s="14">
        <v>0.94507777865287557</v>
      </c>
      <c r="C1742" s="13" t="s">
        <v>40</v>
      </c>
      <c r="D1742" s="13" t="s">
        <v>36</v>
      </c>
    </row>
    <row r="1743" spans="1:4" x14ac:dyDescent="0.3">
      <c r="A1743" s="13" t="s">
        <v>158</v>
      </c>
      <c r="B1743" s="14">
        <v>0.74494277351543847</v>
      </c>
      <c r="C1743" s="13" t="s">
        <v>141</v>
      </c>
      <c r="D1743" s="13" t="s">
        <v>29</v>
      </c>
    </row>
    <row r="1744" spans="1:4" x14ac:dyDescent="0.3">
      <c r="A1744" s="13" t="s">
        <v>158</v>
      </c>
      <c r="B1744" s="14">
        <v>0.52504846790953452</v>
      </c>
      <c r="C1744" s="13" t="s">
        <v>142</v>
      </c>
      <c r="D1744" s="13" t="s">
        <v>41</v>
      </c>
    </row>
    <row r="1745" spans="1:4" x14ac:dyDescent="0.3">
      <c r="A1745" s="13" t="s">
        <v>158</v>
      </c>
      <c r="B1745" s="14">
        <v>0.82156121250386771</v>
      </c>
      <c r="C1745" s="13" t="s">
        <v>143</v>
      </c>
      <c r="D1745" s="13" t="s">
        <v>42</v>
      </c>
    </row>
    <row r="1746" spans="1:4" x14ac:dyDescent="0.3">
      <c r="A1746" s="13" t="s">
        <v>158</v>
      </c>
      <c r="B1746" s="14">
        <v>0.96761154042059749</v>
      </c>
      <c r="C1746" s="13" t="s">
        <v>144</v>
      </c>
      <c r="D1746" s="13"/>
    </row>
    <row r="1747" spans="1:4" x14ac:dyDescent="0.3">
      <c r="A1747" s="13" t="s">
        <v>158</v>
      </c>
      <c r="B1747" s="14">
        <v>0.92550593017914329</v>
      </c>
      <c r="C1747" s="13" t="s">
        <v>144</v>
      </c>
      <c r="D1747" s="13" t="s">
        <v>42</v>
      </c>
    </row>
    <row r="1748" spans="1:4" x14ac:dyDescent="0.3">
      <c r="A1748" s="13" t="s">
        <v>158</v>
      </c>
      <c r="B1748" s="14">
        <v>0.98068748556563634</v>
      </c>
      <c r="C1748" s="13" t="s">
        <v>47</v>
      </c>
      <c r="D1748" s="13" t="s">
        <v>42</v>
      </c>
    </row>
    <row r="1749" spans="1:4" x14ac:dyDescent="0.3">
      <c r="A1749" s="13" t="s">
        <v>158</v>
      </c>
      <c r="B1749" s="14">
        <v>0.95886270513754357</v>
      </c>
      <c r="C1749" s="13" t="s">
        <v>145</v>
      </c>
      <c r="D1749" s="13" t="s">
        <v>0</v>
      </c>
    </row>
    <row r="1750" spans="1:4" x14ac:dyDescent="0.3">
      <c r="A1750" s="13" t="s">
        <v>158</v>
      </c>
      <c r="B1750" s="14">
        <v>0.7240518439633038</v>
      </c>
      <c r="C1750" s="13" t="s">
        <v>146</v>
      </c>
      <c r="D1750" s="13" t="s">
        <v>41</v>
      </c>
    </row>
    <row r="1751" spans="1:4" x14ac:dyDescent="0.3">
      <c r="A1751" s="13" t="s">
        <v>158</v>
      </c>
      <c r="B1751" s="14">
        <v>0.95190221483162918</v>
      </c>
      <c r="C1751" s="13" t="s">
        <v>32</v>
      </c>
      <c r="D1751" s="13" t="s">
        <v>33</v>
      </c>
    </row>
    <row r="1752" spans="1:4" x14ac:dyDescent="0.3">
      <c r="A1752" s="13" t="s">
        <v>158</v>
      </c>
      <c r="B1752" s="14">
        <v>0.97681989063567998</v>
      </c>
      <c r="C1752" s="13" t="s">
        <v>32</v>
      </c>
      <c r="D1752" s="13" t="s">
        <v>29</v>
      </c>
    </row>
    <row r="1753" spans="1:4" x14ac:dyDescent="0.3">
      <c r="A1753" s="13" t="s">
        <v>158</v>
      </c>
      <c r="B1753" s="14">
        <v>0.96278304040345419</v>
      </c>
      <c r="C1753" s="13" t="s">
        <v>32</v>
      </c>
      <c r="D1753" s="13" t="s">
        <v>36</v>
      </c>
    </row>
    <row r="1754" spans="1:4" x14ac:dyDescent="0.3">
      <c r="A1754" s="13" t="s">
        <v>159</v>
      </c>
      <c r="B1754" s="14">
        <v>0.98379153354209981</v>
      </c>
      <c r="C1754" s="13" t="s">
        <v>55</v>
      </c>
      <c r="D1754" s="13" t="s">
        <v>33</v>
      </c>
    </row>
    <row r="1755" spans="1:4" x14ac:dyDescent="0.3">
      <c r="A1755" s="13" t="s">
        <v>159</v>
      </c>
      <c r="B1755" s="14">
        <v>1</v>
      </c>
      <c r="C1755" s="13" t="s">
        <v>37</v>
      </c>
      <c r="D1755" s="13" t="s">
        <v>42</v>
      </c>
    </row>
    <row r="1756" spans="1:4" x14ac:dyDescent="0.3">
      <c r="A1756" s="13" t="s">
        <v>159</v>
      </c>
      <c r="B1756" s="14">
        <v>1</v>
      </c>
      <c r="C1756" s="13" t="s">
        <v>30</v>
      </c>
      <c r="D1756" s="13" t="s">
        <v>42</v>
      </c>
    </row>
    <row r="1757" spans="1:4" x14ac:dyDescent="0.3">
      <c r="A1757" s="13" t="s">
        <v>159</v>
      </c>
      <c r="B1757" s="14">
        <v>0.94546396745877836</v>
      </c>
      <c r="C1757" s="13" t="s">
        <v>66</v>
      </c>
      <c r="D1757" s="13" t="s">
        <v>41</v>
      </c>
    </row>
    <row r="1758" spans="1:4" x14ac:dyDescent="0.3">
      <c r="A1758" s="13" t="s">
        <v>159</v>
      </c>
      <c r="B1758" s="14">
        <v>0.97837721139855272</v>
      </c>
      <c r="C1758" s="13" t="s">
        <v>67</v>
      </c>
      <c r="D1758" s="13" t="s">
        <v>0</v>
      </c>
    </row>
    <row r="1759" spans="1:4" x14ac:dyDescent="0.3">
      <c r="A1759" s="13" t="s">
        <v>159</v>
      </c>
      <c r="B1759" s="14">
        <v>0.99674127144746894</v>
      </c>
      <c r="C1759" s="13" t="s">
        <v>67</v>
      </c>
      <c r="D1759" s="13" t="s">
        <v>33</v>
      </c>
    </row>
    <row r="1760" spans="1:4" x14ac:dyDescent="0.3">
      <c r="A1760" s="13" t="s">
        <v>159</v>
      </c>
      <c r="B1760" s="14">
        <v>0.93909191057955832</v>
      </c>
      <c r="C1760" s="13" t="s">
        <v>67</v>
      </c>
      <c r="D1760" s="13" t="s">
        <v>41</v>
      </c>
    </row>
    <row r="1761" spans="1:4" x14ac:dyDescent="0.3">
      <c r="A1761" s="13" t="s">
        <v>159</v>
      </c>
      <c r="B1761" s="14">
        <v>0.92319726644323408</v>
      </c>
      <c r="C1761" s="13" t="s">
        <v>15</v>
      </c>
      <c r="D1761" s="13" t="s">
        <v>42</v>
      </c>
    </row>
    <row r="1762" spans="1:4" x14ac:dyDescent="0.3">
      <c r="A1762" s="13" t="s">
        <v>159</v>
      </c>
      <c r="B1762" s="14">
        <v>1</v>
      </c>
      <c r="C1762" s="13" t="s">
        <v>43</v>
      </c>
      <c r="D1762" s="13" t="s">
        <v>42</v>
      </c>
    </row>
    <row r="1763" spans="1:4" x14ac:dyDescent="0.3">
      <c r="A1763" s="13" t="s">
        <v>159</v>
      </c>
      <c r="B1763" s="14">
        <v>0.96739267452736777</v>
      </c>
      <c r="C1763" s="13" t="s">
        <v>75</v>
      </c>
      <c r="D1763" s="13" t="s">
        <v>0</v>
      </c>
    </row>
    <row r="1764" spans="1:4" x14ac:dyDescent="0.3">
      <c r="A1764" s="13" t="s">
        <v>159</v>
      </c>
      <c r="B1764" s="14">
        <v>0.97374757664915701</v>
      </c>
      <c r="C1764" s="13" t="s">
        <v>75</v>
      </c>
      <c r="D1764" s="13" t="s">
        <v>33</v>
      </c>
    </row>
    <row r="1765" spans="1:4" x14ac:dyDescent="0.3">
      <c r="A1765" s="13" t="s">
        <v>159</v>
      </c>
      <c r="B1765" s="14">
        <v>0.9356677446794085</v>
      </c>
      <c r="C1765" s="13" t="s">
        <v>75</v>
      </c>
      <c r="D1765" s="13" t="s">
        <v>29</v>
      </c>
    </row>
    <row r="1766" spans="1:4" x14ac:dyDescent="0.3">
      <c r="A1766" s="13" t="s">
        <v>159</v>
      </c>
      <c r="B1766" s="14">
        <v>0.99646697054822686</v>
      </c>
      <c r="C1766" s="13" t="s">
        <v>78</v>
      </c>
      <c r="D1766" s="13" t="s">
        <v>33</v>
      </c>
    </row>
    <row r="1767" spans="1:4" x14ac:dyDescent="0.3">
      <c r="A1767" s="13" t="s">
        <v>159</v>
      </c>
      <c r="B1767" s="14">
        <v>0.99827077392150432</v>
      </c>
      <c r="C1767" s="13" t="s">
        <v>78</v>
      </c>
      <c r="D1767" s="13" t="s">
        <v>29</v>
      </c>
    </row>
    <row r="1768" spans="1:4" x14ac:dyDescent="0.3">
      <c r="A1768" s="13" t="s">
        <v>159</v>
      </c>
      <c r="B1768" s="14">
        <v>0.95981326698688163</v>
      </c>
      <c r="C1768" s="13" t="s">
        <v>82</v>
      </c>
      <c r="D1768" s="13" t="s">
        <v>33</v>
      </c>
    </row>
    <row r="1769" spans="1:4" x14ac:dyDescent="0.3">
      <c r="A1769" s="13" t="s">
        <v>159</v>
      </c>
      <c r="B1769" s="14">
        <v>0.97298856871977901</v>
      </c>
      <c r="C1769" s="13" t="s">
        <v>82</v>
      </c>
      <c r="D1769" s="13" t="s">
        <v>29</v>
      </c>
    </row>
    <row r="1770" spans="1:4" x14ac:dyDescent="0.3">
      <c r="A1770" s="13" t="s">
        <v>159</v>
      </c>
      <c r="B1770" s="14">
        <v>0.99481549455389351</v>
      </c>
      <c r="C1770" s="13" t="s">
        <v>82</v>
      </c>
      <c r="D1770" s="13" t="s">
        <v>41</v>
      </c>
    </row>
    <row r="1771" spans="1:4" x14ac:dyDescent="0.3">
      <c r="A1771" s="13" t="s">
        <v>159</v>
      </c>
      <c r="B1771" s="14">
        <v>0.79538892777700265</v>
      </c>
      <c r="C1771" s="13" t="s">
        <v>85</v>
      </c>
      <c r="D1771" s="13" t="s">
        <v>41</v>
      </c>
    </row>
    <row r="1772" spans="1:4" x14ac:dyDescent="0.3">
      <c r="A1772" s="13" t="s">
        <v>159</v>
      </c>
      <c r="B1772" s="14">
        <v>0.85857148365169778</v>
      </c>
      <c r="C1772" s="13" t="s">
        <v>90</v>
      </c>
      <c r="D1772" s="13" t="s">
        <v>33</v>
      </c>
    </row>
    <row r="1773" spans="1:4" x14ac:dyDescent="0.3">
      <c r="A1773" s="13" t="s">
        <v>159</v>
      </c>
      <c r="B1773" s="14">
        <v>0.97377227150013701</v>
      </c>
      <c r="C1773" s="13" t="s">
        <v>23</v>
      </c>
      <c r="D1773" s="13" t="s">
        <v>0</v>
      </c>
    </row>
    <row r="1774" spans="1:4" x14ac:dyDescent="0.3">
      <c r="A1774" s="13" t="s">
        <v>159</v>
      </c>
      <c r="B1774" s="14">
        <v>0.95039152710412422</v>
      </c>
      <c r="C1774" s="13" t="s">
        <v>38</v>
      </c>
      <c r="D1774" s="13" t="s">
        <v>42</v>
      </c>
    </row>
    <row r="1775" spans="1:4" x14ac:dyDescent="0.3">
      <c r="A1775" s="13" t="s">
        <v>159</v>
      </c>
      <c r="B1775" s="14">
        <v>0.98103095365118065</v>
      </c>
      <c r="C1775" s="13" t="s">
        <v>102</v>
      </c>
      <c r="D1775" s="13" t="s">
        <v>0</v>
      </c>
    </row>
    <row r="1776" spans="1:4" x14ac:dyDescent="0.3">
      <c r="A1776" s="13" t="s">
        <v>159</v>
      </c>
      <c r="B1776" s="14">
        <v>0.98420048342295008</v>
      </c>
      <c r="C1776" s="13" t="s">
        <v>102</v>
      </c>
      <c r="D1776" s="13" t="s">
        <v>42</v>
      </c>
    </row>
    <row r="1777" spans="1:4" x14ac:dyDescent="0.3">
      <c r="A1777" s="13" t="s">
        <v>159</v>
      </c>
      <c r="B1777" s="14">
        <v>0.95990724300181596</v>
      </c>
      <c r="C1777" s="13" t="s">
        <v>102</v>
      </c>
      <c r="D1777" s="13" t="s">
        <v>33</v>
      </c>
    </row>
    <row r="1778" spans="1:4" x14ac:dyDescent="0.3">
      <c r="A1778" s="13" t="s">
        <v>159</v>
      </c>
      <c r="B1778" s="14">
        <v>0.95824527896130562</v>
      </c>
      <c r="C1778" s="13" t="s">
        <v>102</v>
      </c>
      <c r="D1778" s="13" t="s">
        <v>29</v>
      </c>
    </row>
    <row r="1779" spans="1:4" x14ac:dyDescent="0.3">
      <c r="A1779" s="13" t="s">
        <v>159</v>
      </c>
      <c r="B1779" s="14">
        <v>0.980743518465645</v>
      </c>
      <c r="C1779" s="13" t="s">
        <v>102</v>
      </c>
      <c r="D1779" s="13" t="s">
        <v>36</v>
      </c>
    </row>
    <row r="1780" spans="1:4" x14ac:dyDescent="0.3">
      <c r="A1780" s="13" t="s">
        <v>159</v>
      </c>
      <c r="B1780" s="14">
        <v>0.95815674511950832</v>
      </c>
      <c r="C1780" s="13" t="s">
        <v>102</v>
      </c>
      <c r="D1780" s="13" t="s">
        <v>41</v>
      </c>
    </row>
    <row r="1781" spans="1:4" x14ac:dyDescent="0.3">
      <c r="A1781" s="13" t="s">
        <v>159</v>
      </c>
      <c r="B1781" s="14">
        <v>0.93116353865039392</v>
      </c>
      <c r="C1781" s="13" t="s">
        <v>103</v>
      </c>
      <c r="D1781" s="13" t="s">
        <v>33</v>
      </c>
    </row>
    <row r="1782" spans="1:4" x14ac:dyDescent="0.3">
      <c r="A1782" s="13" t="s">
        <v>159</v>
      </c>
      <c r="B1782" s="14">
        <v>0.89103923742184821</v>
      </c>
      <c r="C1782" s="13" t="s">
        <v>103</v>
      </c>
      <c r="D1782" s="13" t="s">
        <v>29</v>
      </c>
    </row>
    <row r="1783" spans="1:4" x14ac:dyDescent="0.3">
      <c r="A1783" s="13" t="s">
        <v>159</v>
      </c>
      <c r="B1783" s="14">
        <v>0.98590948834015391</v>
      </c>
      <c r="C1783" s="13" t="s">
        <v>105</v>
      </c>
      <c r="D1783" s="13" t="s">
        <v>41</v>
      </c>
    </row>
    <row r="1784" spans="1:4" x14ac:dyDescent="0.3">
      <c r="A1784" s="13" t="s">
        <v>159</v>
      </c>
      <c r="B1784" s="14">
        <v>0.99852509866245287</v>
      </c>
      <c r="C1784" s="13" t="s">
        <v>108</v>
      </c>
      <c r="D1784" s="13" t="s">
        <v>29</v>
      </c>
    </row>
    <row r="1785" spans="1:4" x14ac:dyDescent="0.3">
      <c r="A1785" s="13" t="s">
        <v>159</v>
      </c>
      <c r="B1785" s="14">
        <v>0.73519584815515793</v>
      </c>
      <c r="C1785" s="13" t="s">
        <v>24</v>
      </c>
      <c r="D1785" s="13" t="s">
        <v>33</v>
      </c>
    </row>
    <row r="1786" spans="1:4" x14ac:dyDescent="0.3">
      <c r="A1786" s="13" t="s">
        <v>159</v>
      </c>
      <c r="B1786" s="14">
        <v>0.93902212308918209</v>
      </c>
      <c r="C1786" s="13" t="s">
        <v>110</v>
      </c>
      <c r="D1786" s="13" t="s">
        <v>0</v>
      </c>
    </row>
    <row r="1787" spans="1:4" x14ac:dyDescent="0.3">
      <c r="A1787" s="13" t="s">
        <v>159</v>
      </c>
      <c r="B1787" s="14">
        <v>0.97321691508487695</v>
      </c>
      <c r="C1787" s="13" t="s">
        <v>110</v>
      </c>
      <c r="D1787" s="13" t="s">
        <v>33</v>
      </c>
    </row>
    <row r="1788" spans="1:4" x14ac:dyDescent="0.3">
      <c r="A1788" s="13" t="s">
        <v>159</v>
      </c>
      <c r="B1788" s="14">
        <v>0.90760912162134888</v>
      </c>
      <c r="C1788" s="13" t="s">
        <v>110</v>
      </c>
      <c r="D1788" s="13" t="s">
        <v>29</v>
      </c>
    </row>
    <row r="1789" spans="1:4" x14ac:dyDescent="0.3">
      <c r="A1789" s="13" t="s">
        <v>159</v>
      </c>
      <c r="B1789" s="14">
        <v>0.96308185266767832</v>
      </c>
      <c r="C1789" s="13" t="s">
        <v>110</v>
      </c>
      <c r="D1789" s="13" t="s">
        <v>41</v>
      </c>
    </row>
    <row r="1790" spans="1:4" x14ac:dyDescent="0.3">
      <c r="A1790" s="13" t="s">
        <v>159</v>
      </c>
      <c r="B1790" s="14">
        <v>0.94356169547750912</v>
      </c>
      <c r="C1790" s="13" t="s">
        <v>112</v>
      </c>
      <c r="D1790" s="13" t="s">
        <v>0</v>
      </c>
    </row>
    <row r="1791" spans="1:4" x14ac:dyDescent="0.3">
      <c r="A1791" s="13" t="s">
        <v>159</v>
      </c>
      <c r="B1791" s="14">
        <v>0.95161773215003165</v>
      </c>
      <c r="C1791" s="13" t="s">
        <v>112</v>
      </c>
      <c r="D1791" s="13" t="s">
        <v>42</v>
      </c>
    </row>
    <row r="1792" spans="1:4" x14ac:dyDescent="0.3">
      <c r="A1792" s="13" t="s">
        <v>159</v>
      </c>
      <c r="B1792" s="14">
        <v>0.94348145817865325</v>
      </c>
      <c r="C1792" s="13" t="s">
        <v>112</v>
      </c>
      <c r="D1792" s="13" t="s">
        <v>33</v>
      </c>
    </row>
    <row r="1793" spans="1:4" x14ac:dyDescent="0.3">
      <c r="A1793" s="13" t="s">
        <v>159</v>
      </c>
      <c r="B1793" s="14">
        <v>0.93060248043304572</v>
      </c>
      <c r="C1793" s="13" t="s">
        <v>112</v>
      </c>
      <c r="D1793" s="13" t="s">
        <v>29</v>
      </c>
    </row>
    <row r="1794" spans="1:4" x14ac:dyDescent="0.3">
      <c r="A1794" s="13" t="s">
        <v>159</v>
      </c>
      <c r="B1794" s="14">
        <v>0.9372715153815705</v>
      </c>
      <c r="C1794" s="13" t="s">
        <v>112</v>
      </c>
      <c r="D1794" s="13" t="s">
        <v>36</v>
      </c>
    </row>
    <row r="1795" spans="1:4" x14ac:dyDescent="0.3">
      <c r="A1795" s="13" t="s">
        <v>159</v>
      </c>
      <c r="B1795" s="14">
        <v>0.92515146522837222</v>
      </c>
      <c r="C1795" s="13" t="s">
        <v>112</v>
      </c>
      <c r="D1795" s="13" t="s">
        <v>41</v>
      </c>
    </row>
    <row r="1796" spans="1:4" x14ac:dyDescent="0.3">
      <c r="A1796" s="13" t="s">
        <v>159</v>
      </c>
      <c r="B1796" s="14">
        <v>0.98218558626060271</v>
      </c>
      <c r="C1796" s="13" t="s">
        <v>113</v>
      </c>
      <c r="D1796" s="13" t="s">
        <v>0</v>
      </c>
    </row>
    <row r="1797" spans="1:4" x14ac:dyDescent="0.3">
      <c r="A1797" s="13" t="s">
        <v>159</v>
      </c>
      <c r="B1797" s="14">
        <v>0.98357919728155274</v>
      </c>
      <c r="C1797" s="13" t="s">
        <v>113</v>
      </c>
      <c r="D1797" s="13" t="s">
        <v>33</v>
      </c>
    </row>
    <row r="1798" spans="1:4" x14ac:dyDescent="0.3">
      <c r="A1798" s="13" t="s">
        <v>159</v>
      </c>
      <c r="B1798" s="14">
        <v>0.93718360221126051</v>
      </c>
      <c r="C1798" s="13" t="s">
        <v>113</v>
      </c>
      <c r="D1798" s="13" t="s">
        <v>29</v>
      </c>
    </row>
    <row r="1799" spans="1:4" x14ac:dyDescent="0.3">
      <c r="A1799" s="13" t="s">
        <v>159</v>
      </c>
      <c r="B1799" s="14">
        <v>0.96457948229872148</v>
      </c>
      <c r="C1799" s="13" t="s">
        <v>113</v>
      </c>
      <c r="D1799" s="13" t="s">
        <v>41</v>
      </c>
    </row>
    <row r="1800" spans="1:4" x14ac:dyDescent="0.3">
      <c r="A1800" s="13" t="s">
        <v>159</v>
      </c>
      <c r="B1800" s="14">
        <v>0.95525357517181597</v>
      </c>
      <c r="C1800" s="13" t="s">
        <v>31</v>
      </c>
      <c r="D1800" s="13" t="s">
        <v>29</v>
      </c>
    </row>
    <row r="1801" spans="1:4" x14ac:dyDescent="0.3">
      <c r="A1801" s="13" t="s">
        <v>159</v>
      </c>
      <c r="B1801" s="14">
        <v>0.92398684898403693</v>
      </c>
      <c r="C1801" s="13" t="s">
        <v>39</v>
      </c>
      <c r="D1801" s="13" t="s">
        <v>36</v>
      </c>
    </row>
    <row r="1802" spans="1:4" x14ac:dyDescent="0.3">
      <c r="A1802" s="13" t="s">
        <v>159</v>
      </c>
      <c r="B1802" s="14">
        <v>0.9943371377518786</v>
      </c>
      <c r="C1802" s="13" t="s">
        <v>115</v>
      </c>
      <c r="D1802" s="13" t="s">
        <v>0</v>
      </c>
    </row>
    <row r="1803" spans="1:4" x14ac:dyDescent="0.3">
      <c r="A1803" s="13" t="s">
        <v>159</v>
      </c>
      <c r="B1803" s="14">
        <v>0.99885907687849873</v>
      </c>
      <c r="C1803" s="13" t="s">
        <v>115</v>
      </c>
      <c r="D1803" s="13" t="s">
        <v>42</v>
      </c>
    </row>
    <row r="1804" spans="1:4" x14ac:dyDescent="0.3">
      <c r="A1804" s="13" t="s">
        <v>159</v>
      </c>
      <c r="B1804" s="14">
        <v>0.9874369706571049</v>
      </c>
      <c r="C1804" s="13" t="s">
        <v>115</v>
      </c>
      <c r="D1804" s="13" t="s">
        <v>33</v>
      </c>
    </row>
    <row r="1805" spans="1:4" x14ac:dyDescent="0.3">
      <c r="A1805" s="13" t="s">
        <v>159</v>
      </c>
      <c r="B1805" s="14">
        <v>0.99702159369722132</v>
      </c>
      <c r="C1805" s="13" t="s">
        <v>115</v>
      </c>
      <c r="D1805" s="13" t="s">
        <v>29</v>
      </c>
    </row>
    <row r="1806" spans="1:4" x14ac:dyDescent="0.3">
      <c r="A1806" s="13" t="s">
        <v>159</v>
      </c>
      <c r="B1806" s="14">
        <v>0.98511572538644498</v>
      </c>
      <c r="C1806" s="13" t="s">
        <v>115</v>
      </c>
      <c r="D1806" s="13" t="s">
        <v>36</v>
      </c>
    </row>
    <row r="1807" spans="1:4" x14ac:dyDescent="0.3">
      <c r="A1807" s="13" t="s">
        <v>159</v>
      </c>
      <c r="B1807" s="14">
        <v>0.93842084684306959</v>
      </c>
      <c r="C1807" s="13" t="s">
        <v>115</v>
      </c>
      <c r="D1807" s="13" t="s">
        <v>41</v>
      </c>
    </row>
    <row r="1808" spans="1:4" x14ac:dyDescent="0.3">
      <c r="A1808" s="13" t="s">
        <v>159</v>
      </c>
      <c r="B1808" s="14">
        <v>0.93450835316182745</v>
      </c>
      <c r="C1808" s="13" t="s">
        <v>25</v>
      </c>
      <c r="D1808" s="13" t="s">
        <v>0</v>
      </c>
    </row>
    <row r="1809" spans="1:4" x14ac:dyDescent="0.3">
      <c r="A1809" s="13" t="s">
        <v>159</v>
      </c>
      <c r="B1809" s="14">
        <v>0.9579083967087616</v>
      </c>
      <c r="C1809" s="13" t="s">
        <v>26</v>
      </c>
      <c r="D1809" s="13" t="s">
        <v>0</v>
      </c>
    </row>
    <row r="1810" spans="1:4" x14ac:dyDescent="0.3">
      <c r="A1810" s="13" t="s">
        <v>159</v>
      </c>
      <c r="B1810" s="14">
        <v>0.95940343707275466</v>
      </c>
      <c r="C1810" s="13" t="s">
        <v>26</v>
      </c>
      <c r="D1810" s="13" t="s">
        <v>36</v>
      </c>
    </row>
    <row r="1811" spans="1:4" x14ac:dyDescent="0.3">
      <c r="A1811" s="13" t="s">
        <v>159</v>
      </c>
      <c r="B1811" s="14">
        <v>0.75860138249969034</v>
      </c>
      <c r="C1811" s="13" t="s">
        <v>119</v>
      </c>
      <c r="D1811" s="13" t="s">
        <v>42</v>
      </c>
    </row>
    <row r="1812" spans="1:4" x14ac:dyDescent="0.3">
      <c r="A1812" s="13" t="s">
        <v>159</v>
      </c>
      <c r="B1812" s="14">
        <v>0.92854885285163902</v>
      </c>
      <c r="C1812" s="13" t="s">
        <v>124</v>
      </c>
      <c r="D1812" s="13" t="s">
        <v>33</v>
      </c>
    </row>
    <row r="1813" spans="1:4" x14ac:dyDescent="0.3">
      <c r="A1813" s="13" t="s">
        <v>159</v>
      </c>
      <c r="B1813" s="14">
        <v>0.93765407372383514</v>
      </c>
      <c r="C1813" s="13" t="s">
        <v>124</v>
      </c>
      <c r="D1813" s="13" t="s">
        <v>29</v>
      </c>
    </row>
    <row r="1814" spans="1:4" x14ac:dyDescent="0.3">
      <c r="A1814" s="13" t="s">
        <v>159</v>
      </c>
      <c r="B1814" s="14">
        <v>0.9905583230270042</v>
      </c>
      <c r="C1814" s="13" t="s">
        <v>124</v>
      </c>
      <c r="D1814" s="13" t="s">
        <v>41</v>
      </c>
    </row>
    <row r="1815" spans="1:4" x14ac:dyDescent="0.3">
      <c r="A1815" s="13" t="s">
        <v>159</v>
      </c>
      <c r="B1815" s="14">
        <v>0.97257910549302817</v>
      </c>
      <c r="C1815" s="13" t="s">
        <v>128</v>
      </c>
      <c r="D1815" s="13" t="s">
        <v>0</v>
      </c>
    </row>
    <row r="1816" spans="1:4" x14ac:dyDescent="0.3">
      <c r="A1816" s="13" t="s">
        <v>159</v>
      </c>
      <c r="B1816" s="14">
        <v>0.96596497158642958</v>
      </c>
      <c r="C1816" s="13" t="s">
        <v>128</v>
      </c>
      <c r="D1816" s="13" t="s">
        <v>33</v>
      </c>
    </row>
    <row r="1817" spans="1:4" x14ac:dyDescent="0.3">
      <c r="A1817" s="13" t="s">
        <v>159</v>
      </c>
      <c r="B1817" s="14">
        <v>0.97004900409486261</v>
      </c>
      <c r="C1817" s="13" t="s">
        <v>128</v>
      </c>
      <c r="D1817" s="13" t="s">
        <v>29</v>
      </c>
    </row>
    <row r="1818" spans="1:4" x14ac:dyDescent="0.3">
      <c r="A1818" s="13" t="s">
        <v>159</v>
      </c>
      <c r="B1818" s="14">
        <v>0.97986193199385252</v>
      </c>
      <c r="C1818" s="13" t="s">
        <v>128</v>
      </c>
      <c r="D1818" s="13" t="s">
        <v>41</v>
      </c>
    </row>
    <row r="1819" spans="1:4" x14ac:dyDescent="0.3">
      <c r="A1819" s="13" t="s">
        <v>159</v>
      </c>
      <c r="B1819" s="14">
        <v>0.97493474973127747</v>
      </c>
      <c r="C1819" s="13" t="s">
        <v>131</v>
      </c>
      <c r="D1819" s="13" t="s">
        <v>0</v>
      </c>
    </row>
    <row r="1820" spans="1:4" x14ac:dyDescent="0.3">
      <c r="A1820" s="13" t="s">
        <v>159</v>
      </c>
      <c r="B1820" s="14">
        <v>0.94086967630005902</v>
      </c>
      <c r="C1820" s="13" t="s">
        <v>131</v>
      </c>
      <c r="D1820" s="13" t="s">
        <v>42</v>
      </c>
    </row>
    <row r="1821" spans="1:4" x14ac:dyDescent="0.3">
      <c r="A1821" s="13" t="s">
        <v>159</v>
      </c>
      <c r="B1821" s="14">
        <v>0.96421958298883559</v>
      </c>
      <c r="C1821" s="13" t="s">
        <v>131</v>
      </c>
      <c r="D1821" s="13" t="s">
        <v>33</v>
      </c>
    </row>
    <row r="1822" spans="1:4" x14ac:dyDescent="0.3">
      <c r="A1822" s="13" t="s">
        <v>159</v>
      </c>
      <c r="B1822" s="14">
        <v>0.96900435842611921</v>
      </c>
      <c r="C1822" s="13" t="s">
        <v>131</v>
      </c>
      <c r="D1822" s="13" t="s">
        <v>29</v>
      </c>
    </row>
    <row r="1823" spans="1:4" x14ac:dyDescent="0.3">
      <c r="A1823" s="13" t="s">
        <v>159</v>
      </c>
      <c r="B1823" s="14">
        <v>0.954719075893114</v>
      </c>
      <c r="C1823" s="13" t="s">
        <v>131</v>
      </c>
      <c r="D1823" s="13" t="s">
        <v>36</v>
      </c>
    </row>
    <row r="1824" spans="1:4" x14ac:dyDescent="0.3">
      <c r="A1824" s="13" t="s">
        <v>159</v>
      </c>
      <c r="B1824" s="14">
        <v>0.97920410464674745</v>
      </c>
      <c r="C1824" s="13" t="s">
        <v>131</v>
      </c>
      <c r="D1824" s="13" t="s">
        <v>41</v>
      </c>
    </row>
    <row r="1825" spans="1:4" x14ac:dyDescent="0.3">
      <c r="A1825" s="13" t="s">
        <v>159</v>
      </c>
      <c r="B1825" s="14">
        <v>0.98703675238074329</v>
      </c>
      <c r="C1825" s="13" t="s">
        <v>46</v>
      </c>
      <c r="D1825" s="13" t="s">
        <v>42</v>
      </c>
    </row>
    <row r="1826" spans="1:4" x14ac:dyDescent="0.3">
      <c r="A1826" s="13" t="s">
        <v>159</v>
      </c>
      <c r="B1826" s="14">
        <v>0.96600008662487291</v>
      </c>
      <c r="C1826" s="13" t="s">
        <v>144</v>
      </c>
      <c r="D1826" s="13" t="s">
        <v>42</v>
      </c>
    </row>
    <row r="1827" spans="1:4" x14ac:dyDescent="0.3">
      <c r="A1827" s="13" t="s">
        <v>159</v>
      </c>
      <c r="B1827" s="14">
        <v>0.98239163421544984</v>
      </c>
      <c r="C1827" s="13" t="s">
        <v>32</v>
      </c>
      <c r="D1827" s="13" t="s">
        <v>33</v>
      </c>
    </row>
    <row r="1828" spans="1:4" x14ac:dyDescent="0.3">
      <c r="A1828" s="13" t="s">
        <v>159</v>
      </c>
      <c r="B1828" s="14">
        <v>0.98584873231551939</v>
      </c>
      <c r="C1828" s="13" t="s">
        <v>32</v>
      </c>
      <c r="D1828" s="13" t="s">
        <v>36</v>
      </c>
    </row>
    <row r="1829" spans="1:4" x14ac:dyDescent="0.3">
      <c r="A1829" s="15" t="s">
        <v>160</v>
      </c>
      <c r="B1829" s="16">
        <v>0.93203509538742213</v>
      </c>
      <c r="C1829" s="15"/>
      <c r="D1829" s="15"/>
    </row>
    <row r="1830" spans="1:4" x14ac:dyDescent="0.3">
      <c r="A1830" s="13"/>
      <c r="B1830" s="13"/>
      <c r="C1830" s="13"/>
      <c r="D1830" s="13"/>
    </row>
    <row r="1831" spans="1:4" x14ac:dyDescent="0.3">
      <c r="A1831" s="13" t="s">
        <v>161</v>
      </c>
      <c r="B1831" s="13"/>
      <c r="C1831" s="13"/>
      <c r="D1831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Kuvshinnikov, Nikita</cp:lastModifiedBy>
  <dcterms:created xsi:type="dcterms:W3CDTF">2026-08-10T10:08:33Z</dcterms:created>
  <dcterms:modified xsi:type="dcterms:W3CDTF">2026-08-10T10:10:00Z</dcterms:modified>
</cp:coreProperties>
</file>