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mydrive.effem.com/personal/antonina_pozdnyakova_effem_com/Documents/Documents/RA 2026/"/>
    </mc:Choice>
  </mc:AlternateContent>
  <xr:revisionPtr revIDLastSave="0" documentId="8_{C3A1F4A1-8C50-4173-900A-A9413B8610AF}" xr6:coauthVersionLast="47" xr6:coauthVersionMax="47" xr10:uidLastSave="{00000000-0000-0000-0000-000000000000}"/>
  <bookViews>
    <workbookView xWindow="-110" yWindow="-110" windowWidth="19420" windowHeight="10300" firstSheet="1" activeTab="1" xr2:uid="{54B16890-3C88-4CF2-BF1C-7546B822AD60}"/>
  </bookViews>
  <sheets>
    <sheet name="2025" sheetId="1" r:id="rId1"/>
    <sheet name="2026" sheetId="4" r:id="rId2"/>
    <sheet name="Победа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83" i="1" l="1"/>
  <c r="AK169" i="1"/>
  <c r="P180" i="1"/>
  <c r="F177" i="1"/>
  <c r="J182" i="1"/>
  <c r="J183" i="1" s="1"/>
  <c r="I182" i="1"/>
  <c r="I183" i="1" s="1"/>
  <c r="F182" i="1"/>
  <c r="F183" i="1" s="1"/>
  <c r="E182" i="1"/>
  <c r="P181" i="1"/>
  <c r="P182" i="1" s="1"/>
  <c r="O181" i="1"/>
  <c r="O182" i="1" s="1"/>
  <c r="O183" i="1" s="1"/>
  <c r="N181" i="1"/>
  <c r="N182" i="1" s="1"/>
  <c r="N183" i="1" s="1"/>
  <c r="M181" i="1"/>
  <c r="M182" i="1" s="1"/>
  <c r="M183" i="1" s="1"/>
  <c r="L181" i="1"/>
  <c r="L182" i="1" s="1"/>
  <c r="L183" i="1" s="1"/>
  <c r="K181" i="1"/>
  <c r="K182" i="1" s="1"/>
  <c r="K183" i="1" s="1"/>
  <c r="J181" i="1"/>
  <c r="I181" i="1"/>
  <c r="H181" i="1"/>
  <c r="H182" i="1" s="1"/>
  <c r="H183" i="1" s="1"/>
  <c r="G181" i="1"/>
  <c r="G182" i="1" s="1"/>
  <c r="G183" i="1" s="1"/>
  <c r="F181" i="1"/>
  <c r="E181" i="1"/>
  <c r="D181" i="1"/>
  <c r="D182" i="1" s="1"/>
  <c r="C181" i="1"/>
  <c r="C182" i="1" s="1"/>
  <c r="P179" i="1"/>
  <c r="P178" i="1"/>
  <c r="O176" i="1"/>
  <c r="O177" i="1" s="1"/>
  <c r="D176" i="1"/>
  <c r="C176" i="1"/>
  <c r="P175" i="1"/>
  <c r="P176" i="1" s="1"/>
  <c r="O175" i="1"/>
  <c r="N175" i="1"/>
  <c r="N176" i="1" s="1"/>
  <c r="N177" i="1" s="1"/>
  <c r="M175" i="1"/>
  <c r="M176" i="1" s="1"/>
  <c r="M177" i="1" s="1"/>
  <c r="L175" i="1"/>
  <c r="L176" i="1" s="1"/>
  <c r="L177" i="1" s="1"/>
  <c r="K175" i="1"/>
  <c r="K176" i="1" s="1"/>
  <c r="K177" i="1" s="1"/>
  <c r="J175" i="1"/>
  <c r="J176" i="1" s="1"/>
  <c r="J177" i="1" s="1"/>
  <c r="I175" i="1"/>
  <c r="I176" i="1" s="1"/>
  <c r="I177" i="1" s="1"/>
  <c r="H175" i="1"/>
  <c r="H176" i="1" s="1"/>
  <c r="H177" i="1" s="1"/>
  <c r="G175" i="1"/>
  <c r="G176" i="1" s="1"/>
  <c r="G177" i="1" s="1"/>
  <c r="F175" i="1"/>
  <c r="F176" i="1" s="1"/>
  <c r="E175" i="1"/>
  <c r="E176" i="1" s="1"/>
  <c r="D175" i="1"/>
  <c r="C175" i="1"/>
  <c r="P174" i="1"/>
  <c r="P173" i="1"/>
  <c r="P172" i="1"/>
  <c r="P163" i="1"/>
  <c r="P162" i="1"/>
  <c r="P161" i="1"/>
  <c r="P160" i="1"/>
  <c r="P159" i="1"/>
  <c r="P158" i="1"/>
  <c r="H163" i="1"/>
  <c r="H162" i="1"/>
  <c r="G162" i="1"/>
  <c r="G163" i="1" s="1"/>
  <c r="E162" i="1"/>
  <c r="O161" i="1"/>
  <c r="O162" i="1" s="1"/>
  <c r="O163" i="1" s="1"/>
  <c r="N161" i="1"/>
  <c r="N162" i="1" s="1"/>
  <c r="N163" i="1" s="1"/>
  <c r="M161" i="1"/>
  <c r="M162" i="1" s="1"/>
  <c r="M163" i="1" s="1"/>
  <c r="L161" i="1"/>
  <c r="L162" i="1" s="1"/>
  <c r="L163" i="1" s="1"/>
  <c r="K161" i="1"/>
  <c r="K162" i="1" s="1"/>
  <c r="K163" i="1" s="1"/>
  <c r="J161" i="1"/>
  <c r="J162" i="1" s="1"/>
  <c r="J163" i="1" s="1"/>
  <c r="I161" i="1"/>
  <c r="I162" i="1" s="1"/>
  <c r="I163" i="1" s="1"/>
  <c r="H161" i="1"/>
  <c r="G161" i="1"/>
  <c r="F161" i="1"/>
  <c r="F162" i="1" s="1"/>
  <c r="F163" i="1" s="1"/>
  <c r="E161" i="1"/>
  <c r="D161" i="1"/>
  <c r="D162" i="1" s="1"/>
  <c r="C161" i="1"/>
  <c r="C162" i="1" s="1"/>
  <c r="I169" i="1"/>
  <c r="F169" i="1"/>
  <c r="G169" i="1"/>
  <c r="H169" i="1"/>
  <c r="P167" i="1"/>
  <c r="P168" i="1" s="1"/>
  <c r="P166" i="1"/>
  <c r="P165" i="1"/>
  <c r="P164" i="1"/>
  <c r="C168" i="1"/>
  <c r="C167" i="1"/>
  <c r="H168" i="1"/>
  <c r="O167" i="1"/>
  <c r="O168" i="1" s="1"/>
  <c r="O169" i="1" s="1"/>
  <c r="N167" i="1"/>
  <c r="N168" i="1" s="1"/>
  <c r="N169" i="1" s="1"/>
  <c r="M167" i="1"/>
  <c r="M168" i="1" s="1"/>
  <c r="M169" i="1" s="1"/>
  <c r="L167" i="1"/>
  <c r="L168" i="1" s="1"/>
  <c r="L169" i="1" s="1"/>
  <c r="K167" i="1"/>
  <c r="K168" i="1" s="1"/>
  <c r="K169" i="1" s="1"/>
  <c r="J167" i="1"/>
  <c r="J168" i="1" s="1"/>
  <c r="J169" i="1" s="1"/>
  <c r="I167" i="1"/>
  <c r="I168" i="1" s="1"/>
  <c r="H167" i="1"/>
  <c r="G167" i="1"/>
  <c r="G168" i="1" s="1"/>
  <c r="F167" i="1"/>
  <c r="F168" i="1" s="1"/>
  <c r="E167" i="1"/>
  <c r="E168" i="1" s="1"/>
  <c r="D167" i="1"/>
  <c r="D168" i="1" s="1"/>
  <c r="C138" i="1"/>
  <c r="P117" i="4"/>
  <c r="C119" i="4"/>
  <c r="O157" i="4"/>
  <c r="P156" i="4"/>
  <c r="D157" i="4"/>
  <c r="P157" i="4" s="1"/>
  <c r="E157" i="4"/>
  <c r="F157" i="4"/>
  <c r="G157" i="4"/>
  <c r="H157" i="4"/>
  <c r="I157" i="4"/>
  <c r="J157" i="4"/>
  <c r="K157" i="4"/>
  <c r="L157" i="4"/>
  <c r="M157" i="4"/>
  <c r="N157" i="4"/>
  <c r="C157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C151" i="4"/>
  <c r="C3" i="4"/>
  <c r="D134" i="1"/>
  <c r="E134" i="1"/>
  <c r="F134" i="1"/>
  <c r="G134" i="1"/>
  <c r="H134" i="1"/>
  <c r="I134" i="1"/>
  <c r="J134" i="1"/>
  <c r="K134" i="1"/>
  <c r="L134" i="1"/>
  <c r="M134" i="1"/>
  <c r="N134" i="1"/>
  <c r="O134" i="1"/>
  <c r="C134" i="1"/>
  <c r="C3" i="1"/>
  <c r="C109" i="1"/>
  <c r="D52" i="1"/>
  <c r="E52" i="1"/>
  <c r="F52" i="1"/>
  <c r="G52" i="1"/>
  <c r="H52" i="1"/>
  <c r="I52" i="1"/>
  <c r="J52" i="1"/>
  <c r="K52" i="1"/>
  <c r="L52" i="1"/>
  <c r="M52" i="1"/>
  <c r="N52" i="1"/>
  <c r="O52" i="1"/>
  <c r="C52" i="1"/>
  <c r="P183" i="1" l="1"/>
  <c r="P177" i="1"/>
  <c r="P169" i="1"/>
  <c r="R160" i="4"/>
  <c r="D170" i="4"/>
  <c r="E170" i="4" s="1"/>
  <c r="E171" i="4" s="1"/>
  <c r="E172" i="4" s="1"/>
  <c r="E173" i="4" s="1"/>
  <c r="D163" i="4"/>
  <c r="E163" i="4" s="1"/>
  <c r="E153" i="1"/>
  <c r="F153" i="1"/>
  <c r="G153" i="1"/>
  <c r="H153" i="1"/>
  <c r="I153" i="1"/>
  <c r="J153" i="1"/>
  <c r="K153" i="1"/>
  <c r="L153" i="1"/>
  <c r="M153" i="1"/>
  <c r="D152" i="1"/>
  <c r="D153" i="1" s="1"/>
  <c r="N153" i="1"/>
  <c r="O153" i="1"/>
  <c r="G170" i="4" l="1"/>
  <c r="F171" i="4"/>
  <c r="F172" i="4" s="1"/>
  <c r="F173" i="4" s="1"/>
  <c r="F163" i="4"/>
  <c r="F164" i="4" s="1"/>
  <c r="F165" i="4" s="1"/>
  <c r="F166" i="4" s="1"/>
  <c r="E164" i="4"/>
  <c r="E165" i="4" s="1"/>
  <c r="E166" i="4" s="1"/>
  <c r="G171" i="4" l="1"/>
  <c r="G172" i="4" s="1"/>
  <c r="G173" i="4" s="1"/>
  <c r="H170" i="4"/>
  <c r="H163" i="4"/>
  <c r="G164" i="4"/>
  <c r="G165" i="4" s="1"/>
  <c r="G166" i="4" s="1"/>
  <c r="H171" i="4" l="1"/>
  <c r="H172" i="4" s="1"/>
  <c r="H173" i="4" s="1"/>
  <c r="H164" i="4"/>
  <c r="H165" i="4" s="1"/>
  <c r="H166" i="4" s="1"/>
  <c r="I163" i="4"/>
  <c r="K163" i="4" s="1"/>
  <c r="L163" i="4" s="1"/>
  <c r="M163" i="4" s="1"/>
  <c r="N163" i="4" s="1"/>
  <c r="O163" i="4" s="1"/>
  <c r="J170" i="4" l="1"/>
  <c r="I171" i="4"/>
  <c r="I172" i="4" s="1"/>
  <c r="I173" i="4" s="1"/>
  <c r="I164" i="4"/>
  <c r="I165" i="4" s="1"/>
  <c r="I166" i="4" s="1"/>
  <c r="O114" i="1"/>
  <c r="O115" i="1" s="1"/>
  <c r="N114" i="1"/>
  <c r="N115" i="1" s="1"/>
  <c r="M114" i="1"/>
  <c r="M115" i="1" s="1"/>
  <c r="L114" i="1"/>
  <c r="L115" i="1" s="1"/>
  <c r="K114" i="1"/>
  <c r="K115" i="1" s="1"/>
  <c r="J114" i="1"/>
  <c r="J115" i="1" s="1"/>
  <c r="I114" i="1"/>
  <c r="I115" i="1" s="1"/>
  <c r="H114" i="1"/>
  <c r="H115" i="1" s="1"/>
  <c r="G114" i="1"/>
  <c r="G115" i="1" s="1"/>
  <c r="F114" i="1"/>
  <c r="F115" i="1" s="1"/>
  <c r="E114" i="1"/>
  <c r="E115" i="1" s="1"/>
  <c r="D114" i="1"/>
  <c r="D115" i="1" s="1"/>
  <c r="C114" i="1"/>
  <c r="C115" i="1" s="1"/>
  <c r="O128" i="4"/>
  <c r="O129" i="4" s="1"/>
  <c r="N128" i="4"/>
  <c r="N129" i="4" s="1"/>
  <c r="M128" i="4"/>
  <c r="M129" i="4" s="1"/>
  <c r="L128" i="4"/>
  <c r="L129" i="4" s="1"/>
  <c r="K128" i="4"/>
  <c r="K129" i="4" s="1"/>
  <c r="J128" i="4"/>
  <c r="J129" i="4" s="1"/>
  <c r="I128" i="4"/>
  <c r="I129" i="4" s="1"/>
  <c r="H128" i="4"/>
  <c r="H129" i="4" s="1"/>
  <c r="G128" i="4"/>
  <c r="G129" i="4" s="1"/>
  <c r="F128" i="4"/>
  <c r="F129" i="4" s="1"/>
  <c r="E128" i="4"/>
  <c r="E129" i="4" s="1"/>
  <c r="D128" i="4"/>
  <c r="D129" i="4" s="1"/>
  <c r="C128" i="4"/>
  <c r="C129" i="4" s="1"/>
  <c r="P127" i="4"/>
  <c r="P128" i="4" s="1"/>
  <c r="P126" i="4"/>
  <c r="P125" i="4"/>
  <c r="P113" i="1"/>
  <c r="P114" i="1" s="1"/>
  <c r="P112" i="1"/>
  <c r="P111" i="1"/>
  <c r="E62" i="4"/>
  <c r="F62" i="4" s="1"/>
  <c r="G62" i="4" s="1"/>
  <c r="H62" i="4" s="1"/>
  <c r="I62" i="4" s="1"/>
  <c r="K62" i="4" s="1"/>
  <c r="C62" i="4"/>
  <c r="C48" i="4"/>
  <c r="D41" i="4"/>
  <c r="E41" i="4" s="1"/>
  <c r="F41" i="4" s="1"/>
  <c r="G41" i="4" s="1"/>
  <c r="H41" i="4" s="1"/>
  <c r="I41" i="4" s="1"/>
  <c r="J41" i="4" s="1"/>
  <c r="K41" i="4" s="1"/>
  <c r="E34" i="4"/>
  <c r="G34" i="4" s="1"/>
  <c r="H34" i="4" s="1"/>
  <c r="I34" i="4" s="1"/>
  <c r="C34" i="4"/>
  <c r="I20" i="4"/>
  <c r="M20" i="4"/>
  <c r="O20" i="4" s="1"/>
  <c r="I6" i="4"/>
  <c r="L6" i="4" s="1"/>
  <c r="M6" i="4" s="1"/>
  <c r="P115" i="1" l="1"/>
  <c r="K170" i="4"/>
  <c r="J171" i="4"/>
  <c r="J172" i="4" s="1"/>
  <c r="J173" i="4" s="1"/>
  <c r="J164" i="4"/>
  <c r="J165" i="4" s="1"/>
  <c r="J166" i="4" s="1"/>
  <c r="P129" i="4"/>
  <c r="M74" i="1"/>
  <c r="N74" i="1" l="1"/>
  <c r="O74" i="1" s="1"/>
  <c r="P75" i="1"/>
  <c r="P74" i="1"/>
  <c r="K171" i="4"/>
  <c r="K172" i="4" s="1"/>
  <c r="K173" i="4" s="1"/>
  <c r="K164" i="4"/>
  <c r="K165" i="4" s="1"/>
  <c r="K166" i="4" s="1"/>
  <c r="N18" i="1"/>
  <c r="O18" i="1" s="1"/>
  <c r="L6" i="1"/>
  <c r="L171" i="4" l="1"/>
  <c r="L172" i="4" s="1"/>
  <c r="L173" i="4" s="1"/>
  <c r="M170" i="4"/>
  <c r="L164" i="4"/>
  <c r="L165" i="4" s="1"/>
  <c r="L166" i="4" s="1"/>
  <c r="P4" i="1"/>
  <c r="D123" i="4"/>
  <c r="E123" i="4"/>
  <c r="F123" i="4"/>
  <c r="G123" i="4"/>
  <c r="H123" i="4"/>
  <c r="I123" i="4"/>
  <c r="J123" i="4"/>
  <c r="K123" i="4"/>
  <c r="L123" i="4"/>
  <c r="M123" i="4"/>
  <c r="N123" i="4"/>
  <c r="O123" i="4"/>
  <c r="C123" i="4"/>
  <c r="C87" i="4"/>
  <c r="D80" i="4"/>
  <c r="E80" i="4"/>
  <c r="F80" i="4"/>
  <c r="G80" i="4"/>
  <c r="H80" i="4"/>
  <c r="I80" i="4"/>
  <c r="J80" i="4"/>
  <c r="K80" i="4"/>
  <c r="L80" i="4"/>
  <c r="M80" i="4"/>
  <c r="N80" i="4"/>
  <c r="O80" i="4"/>
  <c r="C80" i="4"/>
  <c r="D59" i="4"/>
  <c r="E59" i="4"/>
  <c r="F59" i="4"/>
  <c r="G59" i="4"/>
  <c r="H59" i="4"/>
  <c r="I59" i="4"/>
  <c r="J59" i="4"/>
  <c r="K59" i="4"/>
  <c r="L59" i="4"/>
  <c r="M59" i="4"/>
  <c r="N59" i="4"/>
  <c r="O59" i="4"/>
  <c r="C59" i="4"/>
  <c r="D3" i="4"/>
  <c r="E3" i="4"/>
  <c r="F3" i="4"/>
  <c r="G3" i="4"/>
  <c r="H3" i="4"/>
  <c r="I3" i="4"/>
  <c r="J3" i="4"/>
  <c r="K3" i="4"/>
  <c r="L3" i="4"/>
  <c r="M3" i="4"/>
  <c r="N3" i="4"/>
  <c r="O3" i="4"/>
  <c r="M171" i="4" l="1"/>
  <c r="M172" i="4" s="1"/>
  <c r="M173" i="4" s="1"/>
  <c r="N170" i="4"/>
  <c r="M164" i="4"/>
  <c r="M165" i="4" s="1"/>
  <c r="M166" i="4" s="1"/>
  <c r="D109" i="1"/>
  <c r="E109" i="1"/>
  <c r="F109" i="1"/>
  <c r="G109" i="1"/>
  <c r="H109" i="1"/>
  <c r="I109" i="1"/>
  <c r="J109" i="1"/>
  <c r="K109" i="1"/>
  <c r="L109" i="1"/>
  <c r="M109" i="1"/>
  <c r="N109" i="1"/>
  <c r="O109" i="1"/>
  <c r="D71" i="1"/>
  <c r="E71" i="1"/>
  <c r="F71" i="1"/>
  <c r="G71" i="1"/>
  <c r="H71" i="1"/>
  <c r="I71" i="1"/>
  <c r="J71" i="1"/>
  <c r="K71" i="1"/>
  <c r="L71" i="1"/>
  <c r="M71" i="1"/>
  <c r="N71" i="1"/>
  <c r="O71" i="1"/>
  <c r="C71" i="1"/>
  <c r="D3" i="1"/>
  <c r="E3" i="1"/>
  <c r="F3" i="1"/>
  <c r="G3" i="1"/>
  <c r="H3" i="1"/>
  <c r="I3" i="1"/>
  <c r="J3" i="1"/>
  <c r="K3" i="1"/>
  <c r="L3" i="1"/>
  <c r="M3" i="1"/>
  <c r="N3" i="1"/>
  <c r="O3" i="1"/>
  <c r="C19" i="1"/>
  <c r="C20" i="1" s="1"/>
  <c r="C21" i="1" s="1"/>
  <c r="C25" i="1"/>
  <c r="C26" i="1" s="1"/>
  <c r="N171" i="4" l="1"/>
  <c r="N172" i="4" s="1"/>
  <c r="N173" i="4" s="1"/>
  <c r="O170" i="4"/>
  <c r="O171" i="4" s="1"/>
  <c r="O172" i="4" s="1"/>
  <c r="O173" i="4" s="1"/>
  <c r="N164" i="4"/>
  <c r="N165" i="4" s="1"/>
  <c r="N166" i="4" s="1"/>
  <c r="O164" i="4"/>
  <c r="O165" i="4" s="1"/>
  <c r="O166" i="4" s="1"/>
  <c r="P169" i="4"/>
  <c r="P168" i="4"/>
  <c r="P164" i="4"/>
  <c r="P165" i="4" s="1"/>
  <c r="P163" i="4"/>
  <c r="P162" i="4"/>
  <c r="P161" i="4"/>
  <c r="P153" i="1"/>
  <c r="C152" i="1"/>
  <c r="C153" i="1" s="1"/>
  <c r="P151" i="1"/>
  <c r="P149" i="1"/>
  <c r="P147" i="1"/>
  <c r="O147" i="1"/>
  <c r="O148" i="1" s="1"/>
  <c r="N147" i="1"/>
  <c r="N148" i="1" s="1"/>
  <c r="M147" i="1"/>
  <c r="M148" i="1" s="1"/>
  <c r="L147" i="1"/>
  <c r="L148" i="1" s="1"/>
  <c r="K147" i="1"/>
  <c r="K148" i="1" s="1"/>
  <c r="J147" i="1"/>
  <c r="J148" i="1" s="1"/>
  <c r="I147" i="1"/>
  <c r="I148" i="1" s="1"/>
  <c r="H147" i="1"/>
  <c r="G147" i="1"/>
  <c r="F147" i="1"/>
  <c r="E147" i="1"/>
  <c r="D146" i="1"/>
  <c r="D147" i="1" s="1"/>
  <c r="C146" i="1"/>
  <c r="C147" i="1" s="1"/>
  <c r="P145" i="1"/>
  <c r="P143" i="1"/>
  <c r="P124" i="4"/>
  <c r="P97" i="1"/>
  <c r="P170" i="4" l="1"/>
  <c r="P171" i="4"/>
  <c r="P172" i="4" s="1"/>
  <c r="P173" i="4"/>
  <c r="P166" i="4"/>
  <c r="P154" i="1"/>
  <c r="P148" i="1"/>
  <c r="P110" i="1"/>
  <c r="P155" i="4" l="1"/>
  <c r="O155" i="4"/>
  <c r="O156" i="4" s="1"/>
  <c r="N155" i="4"/>
  <c r="N156" i="4" s="1"/>
  <c r="M155" i="4"/>
  <c r="M156" i="4" s="1"/>
  <c r="L155" i="4"/>
  <c r="L156" i="4" s="1"/>
  <c r="K155" i="4"/>
  <c r="K156" i="4" s="1"/>
  <c r="J155" i="4"/>
  <c r="J156" i="4" s="1"/>
  <c r="I155" i="4"/>
  <c r="I156" i="4" s="1"/>
  <c r="H155" i="4"/>
  <c r="H156" i="4" s="1"/>
  <c r="G155" i="4"/>
  <c r="G156" i="4" s="1"/>
  <c r="F155" i="4"/>
  <c r="F156" i="4" s="1"/>
  <c r="E155" i="4"/>
  <c r="E156" i="4" s="1"/>
  <c r="D155" i="4"/>
  <c r="D156" i="4" s="1"/>
  <c r="C155" i="4"/>
  <c r="C156" i="4" s="1"/>
  <c r="P154" i="4"/>
  <c r="P153" i="4"/>
  <c r="P152" i="4"/>
  <c r="P151" i="4" s="1"/>
  <c r="P148" i="4"/>
  <c r="P149" i="4" s="1"/>
  <c r="O148" i="4"/>
  <c r="O149" i="4" s="1"/>
  <c r="O150" i="4" s="1"/>
  <c r="N148" i="4"/>
  <c r="N149" i="4" s="1"/>
  <c r="N150" i="4" s="1"/>
  <c r="M148" i="4"/>
  <c r="M149" i="4" s="1"/>
  <c r="M150" i="4" s="1"/>
  <c r="L148" i="4"/>
  <c r="L149" i="4" s="1"/>
  <c r="L150" i="4" s="1"/>
  <c r="K148" i="4"/>
  <c r="K149" i="4" s="1"/>
  <c r="K150" i="4" s="1"/>
  <c r="J148" i="4"/>
  <c r="J149" i="4" s="1"/>
  <c r="J150" i="4" s="1"/>
  <c r="I148" i="4"/>
  <c r="I149" i="4" s="1"/>
  <c r="I150" i="4" s="1"/>
  <c r="H148" i="4"/>
  <c r="H149" i="4" s="1"/>
  <c r="H150" i="4" s="1"/>
  <c r="G148" i="4"/>
  <c r="G149" i="4" s="1"/>
  <c r="G150" i="4" s="1"/>
  <c r="F148" i="4"/>
  <c r="F149" i="4" s="1"/>
  <c r="F150" i="4" s="1"/>
  <c r="E148" i="4"/>
  <c r="E149" i="4" s="1"/>
  <c r="E150" i="4" s="1"/>
  <c r="D148" i="4"/>
  <c r="D149" i="4" s="1"/>
  <c r="D150" i="4" s="1"/>
  <c r="C148" i="4"/>
  <c r="C149" i="4" s="1"/>
  <c r="C150" i="4" s="1"/>
  <c r="P147" i="4"/>
  <c r="P146" i="4"/>
  <c r="P145" i="4"/>
  <c r="C140" i="4"/>
  <c r="P139" i="4"/>
  <c r="P138" i="4"/>
  <c r="O134" i="4"/>
  <c r="O135" i="4" s="1"/>
  <c r="O136" i="4" s="1"/>
  <c r="N134" i="4"/>
  <c r="N135" i="4" s="1"/>
  <c r="N136" i="4" s="1"/>
  <c r="M134" i="4"/>
  <c r="M135" i="4" s="1"/>
  <c r="M136" i="4" s="1"/>
  <c r="L134" i="4"/>
  <c r="L135" i="4" s="1"/>
  <c r="L136" i="4" s="1"/>
  <c r="K134" i="4"/>
  <c r="K135" i="4" s="1"/>
  <c r="K136" i="4" s="1"/>
  <c r="J134" i="4"/>
  <c r="J135" i="4" s="1"/>
  <c r="J136" i="4" s="1"/>
  <c r="I134" i="4"/>
  <c r="I135" i="4" s="1"/>
  <c r="I136" i="4" s="1"/>
  <c r="H134" i="4"/>
  <c r="H135" i="4" s="1"/>
  <c r="H136" i="4" s="1"/>
  <c r="G134" i="4"/>
  <c r="G135" i="4" s="1"/>
  <c r="G136" i="4" s="1"/>
  <c r="F134" i="4"/>
  <c r="F135" i="4" s="1"/>
  <c r="F136" i="4" s="1"/>
  <c r="E134" i="4"/>
  <c r="E135" i="4" s="1"/>
  <c r="E136" i="4" s="1"/>
  <c r="D134" i="4"/>
  <c r="D135" i="4" s="1"/>
  <c r="D136" i="4" s="1"/>
  <c r="C133" i="4"/>
  <c r="C134" i="4" s="1"/>
  <c r="C135" i="4" s="1"/>
  <c r="C136" i="4" s="1"/>
  <c r="P132" i="4"/>
  <c r="P131" i="4"/>
  <c r="O119" i="4"/>
  <c r="O120" i="4" s="1"/>
  <c r="O121" i="4" s="1"/>
  <c r="N119" i="4"/>
  <c r="N120" i="4" s="1"/>
  <c r="N121" i="4" s="1"/>
  <c r="M119" i="4"/>
  <c r="M120" i="4" s="1"/>
  <c r="M121" i="4" s="1"/>
  <c r="L119" i="4"/>
  <c r="L120" i="4" s="1"/>
  <c r="L121" i="4" s="1"/>
  <c r="K119" i="4"/>
  <c r="K120" i="4" s="1"/>
  <c r="K121" i="4" s="1"/>
  <c r="J119" i="4"/>
  <c r="J120" i="4" s="1"/>
  <c r="J121" i="4" s="1"/>
  <c r="I119" i="4"/>
  <c r="I120" i="4" s="1"/>
  <c r="I121" i="4" s="1"/>
  <c r="E119" i="4"/>
  <c r="E120" i="4" s="1"/>
  <c r="E121" i="4" s="1"/>
  <c r="D119" i="4"/>
  <c r="D120" i="4" s="1"/>
  <c r="D121" i="4" s="1"/>
  <c r="C120" i="4"/>
  <c r="C121" i="4" s="1"/>
  <c r="F118" i="4"/>
  <c r="G118" i="4" s="1"/>
  <c r="H118" i="4" s="1"/>
  <c r="P116" i="4"/>
  <c r="O112" i="4"/>
  <c r="O113" i="4" s="1"/>
  <c r="O114" i="4" s="1"/>
  <c r="N112" i="4"/>
  <c r="N113" i="4" s="1"/>
  <c r="N114" i="4" s="1"/>
  <c r="M112" i="4"/>
  <c r="M113" i="4" s="1"/>
  <c r="M114" i="4" s="1"/>
  <c r="L112" i="4"/>
  <c r="L113" i="4" s="1"/>
  <c r="L114" i="4" s="1"/>
  <c r="K112" i="4"/>
  <c r="K113" i="4" s="1"/>
  <c r="K114" i="4" s="1"/>
  <c r="J112" i="4"/>
  <c r="J113" i="4" s="1"/>
  <c r="J114" i="4" s="1"/>
  <c r="C112" i="4"/>
  <c r="C113" i="4" s="1"/>
  <c r="C114" i="4" s="1"/>
  <c r="D111" i="4"/>
  <c r="P110" i="4"/>
  <c r="P109" i="4"/>
  <c r="C105" i="4"/>
  <c r="C106" i="4" s="1"/>
  <c r="C107" i="4" s="1"/>
  <c r="D104" i="4"/>
  <c r="P103" i="4"/>
  <c r="P102" i="4"/>
  <c r="O98" i="4"/>
  <c r="O99" i="4" s="1"/>
  <c r="O100" i="4" s="1"/>
  <c r="N98" i="4"/>
  <c r="N99" i="4" s="1"/>
  <c r="N100" i="4" s="1"/>
  <c r="M98" i="4"/>
  <c r="M99" i="4" s="1"/>
  <c r="M100" i="4" s="1"/>
  <c r="L98" i="4"/>
  <c r="L99" i="4" s="1"/>
  <c r="L100" i="4" s="1"/>
  <c r="K98" i="4"/>
  <c r="K99" i="4" s="1"/>
  <c r="K100" i="4" s="1"/>
  <c r="J98" i="4"/>
  <c r="J99" i="4" s="1"/>
  <c r="J100" i="4" s="1"/>
  <c r="I98" i="4"/>
  <c r="I99" i="4" s="1"/>
  <c r="I100" i="4" s="1"/>
  <c r="H98" i="4"/>
  <c r="H99" i="4" s="1"/>
  <c r="H100" i="4" s="1"/>
  <c r="E98" i="4"/>
  <c r="E99" i="4" s="1"/>
  <c r="E100" i="4" s="1"/>
  <c r="C98" i="4"/>
  <c r="C99" i="4" s="1"/>
  <c r="C100" i="4" s="1"/>
  <c r="F98" i="4"/>
  <c r="F99" i="4" s="1"/>
  <c r="F100" i="4" s="1"/>
  <c r="P96" i="4"/>
  <c r="P95" i="4"/>
  <c r="G91" i="4"/>
  <c r="G92" i="4" s="1"/>
  <c r="G93" i="4" s="1"/>
  <c r="F91" i="4"/>
  <c r="F92" i="4" s="1"/>
  <c r="F93" i="4" s="1"/>
  <c r="C91" i="4"/>
  <c r="C92" i="4" s="1"/>
  <c r="C93" i="4" s="1"/>
  <c r="H90" i="4"/>
  <c r="I90" i="4" s="1"/>
  <c r="D90" i="4"/>
  <c r="D91" i="4" s="1"/>
  <c r="D92" i="4" s="1"/>
  <c r="D93" i="4" s="1"/>
  <c r="P89" i="4"/>
  <c r="P88" i="4"/>
  <c r="O87" i="4"/>
  <c r="N87" i="4"/>
  <c r="M87" i="4"/>
  <c r="L87" i="4"/>
  <c r="K87" i="4"/>
  <c r="J87" i="4"/>
  <c r="I87" i="4"/>
  <c r="H87" i="4"/>
  <c r="G87" i="4"/>
  <c r="F87" i="4"/>
  <c r="E87" i="4"/>
  <c r="D87" i="4"/>
  <c r="C84" i="4"/>
  <c r="C85" i="4" s="1"/>
  <c r="P82" i="4"/>
  <c r="D79" i="4"/>
  <c r="E77" i="4"/>
  <c r="E78" i="4" s="1"/>
  <c r="E79" i="4" s="1"/>
  <c r="D77" i="4"/>
  <c r="D78" i="4" s="1"/>
  <c r="C77" i="4"/>
  <c r="C78" i="4" s="1"/>
  <c r="P75" i="4"/>
  <c r="P74" i="4"/>
  <c r="O70" i="4"/>
  <c r="O71" i="4" s="1"/>
  <c r="O72" i="4" s="1"/>
  <c r="N70" i="4"/>
  <c r="N71" i="4" s="1"/>
  <c r="N72" i="4" s="1"/>
  <c r="L70" i="4"/>
  <c r="L71" i="4" s="1"/>
  <c r="L72" i="4" s="1"/>
  <c r="D70" i="4"/>
  <c r="D71" i="4" s="1"/>
  <c r="D72" i="4" s="1"/>
  <c r="C70" i="4"/>
  <c r="C71" i="4" s="1"/>
  <c r="C72" i="4" s="1"/>
  <c r="M70" i="4"/>
  <c r="M71" i="4" s="1"/>
  <c r="M72" i="4" s="1"/>
  <c r="P68" i="4"/>
  <c r="P67" i="4"/>
  <c r="D63" i="4"/>
  <c r="D64" i="4" s="1"/>
  <c r="D65" i="4" s="1"/>
  <c r="C63" i="4"/>
  <c r="C64" i="4" s="1"/>
  <c r="C65" i="4" s="1"/>
  <c r="E63" i="4"/>
  <c r="E64" i="4" s="1"/>
  <c r="E65" i="4" s="1"/>
  <c r="P61" i="4"/>
  <c r="P60" i="4"/>
  <c r="P54" i="4"/>
  <c r="P53" i="4"/>
  <c r="O49" i="4"/>
  <c r="O50" i="4" s="1"/>
  <c r="O51" i="4" s="1"/>
  <c r="N49" i="4"/>
  <c r="N50" i="4" s="1"/>
  <c r="N51" i="4" s="1"/>
  <c r="M49" i="4"/>
  <c r="M50" i="4" s="1"/>
  <c r="M51" i="4" s="1"/>
  <c r="H49" i="4"/>
  <c r="H50" i="4" s="1"/>
  <c r="H51" i="4" s="1"/>
  <c r="F49" i="4"/>
  <c r="F50" i="4" s="1"/>
  <c r="F51" i="4" s="1"/>
  <c r="I48" i="4"/>
  <c r="I49" i="4" s="1"/>
  <c r="I50" i="4" s="1"/>
  <c r="I51" i="4" s="1"/>
  <c r="G49" i="4"/>
  <c r="G50" i="4" s="1"/>
  <c r="G51" i="4" s="1"/>
  <c r="C49" i="4"/>
  <c r="C50" i="4" s="1"/>
  <c r="C51" i="4" s="1"/>
  <c r="P47" i="4"/>
  <c r="P46" i="4"/>
  <c r="P42" i="4"/>
  <c r="P43" i="4" s="1"/>
  <c r="O42" i="4"/>
  <c r="O43" i="4" s="1"/>
  <c r="O44" i="4" s="1"/>
  <c r="N42" i="4"/>
  <c r="N43" i="4" s="1"/>
  <c r="N44" i="4" s="1"/>
  <c r="M42" i="4"/>
  <c r="M43" i="4" s="1"/>
  <c r="M44" i="4" s="1"/>
  <c r="L42" i="4"/>
  <c r="L43" i="4" s="1"/>
  <c r="L44" i="4" s="1"/>
  <c r="K42" i="4"/>
  <c r="K43" i="4" s="1"/>
  <c r="K44" i="4" s="1"/>
  <c r="J42" i="4"/>
  <c r="J43" i="4" s="1"/>
  <c r="J44" i="4" s="1"/>
  <c r="I42" i="4"/>
  <c r="I43" i="4" s="1"/>
  <c r="I44" i="4" s="1"/>
  <c r="H42" i="4"/>
  <c r="H43" i="4" s="1"/>
  <c r="H44" i="4" s="1"/>
  <c r="G42" i="4"/>
  <c r="G43" i="4" s="1"/>
  <c r="G44" i="4" s="1"/>
  <c r="F42" i="4"/>
  <c r="F43" i="4" s="1"/>
  <c r="F44" i="4" s="1"/>
  <c r="E42" i="4"/>
  <c r="E43" i="4" s="1"/>
  <c r="E44" i="4" s="1"/>
  <c r="D42" i="4"/>
  <c r="D43" i="4" s="1"/>
  <c r="D44" i="4" s="1"/>
  <c r="C42" i="4"/>
  <c r="C43" i="4" s="1"/>
  <c r="C44" i="4" s="1"/>
  <c r="P41" i="4"/>
  <c r="P40" i="4"/>
  <c r="P39" i="4"/>
  <c r="P35" i="4"/>
  <c r="P36" i="4" s="1"/>
  <c r="O35" i="4"/>
  <c r="O36" i="4" s="1"/>
  <c r="O37" i="4" s="1"/>
  <c r="N35" i="4"/>
  <c r="N36" i="4" s="1"/>
  <c r="N37" i="4" s="1"/>
  <c r="M35" i="4"/>
  <c r="M36" i="4" s="1"/>
  <c r="M37" i="4" s="1"/>
  <c r="L35" i="4"/>
  <c r="L36" i="4" s="1"/>
  <c r="L37" i="4" s="1"/>
  <c r="K35" i="4"/>
  <c r="K36" i="4" s="1"/>
  <c r="K37" i="4" s="1"/>
  <c r="J35" i="4"/>
  <c r="J36" i="4" s="1"/>
  <c r="J37" i="4" s="1"/>
  <c r="I35" i="4"/>
  <c r="I36" i="4" s="1"/>
  <c r="I37" i="4" s="1"/>
  <c r="H35" i="4"/>
  <c r="H36" i="4" s="1"/>
  <c r="H37" i="4" s="1"/>
  <c r="G35" i="4"/>
  <c r="G36" i="4" s="1"/>
  <c r="G37" i="4" s="1"/>
  <c r="F35" i="4"/>
  <c r="F36" i="4" s="1"/>
  <c r="F37" i="4" s="1"/>
  <c r="E35" i="4"/>
  <c r="E36" i="4" s="1"/>
  <c r="E37" i="4" s="1"/>
  <c r="D35" i="4"/>
  <c r="D36" i="4" s="1"/>
  <c r="D37" i="4" s="1"/>
  <c r="C35" i="4"/>
  <c r="C36" i="4" s="1"/>
  <c r="C37" i="4" s="1"/>
  <c r="P34" i="4"/>
  <c r="P33" i="4"/>
  <c r="P32" i="4"/>
  <c r="O28" i="4"/>
  <c r="O29" i="4" s="1"/>
  <c r="N28" i="4"/>
  <c r="N29" i="4" s="1"/>
  <c r="M28" i="4"/>
  <c r="M29" i="4" s="1"/>
  <c r="L28" i="4"/>
  <c r="L29" i="4" s="1"/>
  <c r="J28" i="4"/>
  <c r="J29" i="4" s="1"/>
  <c r="H28" i="4"/>
  <c r="H29" i="4" s="1"/>
  <c r="G28" i="4"/>
  <c r="G29" i="4" s="1"/>
  <c r="D28" i="4"/>
  <c r="D29" i="4" s="1"/>
  <c r="K28" i="4"/>
  <c r="K29" i="4" s="1"/>
  <c r="I28" i="4"/>
  <c r="I29" i="4" s="1"/>
  <c r="E28" i="4"/>
  <c r="E29" i="4" s="1"/>
  <c r="C28" i="4"/>
  <c r="C29" i="4" s="1"/>
  <c r="P26" i="4"/>
  <c r="P25" i="4"/>
  <c r="P21" i="4"/>
  <c r="P22" i="4" s="1"/>
  <c r="O21" i="4"/>
  <c r="O22" i="4" s="1"/>
  <c r="O23" i="4" s="1"/>
  <c r="N21" i="4"/>
  <c r="N22" i="4" s="1"/>
  <c r="N23" i="4" s="1"/>
  <c r="M21" i="4"/>
  <c r="M22" i="4" s="1"/>
  <c r="M23" i="4" s="1"/>
  <c r="L21" i="4"/>
  <c r="L22" i="4" s="1"/>
  <c r="L23" i="4" s="1"/>
  <c r="K21" i="4"/>
  <c r="K22" i="4" s="1"/>
  <c r="K23" i="4" s="1"/>
  <c r="J21" i="4"/>
  <c r="J22" i="4" s="1"/>
  <c r="J23" i="4" s="1"/>
  <c r="I21" i="4"/>
  <c r="I22" i="4" s="1"/>
  <c r="I23" i="4" s="1"/>
  <c r="H21" i="4"/>
  <c r="H22" i="4" s="1"/>
  <c r="H23" i="4" s="1"/>
  <c r="G21" i="4"/>
  <c r="G22" i="4" s="1"/>
  <c r="G23" i="4" s="1"/>
  <c r="F21" i="4"/>
  <c r="F22" i="4" s="1"/>
  <c r="F23" i="4" s="1"/>
  <c r="E21" i="4"/>
  <c r="E22" i="4" s="1"/>
  <c r="E23" i="4" s="1"/>
  <c r="D21" i="4"/>
  <c r="D22" i="4" s="1"/>
  <c r="D23" i="4" s="1"/>
  <c r="C21" i="4"/>
  <c r="C22" i="4" s="1"/>
  <c r="C23" i="4" s="1"/>
  <c r="P20" i="4"/>
  <c r="P19" i="4"/>
  <c r="P18" i="4"/>
  <c r="D13" i="4"/>
  <c r="E13" i="4" s="1"/>
  <c r="F13" i="4" s="1"/>
  <c r="C13" i="4"/>
  <c r="P12" i="4"/>
  <c r="P11" i="4"/>
  <c r="C6" i="4"/>
  <c r="P5" i="4"/>
  <c r="P4" i="4"/>
  <c r="W18" i="1"/>
  <c r="W12" i="1"/>
  <c r="C88" i="1"/>
  <c r="C89" i="1" s="1"/>
  <c r="C90" i="1" s="1"/>
  <c r="C94" i="1"/>
  <c r="C95" i="1" s="1"/>
  <c r="C86" i="4" l="1"/>
  <c r="C79" i="4"/>
  <c r="E70" i="4"/>
  <c r="E71" i="4" s="1"/>
  <c r="E72" i="4" s="1"/>
  <c r="H91" i="4"/>
  <c r="H92" i="4" s="1"/>
  <c r="H93" i="4" s="1"/>
  <c r="C14" i="4"/>
  <c r="C15" i="4" s="1"/>
  <c r="C16" i="4" s="1"/>
  <c r="I91" i="4"/>
  <c r="I92" i="4" s="1"/>
  <c r="I93" i="4" s="1"/>
  <c r="J90" i="4"/>
  <c r="J91" i="4" s="1"/>
  <c r="J92" i="4" s="1"/>
  <c r="J93" i="4" s="1"/>
  <c r="G70" i="4"/>
  <c r="G71" i="4" s="1"/>
  <c r="G72" i="4" s="1"/>
  <c r="F70" i="4"/>
  <c r="F71" i="4" s="1"/>
  <c r="F72" i="4" s="1"/>
  <c r="D49" i="4"/>
  <c r="D50" i="4" s="1"/>
  <c r="D51" i="4" s="1"/>
  <c r="G97" i="4"/>
  <c r="G98" i="4" s="1"/>
  <c r="G99" i="4" s="1"/>
  <c r="G100" i="4" s="1"/>
  <c r="D84" i="4"/>
  <c r="D85" i="4" s="1"/>
  <c r="D86" i="4" s="1"/>
  <c r="O159" i="4"/>
  <c r="P134" i="4"/>
  <c r="P135" i="4" s="1"/>
  <c r="F63" i="4"/>
  <c r="F64" i="4" s="1"/>
  <c r="F65" i="4" s="1"/>
  <c r="E90" i="4"/>
  <c r="E91" i="4" s="1"/>
  <c r="E92" i="4" s="1"/>
  <c r="E93" i="4" s="1"/>
  <c r="P133" i="4"/>
  <c r="D98" i="4"/>
  <c r="D99" i="4" s="1"/>
  <c r="D100" i="4" s="1"/>
  <c r="E159" i="4"/>
  <c r="J159" i="4"/>
  <c r="L159" i="4"/>
  <c r="G159" i="4"/>
  <c r="N159" i="4"/>
  <c r="D159" i="4"/>
  <c r="F14" i="4"/>
  <c r="F15" i="4" s="1"/>
  <c r="F16" i="4" s="1"/>
  <c r="P23" i="4"/>
  <c r="P37" i="4"/>
  <c r="P119" i="4"/>
  <c r="P120" i="4" s="1"/>
  <c r="D14" i="4"/>
  <c r="D15" i="4" s="1"/>
  <c r="D16" i="4" s="1"/>
  <c r="E14" i="4"/>
  <c r="E15" i="4" s="1"/>
  <c r="E16" i="4" s="1"/>
  <c r="C141" i="4"/>
  <c r="C142" i="4" s="1"/>
  <c r="C143" i="4" s="1"/>
  <c r="D140" i="4"/>
  <c r="F159" i="4"/>
  <c r="C7" i="4"/>
  <c r="C8" i="4" s="1"/>
  <c r="C9" i="4" s="1"/>
  <c r="P59" i="4"/>
  <c r="P81" i="4"/>
  <c r="P80" i="4" s="1"/>
  <c r="P44" i="4"/>
  <c r="E84" i="4"/>
  <c r="E85" i="4" s="1"/>
  <c r="E86" i="4" s="1"/>
  <c r="I159" i="4"/>
  <c r="H119" i="4"/>
  <c r="H120" i="4" s="1"/>
  <c r="H121" i="4" s="1"/>
  <c r="P136" i="4"/>
  <c r="P3" i="4"/>
  <c r="C159" i="4"/>
  <c r="H159" i="4"/>
  <c r="C56" i="4"/>
  <c r="C57" i="4" s="1"/>
  <c r="C58" i="4" s="1"/>
  <c r="E111" i="4"/>
  <c r="D112" i="4"/>
  <c r="D113" i="4" s="1"/>
  <c r="D114" i="4" s="1"/>
  <c r="K159" i="4"/>
  <c r="G119" i="4"/>
  <c r="G120" i="4" s="1"/>
  <c r="G121" i="4" s="1"/>
  <c r="M159" i="4"/>
  <c r="D105" i="4"/>
  <c r="D106" i="4" s="1"/>
  <c r="D107" i="4" s="1"/>
  <c r="E104" i="4"/>
  <c r="P123" i="4"/>
  <c r="P87" i="4"/>
  <c r="F119" i="4"/>
  <c r="F120" i="4" s="1"/>
  <c r="F121" i="4" s="1"/>
  <c r="P118" i="4"/>
  <c r="G77" i="4"/>
  <c r="G78" i="4" s="1"/>
  <c r="G79" i="4" s="1"/>
  <c r="H76" i="4"/>
  <c r="P150" i="4"/>
  <c r="F77" i="4"/>
  <c r="F78" i="4" s="1"/>
  <c r="F79" i="4" s="1"/>
  <c r="K90" i="4" l="1"/>
  <c r="L90" i="4" s="1"/>
  <c r="P159" i="4"/>
  <c r="P100" i="4"/>
  <c r="P160" i="4" s="1"/>
  <c r="S160" i="4" s="1"/>
  <c r="P98" i="4"/>
  <c r="P99" i="4" s="1"/>
  <c r="P97" i="4"/>
  <c r="P121" i="4"/>
  <c r="I69" i="4"/>
  <c r="J49" i="4"/>
  <c r="J50" i="4" s="1"/>
  <c r="J51" i="4" s="1"/>
  <c r="E112" i="4"/>
  <c r="E113" i="4" s="1"/>
  <c r="E114" i="4" s="1"/>
  <c r="F111" i="4"/>
  <c r="F104" i="4"/>
  <c r="E105" i="4"/>
  <c r="E106" i="4" s="1"/>
  <c r="E107" i="4" s="1"/>
  <c r="F84" i="4"/>
  <c r="F85" i="4" s="1"/>
  <c r="F86" i="4" s="1"/>
  <c r="E140" i="4"/>
  <c r="D141" i="4"/>
  <c r="D142" i="4" s="1"/>
  <c r="D143" i="4" s="1"/>
  <c r="D7" i="4"/>
  <c r="D8" i="4" s="1"/>
  <c r="D9" i="4" s="1"/>
  <c r="G14" i="4"/>
  <c r="G15" i="4" s="1"/>
  <c r="G16" i="4" s="1"/>
  <c r="D56" i="4"/>
  <c r="D57" i="4" s="1"/>
  <c r="D58" i="4" s="1"/>
  <c r="H77" i="4"/>
  <c r="H78" i="4" s="1"/>
  <c r="H79" i="4" s="1"/>
  <c r="C30" i="4"/>
  <c r="C160" i="4" s="1"/>
  <c r="F28" i="4"/>
  <c r="F29" i="4" s="1"/>
  <c r="P28" i="4"/>
  <c r="P29" i="4" s="1"/>
  <c r="P27" i="4"/>
  <c r="K91" i="4" l="1"/>
  <c r="K92" i="4" s="1"/>
  <c r="K93" i="4" s="1"/>
  <c r="G63" i="4"/>
  <c r="G64" i="4" s="1"/>
  <c r="G65" i="4" s="1"/>
  <c r="E49" i="4"/>
  <c r="E50" i="4" s="1"/>
  <c r="E51" i="4" s="1"/>
  <c r="H70" i="4"/>
  <c r="H71" i="4" s="1"/>
  <c r="H72" i="4" s="1"/>
  <c r="L49" i="4"/>
  <c r="L50" i="4" s="1"/>
  <c r="L51" i="4" s="1"/>
  <c r="K49" i="4"/>
  <c r="K50" i="4" s="1"/>
  <c r="K51" i="4" s="1"/>
  <c r="I70" i="4"/>
  <c r="I71" i="4" s="1"/>
  <c r="I72" i="4" s="1"/>
  <c r="J69" i="4"/>
  <c r="G104" i="4"/>
  <c r="F105" i="4"/>
  <c r="F106" i="4" s="1"/>
  <c r="F107" i="4" s="1"/>
  <c r="H14" i="4"/>
  <c r="H15" i="4" s="1"/>
  <c r="H16" i="4" s="1"/>
  <c r="M90" i="4"/>
  <c r="L91" i="4"/>
  <c r="L92" i="4" s="1"/>
  <c r="L93" i="4" s="1"/>
  <c r="G84" i="4"/>
  <c r="G85" i="4" s="1"/>
  <c r="G86" i="4" s="1"/>
  <c r="J76" i="4"/>
  <c r="I77" i="4"/>
  <c r="I78" i="4" s="1"/>
  <c r="I79" i="4" s="1"/>
  <c r="E56" i="4"/>
  <c r="E57" i="4" s="1"/>
  <c r="E58" i="4" s="1"/>
  <c r="E141" i="4"/>
  <c r="E142" i="4" s="1"/>
  <c r="E143" i="4" s="1"/>
  <c r="E7" i="4"/>
  <c r="E8" i="4" s="1"/>
  <c r="E9" i="4" s="1"/>
  <c r="H63" i="4"/>
  <c r="H64" i="4" s="1"/>
  <c r="H65" i="4" s="1"/>
  <c r="D30" i="4"/>
  <c r="D160" i="4" s="1"/>
  <c r="G111" i="4"/>
  <c r="F112" i="4"/>
  <c r="F113" i="4" s="1"/>
  <c r="F114" i="4" s="1"/>
  <c r="C62" i="1"/>
  <c r="C63" i="1" s="1"/>
  <c r="C64" i="1" s="1"/>
  <c r="W130" i="1"/>
  <c r="P49" i="4" l="1"/>
  <c r="P50" i="4" s="1"/>
  <c r="P48" i="4"/>
  <c r="P51" i="4"/>
  <c r="E30" i="4"/>
  <c r="E160" i="4" s="1"/>
  <c r="I14" i="4"/>
  <c r="I15" i="4" s="1"/>
  <c r="I16" i="4" s="1"/>
  <c r="J77" i="4"/>
  <c r="J78" i="4" s="1"/>
  <c r="J79" i="4" s="1"/>
  <c r="I63" i="4"/>
  <c r="I64" i="4" s="1"/>
  <c r="I65" i="4" s="1"/>
  <c r="G105" i="4"/>
  <c r="G106" i="4" s="1"/>
  <c r="G107" i="4" s="1"/>
  <c r="H104" i="4"/>
  <c r="H111" i="4"/>
  <c r="G112" i="4"/>
  <c r="G113" i="4" s="1"/>
  <c r="G114" i="4" s="1"/>
  <c r="N90" i="4"/>
  <c r="M91" i="4"/>
  <c r="M92" i="4" s="1"/>
  <c r="M93" i="4" s="1"/>
  <c r="F7" i="4"/>
  <c r="F8" i="4" s="1"/>
  <c r="F9" i="4" s="1"/>
  <c r="J70" i="4"/>
  <c r="J71" i="4" s="1"/>
  <c r="J72" i="4" s="1"/>
  <c r="K69" i="4"/>
  <c r="P70" i="4" s="1"/>
  <c r="P71" i="4" s="1"/>
  <c r="F141" i="4"/>
  <c r="F142" i="4" s="1"/>
  <c r="F143" i="4" s="1"/>
  <c r="H84" i="4"/>
  <c r="H85" i="4" s="1"/>
  <c r="H86" i="4" s="1"/>
  <c r="F56" i="4"/>
  <c r="F57" i="4" s="1"/>
  <c r="F58" i="4" s="1"/>
  <c r="C43" i="1"/>
  <c r="C44" i="1" s="1"/>
  <c r="C45" i="1" s="1"/>
  <c r="AI49" i="1"/>
  <c r="AH49" i="1"/>
  <c r="AG49" i="1"/>
  <c r="AF49" i="1"/>
  <c r="AE49" i="1"/>
  <c r="AD49" i="1"/>
  <c r="AC49" i="1"/>
  <c r="AB49" i="1"/>
  <c r="AA49" i="1"/>
  <c r="Z49" i="1"/>
  <c r="Y49" i="1"/>
  <c r="X49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V47" i="1"/>
  <c r="U47" i="1"/>
  <c r="T47" i="1"/>
  <c r="T50" i="1" s="1"/>
  <c r="AI43" i="1"/>
  <c r="AH43" i="1"/>
  <c r="AG43" i="1"/>
  <c r="AF43" i="1"/>
  <c r="AE43" i="1"/>
  <c r="AD43" i="1"/>
  <c r="AC43" i="1"/>
  <c r="AB43" i="1"/>
  <c r="AA43" i="1"/>
  <c r="Z43" i="1"/>
  <c r="Y43" i="1"/>
  <c r="X43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V41" i="1"/>
  <c r="U41" i="1"/>
  <c r="T41" i="1"/>
  <c r="T44" i="1" s="1"/>
  <c r="P47" i="1"/>
  <c r="P46" i="1"/>
  <c r="P41" i="1"/>
  <c r="P40" i="1"/>
  <c r="F30" i="4" l="1"/>
  <c r="F160" i="4" s="1"/>
  <c r="C49" i="1"/>
  <c r="C50" i="1" s="1"/>
  <c r="C51" i="1" s="1"/>
  <c r="J14" i="4"/>
  <c r="J15" i="4" s="1"/>
  <c r="J16" i="4" s="1"/>
  <c r="I111" i="4"/>
  <c r="I112" i="4" s="1"/>
  <c r="I113" i="4" s="1"/>
  <c r="I114" i="4" s="1"/>
  <c r="H112" i="4"/>
  <c r="H113" i="4" s="1"/>
  <c r="H114" i="4" s="1"/>
  <c r="K70" i="4"/>
  <c r="K71" i="4" s="1"/>
  <c r="K72" i="4" s="1"/>
  <c r="P72" i="4" s="1"/>
  <c r="P69" i="4"/>
  <c r="K77" i="4"/>
  <c r="K78" i="4" s="1"/>
  <c r="K79" i="4" s="1"/>
  <c r="G141" i="4"/>
  <c r="G142" i="4" s="1"/>
  <c r="G143" i="4" s="1"/>
  <c r="N91" i="4"/>
  <c r="N92" i="4" s="1"/>
  <c r="N93" i="4" s="1"/>
  <c r="O90" i="4"/>
  <c r="P90" i="4" s="1"/>
  <c r="J83" i="4"/>
  <c r="I84" i="4"/>
  <c r="I85" i="4" s="1"/>
  <c r="I86" i="4" s="1"/>
  <c r="I104" i="4"/>
  <c r="H105" i="4"/>
  <c r="H106" i="4" s="1"/>
  <c r="H107" i="4" s="1"/>
  <c r="J63" i="4"/>
  <c r="J64" i="4" s="1"/>
  <c r="J65" i="4" s="1"/>
  <c r="G56" i="4"/>
  <c r="G57" i="4" s="1"/>
  <c r="G58" i="4" s="1"/>
  <c r="G7" i="4"/>
  <c r="G8" i="4" s="1"/>
  <c r="G9" i="4" s="1"/>
  <c r="D49" i="1"/>
  <c r="D50" i="1" s="1"/>
  <c r="D51" i="1" s="1"/>
  <c r="T49" i="1"/>
  <c r="E43" i="1"/>
  <c r="E44" i="1" s="1"/>
  <c r="E45" i="1" s="1"/>
  <c r="T43" i="1"/>
  <c r="F49" i="1"/>
  <c r="F50" i="1" s="1"/>
  <c r="F51" i="1" s="1"/>
  <c r="F43" i="1"/>
  <c r="F44" i="1" s="1"/>
  <c r="F45" i="1" s="1"/>
  <c r="T48" i="1"/>
  <c r="T42" i="1"/>
  <c r="P111" i="4" l="1"/>
  <c r="G30" i="4"/>
  <c r="G160" i="4" s="1"/>
  <c r="E49" i="1"/>
  <c r="E50" i="1" s="1"/>
  <c r="E51" i="1" s="1"/>
  <c r="D43" i="1"/>
  <c r="D44" i="1" s="1"/>
  <c r="D45" i="1" s="1"/>
  <c r="H56" i="4"/>
  <c r="H57" i="4" s="1"/>
  <c r="H58" i="4" s="1"/>
  <c r="L62" i="4"/>
  <c r="K63" i="4"/>
  <c r="K64" i="4" s="1"/>
  <c r="K65" i="4" s="1"/>
  <c r="H7" i="4"/>
  <c r="H8" i="4" s="1"/>
  <c r="H9" i="4" s="1"/>
  <c r="P114" i="4"/>
  <c r="K14" i="4"/>
  <c r="K15" i="4" s="1"/>
  <c r="K16" i="4" s="1"/>
  <c r="P112" i="4"/>
  <c r="P113" i="4" s="1"/>
  <c r="O91" i="4"/>
  <c r="O92" i="4" s="1"/>
  <c r="O93" i="4" s="1"/>
  <c r="P93" i="4" s="1"/>
  <c r="P91" i="4"/>
  <c r="P92" i="4" s="1"/>
  <c r="H141" i="4"/>
  <c r="H142" i="4" s="1"/>
  <c r="H143" i="4" s="1"/>
  <c r="I140" i="4"/>
  <c r="M76" i="4"/>
  <c r="L77" i="4"/>
  <c r="L78" i="4" s="1"/>
  <c r="L79" i="4" s="1"/>
  <c r="J84" i="4"/>
  <c r="J85" i="4" s="1"/>
  <c r="J86" i="4" s="1"/>
  <c r="J104" i="4"/>
  <c r="I105" i="4"/>
  <c r="I106" i="4" s="1"/>
  <c r="I107" i="4" s="1"/>
  <c r="G49" i="1"/>
  <c r="G50" i="1" s="1"/>
  <c r="G51" i="1" s="1"/>
  <c r="G43" i="1"/>
  <c r="G44" i="1" s="1"/>
  <c r="G45" i="1" s="1"/>
  <c r="H30" i="4" l="1"/>
  <c r="H160" i="4" s="1"/>
  <c r="J105" i="4"/>
  <c r="J106" i="4" s="1"/>
  <c r="J107" i="4" s="1"/>
  <c r="K104" i="4"/>
  <c r="L63" i="4"/>
  <c r="L64" i="4" s="1"/>
  <c r="L65" i="4" s="1"/>
  <c r="I7" i="4"/>
  <c r="I8" i="4" s="1"/>
  <c r="I9" i="4" s="1"/>
  <c r="L14" i="4"/>
  <c r="L15" i="4" s="1"/>
  <c r="L16" i="4" s="1"/>
  <c r="K84" i="4"/>
  <c r="K85" i="4" s="1"/>
  <c r="K86" i="4" s="1"/>
  <c r="I56" i="4"/>
  <c r="I57" i="4" s="1"/>
  <c r="I58" i="4" s="1"/>
  <c r="M77" i="4"/>
  <c r="M78" i="4" s="1"/>
  <c r="M79" i="4" s="1"/>
  <c r="N76" i="4"/>
  <c r="J140" i="4"/>
  <c r="I141" i="4"/>
  <c r="I142" i="4" s="1"/>
  <c r="I143" i="4" s="1"/>
  <c r="H49" i="1"/>
  <c r="H50" i="1" s="1"/>
  <c r="H51" i="1" s="1"/>
  <c r="H43" i="1"/>
  <c r="H44" i="1" s="1"/>
  <c r="H45" i="1" s="1"/>
  <c r="I30" i="4" l="1"/>
  <c r="I160" i="4" s="1"/>
  <c r="O76" i="4"/>
  <c r="P76" i="4" s="1"/>
  <c r="N77" i="4"/>
  <c r="N78" i="4" s="1"/>
  <c r="N79" i="4" s="1"/>
  <c r="J141" i="4"/>
  <c r="J142" i="4" s="1"/>
  <c r="J143" i="4" s="1"/>
  <c r="L84" i="4"/>
  <c r="L85" i="4" s="1"/>
  <c r="L86" i="4" s="1"/>
  <c r="M63" i="4"/>
  <c r="M64" i="4" s="1"/>
  <c r="M65" i="4" s="1"/>
  <c r="M14" i="4"/>
  <c r="M15" i="4" s="1"/>
  <c r="M16" i="4" s="1"/>
  <c r="K105" i="4"/>
  <c r="K106" i="4" s="1"/>
  <c r="K107" i="4" s="1"/>
  <c r="L104" i="4"/>
  <c r="J56" i="4"/>
  <c r="J57" i="4" s="1"/>
  <c r="J58" i="4" s="1"/>
  <c r="J7" i="4"/>
  <c r="J8" i="4" s="1"/>
  <c r="J9" i="4" s="1"/>
  <c r="I49" i="1"/>
  <c r="I50" i="1" s="1"/>
  <c r="I51" i="1" s="1"/>
  <c r="I43" i="1"/>
  <c r="I44" i="1" s="1"/>
  <c r="I45" i="1" s="1"/>
  <c r="J30" i="4" l="1"/>
  <c r="J160" i="4" s="1"/>
  <c r="M84" i="4"/>
  <c r="M85" i="4" s="1"/>
  <c r="M86" i="4" s="1"/>
  <c r="O77" i="4"/>
  <c r="O78" i="4" s="1"/>
  <c r="O79" i="4" s="1"/>
  <c r="P79" i="4" s="1"/>
  <c r="P77" i="4"/>
  <c r="P78" i="4" s="1"/>
  <c r="N14" i="4"/>
  <c r="N15" i="4" s="1"/>
  <c r="N16" i="4" s="1"/>
  <c r="K7" i="4"/>
  <c r="K8" i="4" s="1"/>
  <c r="K9" i="4" s="1"/>
  <c r="N63" i="4"/>
  <c r="N64" i="4" s="1"/>
  <c r="N65" i="4" s="1"/>
  <c r="P62" i="4"/>
  <c r="M104" i="4"/>
  <c r="L105" i="4"/>
  <c r="L106" i="4" s="1"/>
  <c r="L107" i="4" s="1"/>
  <c r="K141" i="4"/>
  <c r="K142" i="4" s="1"/>
  <c r="K143" i="4" s="1"/>
  <c r="K56" i="4"/>
  <c r="K57" i="4" s="1"/>
  <c r="K58" i="4" s="1"/>
  <c r="J49" i="1"/>
  <c r="J50" i="1" s="1"/>
  <c r="J51" i="1" s="1"/>
  <c r="J43" i="1"/>
  <c r="J44" i="1" s="1"/>
  <c r="J45" i="1" s="1"/>
  <c r="K30" i="4" l="1"/>
  <c r="K160" i="4" s="1"/>
  <c r="O14" i="4"/>
  <c r="O15" i="4" s="1"/>
  <c r="O16" i="4" s="1"/>
  <c r="P16" i="4" s="1"/>
  <c r="P13" i="4"/>
  <c r="P14" i="4"/>
  <c r="P15" i="4" s="1"/>
  <c r="M105" i="4"/>
  <c r="M106" i="4" s="1"/>
  <c r="M107" i="4" s="1"/>
  <c r="N104" i="4"/>
  <c r="L141" i="4"/>
  <c r="L142" i="4" s="1"/>
  <c r="L143" i="4" s="1"/>
  <c r="L7" i="4"/>
  <c r="L8" i="4" s="1"/>
  <c r="L9" i="4" s="1"/>
  <c r="O63" i="4"/>
  <c r="O64" i="4" s="1"/>
  <c r="O65" i="4" s="1"/>
  <c r="P65" i="4" s="1"/>
  <c r="P63" i="4"/>
  <c r="P64" i="4" s="1"/>
  <c r="L56" i="4"/>
  <c r="L57" i="4" s="1"/>
  <c r="L58" i="4" s="1"/>
  <c r="P83" i="4"/>
  <c r="N84" i="4"/>
  <c r="N85" i="4" s="1"/>
  <c r="N86" i="4" s="1"/>
  <c r="K49" i="1"/>
  <c r="K50" i="1" s="1"/>
  <c r="K51" i="1" s="1"/>
  <c r="K43" i="1"/>
  <c r="K44" i="1" s="1"/>
  <c r="K45" i="1" s="1"/>
  <c r="L30" i="4" l="1"/>
  <c r="L160" i="4" s="1"/>
  <c r="M7" i="4"/>
  <c r="M8" i="4" s="1"/>
  <c r="M9" i="4" s="1"/>
  <c r="M141" i="4"/>
  <c r="M142" i="4" s="1"/>
  <c r="M143" i="4" s="1"/>
  <c r="O84" i="4"/>
  <c r="O85" i="4" s="1"/>
  <c r="P84" i="4"/>
  <c r="P85" i="4" s="1"/>
  <c r="M56" i="4"/>
  <c r="M57" i="4" s="1"/>
  <c r="M58" i="4" s="1"/>
  <c r="N55" i="4"/>
  <c r="N105" i="4"/>
  <c r="N106" i="4" s="1"/>
  <c r="N107" i="4" s="1"/>
  <c r="O104" i="4"/>
  <c r="L49" i="1"/>
  <c r="L50" i="1" s="1"/>
  <c r="L51" i="1" s="1"/>
  <c r="L43" i="1"/>
  <c r="L44" i="1" s="1"/>
  <c r="L45" i="1" s="1"/>
  <c r="O86" i="4" l="1"/>
  <c r="P86" i="4" s="1"/>
  <c r="M30" i="4"/>
  <c r="M160" i="4" s="1"/>
  <c r="O105" i="4"/>
  <c r="O106" i="4" s="1"/>
  <c r="O107" i="4" s="1"/>
  <c r="P107" i="4" s="1"/>
  <c r="P105" i="4"/>
  <c r="P106" i="4" s="1"/>
  <c r="P104" i="4"/>
  <c r="N56" i="4"/>
  <c r="N57" i="4" s="1"/>
  <c r="N58" i="4" s="1"/>
  <c r="O55" i="4"/>
  <c r="N7" i="4"/>
  <c r="N8" i="4" s="1"/>
  <c r="N9" i="4" s="1"/>
  <c r="N141" i="4"/>
  <c r="N142" i="4" s="1"/>
  <c r="N143" i="4" s="1"/>
  <c r="M49" i="1"/>
  <c r="M50" i="1" s="1"/>
  <c r="M51" i="1" s="1"/>
  <c r="M43" i="1"/>
  <c r="M44" i="1" s="1"/>
  <c r="M45" i="1" s="1"/>
  <c r="C78" i="1"/>
  <c r="K31" i="1"/>
  <c r="K32" i="1" s="1"/>
  <c r="K33" i="1" s="1"/>
  <c r="J31" i="1"/>
  <c r="J32" i="1" s="1"/>
  <c r="J33" i="1" s="1"/>
  <c r="I31" i="1"/>
  <c r="I32" i="1" s="1"/>
  <c r="I33" i="1" s="1"/>
  <c r="H31" i="1"/>
  <c r="H32" i="1" s="1"/>
  <c r="H33" i="1" s="1"/>
  <c r="G31" i="1"/>
  <c r="G32" i="1" s="1"/>
  <c r="G33" i="1" s="1"/>
  <c r="F31" i="1"/>
  <c r="F32" i="1" s="1"/>
  <c r="F33" i="1" s="1"/>
  <c r="E31" i="1"/>
  <c r="E32" i="1" s="1"/>
  <c r="E33" i="1" s="1"/>
  <c r="D31" i="1"/>
  <c r="D32" i="1" s="1"/>
  <c r="D33" i="1" s="1"/>
  <c r="C31" i="1"/>
  <c r="C32" i="1" s="1"/>
  <c r="C33" i="1" s="1"/>
  <c r="P30" i="1"/>
  <c r="O31" i="1"/>
  <c r="O32" i="1" s="1"/>
  <c r="O33" i="1" s="1"/>
  <c r="N31" i="1"/>
  <c r="N32" i="1" s="1"/>
  <c r="N33" i="1" s="1"/>
  <c r="M31" i="1"/>
  <c r="M32" i="1" s="1"/>
  <c r="M33" i="1" s="1"/>
  <c r="P31" i="1"/>
  <c r="P32" i="1" s="1"/>
  <c r="P28" i="1"/>
  <c r="J25" i="1"/>
  <c r="J26" i="1" s="1"/>
  <c r="H25" i="1"/>
  <c r="H26" i="1" s="1"/>
  <c r="G25" i="1"/>
  <c r="G26" i="1" s="1"/>
  <c r="D25" i="1"/>
  <c r="D26" i="1" s="1"/>
  <c r="K25" i="1"/>
  <c r="K26" i="1" s="1"/>
  <c r="I25" i="1"/>
  <c r="I26" i="1" s="1"/>
  <c r="O25" i="1"/>
  <c r="O26" i="1" s="1"/>
  <c r="N25" i="1"/>
  <c r="N26" i="1" s="1"/>
  <c r="M25" i="1"/>
  <c r="M26" i="1" s="1"/>
  <c r="P22" i="1"/>
  <c r="P16" i="1"/>
  <c r="P10" i="1"/>
  <c r="N30" i="4" l="1"/>
  <c r="N160" i="4" s="1"/>
  <c r="O141" i="4"/>
  <c r="O142" i="4" s="1"/>
  <c r="O143" i="4" s="1"/>
  <c r="P143" i="4" s="1"/>
  <c r="P141" i="4"/>
  <c r="P142" i="4" s="1"/>
  <c r="P140" i="4"/>
  <c r="O56" i="4"/>
  <c r="O57" i="4" s="1"/>
  <c r="O58" i="4" s="1"/>
  <c r="P58" i="4" s="1"/>
  <c r="P56" i="4"/>
  <c r="P57" i="4" s="1"/>
  <c r="P55" i="4"/>
  <c r="O7" i="4"/>
  <c r="O8" i="4" s="1"/>
  <c r="O9" i="4" s="1"/>
  <c r="P6" i="4"/>
  <c r="P7" i="4"/>
  <c r="P8" i="4" s="1"/>
  <c r="N49" i="1"/>
  <c r="N50" i="1" s="1"/>
  <c r="N51" i="1" s="1"/>
  <c r="P48" i="1"/>
  <c r="N43" i="1"/>
  <c r="N44" i="1" s="1"/>
  <c r="N45" i="1" s="1"/>
  <c r="P42" i="1"/>
  <c r="P43" i="1"/>
  <c r="P44" i="1" s="1"/>
  <c r="C13" i="1"/>
  <c r="C14" i="1" s="1"/>
  <c r="C15" i="1" s="1"/>
  <c r="P23" i="1"/>
  <c r="D13" i="1"/>
  <c r="D14" i="1" s="1"/>
  <c r="D15" i="1" s="1"/>
  <c r="P11" i="1"/>
  <c r="L25" i="1"/>
  <c r="L26" i="1" s="1"/>
  <c r="F25" i="1"/>
  <c r="F26" i="1" s="1"/>
  <c r="P5" i="1"/>
  <c r="L31" i="1"/>
  <c r="L32" i="1" s="1"/>
  <c r="L33" i="1" s="1"/>
  <c r="P33" i="1" s="1"/>
  <c r="P29" i="1"/>
  <c r="E25" i="1"/>
  <c r="E26" i="1" s="1"/>
  <c r="D19" i="1"/>
  <c r="D20" i="1" s="1"/>
  <c r="D21" i="1" s="1"/>
  <c r="P17" i="1"/>
  <c r="O30" i="4" l="1"/>
  <c r="P30" i="4" s="1"/>
  <c r="P9" i="4"/>
  <c r="O49" i="1"/>
  <c r="O50" i="1" s="1"/>
  <c r="O51" i="1" s="1"/>
  <c r="P51" i="1" s="1"/>
  <c r="V49" i="1"/>
  <c r="U49" i="1"/>
  <c r="P49" i="1"/>
  <c r="P50" i="1" s="1"/>
  <c r="O43" i="1"/>
  <c r="O44" i="1" s="1"/>
  <c r="O45" i="1" s="1"/>
  <c r="P45" i="1" s="1"/>
  <c r="U43" i="1"/>
  <c r="V43" i="1"/>
  <c r="C7" i="1"/>
  <c r="C8" i="1" s="1"/>
  <c r="C9" i="1" s="1"/>
  <c r="P25" i="1"/>
  <c r="P26" i="1" s="1"/>
  <c r="D7" i="1"/>
  <c r="D8" i="1" s="1"/>
  <c r="D9" i="1" s="1"/>
  <c r="E19" i="1"/>
  <c r="E20" i="1" s="1"/>
  <c r="E21" i="1" s="1"/>
  <c r="P24" i="1"/>
  <c r="D27" i="1" l="1"/>
  <c r="C27" i="1"/>
  <c r="O160" i="4"/>
  <c r="G19" i="1"/>
  <c r="G20" i="1" s="1"/>
  <c r="G21" i="1" s="1"/>
  <c r="E13" i="1"/>
  <c r="E14" i="1" s="1"/>
  <c r="E15" i="1" s="1"/>
  <c r="E7" i="1"/>
  <c r="E8" i="1" s="1"/>
  <c r="E9" i="1" s="1"/>
  <c r="F19" i="1"/>
  <c r="F20" i="1" s="1"/>
  <c r="F21" i="1" s="1"/>
  <c r="F13" i="1"/>
  <c r="F14" i="1" s="1"/>
  <c r="F15" i="1" s="1"/>
  <c r="E27" i="1" l="1"/>
  <c r="H19" i="1"/>
  <c r="H20" i="1" s="1"/>
  <c r="H21" i="1" s="1"/>
  <c r="G13" i="1"/>
  <c r="G14" i="1" s="1"/>
  <c r="G15" i="1" s="1"/>
  <c r="F7" i="1"/>
  <c r="F8" i="1" s="1"/>
  <c r="F9" i="1" s="1"/>
  <c r="I19" i="1" l="1"/>
  <c r="I20" i="1" s="1"/>
  <c r="I21" i="1" s="1"/>
  <c r="H13" i="1"/>
  <c r="H14" i="1" s="1"/>
  <c r="H15" i="1" s="1"/>
  <c r="G7" i="1"/>
  <c r="G8" i="1" s="1"/>
  <c r="G9" i="1" s="1"/>
  <c r="F27" i="1"/>
  <c r="G27" i="1" l="1"/>
  <c r="J19" i="1"/>
  <c r="J20" i="1" s="1"/>
  <c r="J21" i="1" s="1"/>
  <c r="I13" i="1"/>
  <c r="I14" i="1" s="1"/>
  <c r="I15" i="1" s="1"/>
  <c r="H7" i="1"/>
  <c r="H8" i="1" s="1"/>
  <c r="H9" i="1" s="1"/>
  <c r="H27" i="1" l="1"/>
  <c r="K19" i="1"/>
  <c r="K20" i="1" s="1"/>
  <c r="K21" i="1" s="1"/>
  <c r="J13" i="1"/>
  <c r="J14" i="1" s="1"/>
  <c r="J15" i="1" s="1"/>
  <c r="I7" i="1"/>
  <c r="I8" i="1" s="1"/>
  <c r="I9" i="1" s="1"/>
  <c r="I27" i="1" l="1"/>
  <c r="L19" i="1"/>
  <c r="L20" i="1" s="1"/>
  <c r="L21" i="1" s="1"/>
  <c r="J7" i="1"/>
  <c r="J8" i="1" s="1"/>
  <c r="J9" i="1" s="1"/>
  <c r="L12" i="1"/>
  <c r="M12" i="1" s="1"/>
  <c r="N12" i="1" s="1"/>
  <c r="O12" i="1" s="1"/>
  <c r="K13" i="1"/>
  <c r="K14" i="1" s="1"/>
  <c r="K15" i="1" s="1"/>
  <c r="J27" i="1" l="1"/>
  <c r="M19" i="1"/>
  <c r="M20" i="1" s="1"/>
  <c r="M21" i="1" s="1"/>
  <c r="L13" i="1"/>
  <c r="L14" i="1" s="1"/>
  <c r="L15" i="1" s="1"/>
  <c r="K7" i="1"/>
  <c r="K8" i="1" s="1"/>
  <c r="K9" i="1" s="1"/>
  <c r="K27" i="1" l="1"/>
  <c r="N19" i="1"/>
  <c r="N20" i="1" s="1"/>
  <c r="N21" i="1" s="1"/>
  <c r="P18" i="1"/>
  <c r="L7" i="1"/>
  <c r="L8" i="1" s="1"/>
  <c r="L9" i="1" s="1"/>
  <c r="M13" i="1"/>
  <c r="M14" i="1" s="1"/>
  <c r="M15" i="1" s="1"/>
  <c r="L27" i="1" l="1"/>
  <c r="O19" i="1"/>
  <c r="O20" i="1" s="1"/>
  <c r="O21" i="1" s="1"/>
  <c r="P21" i="1" s="1"/>
  <c r="P19" i="1"/>
  <c r="P20" i="1" s="1"/>
  <c r="N13" i="1"/>
  <c r="N14" i="1" s="1"/>
  <c r="N15" i="1" s="1"/>
  <c r="M7" i="1"/>
  <c r="M8" i="1" s="1"/>
  <c r="M9" i="1" s="1"/>
  <c r="M27" i="1" l="1"/>
  <c r="N7" i="1"/>
  <c r="N8" i="1" s="1"/>
  <c r="N9" i="1" s="1"/>
  <c r="O13" i="1"/>
  <c r="O14" i="1" s="1"/>
  <c r="O15" i="1" s="1"/>
  <c r="P15" i="1" s="1"/>
  <c r="P12" i="1"/>
  <c r="P13" i="1"/>
  <c r="P14" i="1" s="1"/>
  <c r="N27" i="1" l="1"/>
  <c r="O7" i="1"/>
  <c r="O8" i="1" s="1"/>
  <c r="O9" i="1" s="1"/>
  <c r="P6" i="1"/>
  <c r="P7" i="1"/>
  <c r="P8" i="1" s="1"/>
  <c r="O27" i="1" l="1"/>
  <c r="P27" i="1" s="1"/>
  <c r="P9" i="1"/>
  <c r="C75" i="1" l="1"/>
  <c r="C76" i="1" s="1"/>
  <c r="C77" i="1" s="1"/>
  <c r="C82" i="1"/>
  <c r="D78" i="1"/>
  <c r="E78" i="1"/>
  <c r="F78" i="1"/>
  <c r="G78" i="1"/>
  <c r="H78" i="1"/>
  <c r="I78" i="1"/>
  <c r="J78" i="1"/>
  <c r="K78" i="1"/>
  <c r="L78" i="1"/>
  <c r="M78" i="1"/>
  <c r="N78" i="1"/>
  <c r="O78" i="1"/>
  <c r="C119" i="1" l="1"/>
  <c r="D119" i="1"/>
  <c r="AI106" i="1" l="1"/>
  <c r="AH106" i="1"/>
  <c r="X106" i="1"/>
  <c r="AE105" i="1"/>
  <c r="AD105" i="1"/>
  <c r="AC105" i="1"/>
  <c r="AB105" i="1"/>
  <c r="AA105" i="1"/>
  <c r="AH105" i="1"/>
  <c r="AG105" i="1"/>
  <c r="U104" i="1"/>
  <c r="AI105" i="1"/>
  <c r="AG106" i="1"/>
  <c r="AF106" i="1"/>
  <c r="AE106" i="1"/>
  <c r="AD106" i="1"/>
  <c r="AC106" i="1"/>
  <c r="AB106" i="1"/>
  <c r="AA106" i="1"/>
  <c r="Z105" i="1"/>
  <c r="Y105" i="1"/>
  <c r="X105" i="1"/>
  <c r="P104" i="1"/>
  <c r="P103" i="1"/>
  <c r="P129" i="1"/>
  <c r="AA130" i="1"/>
  <c r="AE130" i="1"/>
  <c r="AF131" i="1"/>
  <c r="AG131" i="1"/>
  <c r="AI131" i="1"/>
  <c r="T132" i="1"/>
  <c r="AA131" i="1"/>
  <c r="Z131" i="1"/>
  <c r="C131" i="1"/>
  <c r="C132" i="1" s="1"/>
  <c r="C133" i="1" s="1"/>
  <c r="AI130" i="1"/>
  <c r="AG130" i="1"/>
  <c r="AF130" i="1"/>
  <c r="AD130" i="1"/>
  <c r="AC130" i="1"/>
  <c r="AB130" i="1"/>
  <c r="Z130" i="1"/>
  <c r="Y131" i="1"/>
  <c r="P128" i="1"/>
  <c r="P34" i="1"/>
  <c r="AI37" i="1"/>
  <c r="AH37" i="1"/>
  <c r="AG37" i="1"/>
  <c r="AF37" i="1"/>
  <c r="AE37" i="1"/>
  <c r="AD37" i="1"/>
  <c r="AC37" i="1"/>
  <c r="AB37" i="1"/>
  <c r="AA37" i="1"/>
  <c r="Z37" i="1"/>
  <c r="Y37" i="1"/>
  <c r="X37" i="1"/>
  <c r="V37" i="1"/>
  <c r="U37" i="1"/>
  <c r="AH36" i="1"/>
  <c r="AG36" i="1"/>
  <c r="AF36" i="1"/>
  <c r="AE36" i="1"/>
  <c r="V36" i="1"/>
  <c r="U36" i="1"/>
  <c r="AI36" i="1"/>
  <c r="AD36" i="1"/>
  <c r="AC36" i="1"/>
  <c r="AB36" i="1"/>
  <c r="AA36" i="1"/>
  <c r="Z36" i="1"/>
  <c r="Y36" i="1"/>
  <c r="X36" i="1"/>
  <c r="W36" i="1"/>
  <c r="C37" i="1"/>
  <c r="C38" i="1" s="1"/>
  <c r="C39" i="1" s="1"/>
  <c r="C56" i="1"/>
  <c r="K37" i="1"/>
  <c r="K38" i="1" s="1"/>
  <c r="K39" i="1" s="1"/>
  <c r="J37" i="1"/>
  <c r="J38" i="1" s="1"/>
  <c r="J39" i="1" s="1"/>
  <c r="I37" i="1"/>
  <c r="I38" i="1" s="1"/>
  <c r="I39" i="1" s="1"/>
  <c r="H37" i="1"/>
  <c r="H38" i="1" s="1"/>
  <c r="H39" i="1" s="1"/>
  <c r="G37" i="1"/>
  <c r="G38" i="1" s="1"/>
  <c r="G39" i="1" s="1"/>
  <c r="F37" i="1"/>
  <c r="F38" i="1" s="1"/>
  <c r="F39" i="1" s="1"/>
  <c r="E37" i="1"/>
  <c r="E38" i="1" s="1"/>
  <c r="E39" i="1" s="1"/>
  <c r="D37" i="1"/>
  <c r="D38" i="1" s="1"/>
  <c r="D39" i="1" s="1"/>
  <c r="P36" i="1"/>
  <c r="O37" i="1"/>
  <c r="O38" i="1" s="1"/>
  <c r="O39" i="1" s="1"/>
  <c r="N37" i="1"/>
  <c r="N38" i="1" s="1"/>
  <c r="N39" i="1" s="1"/>
  <c r="M37" i="1"/>
  <c r="M38" i="1" s="1"/>
  <c r="M39" i="1" s="1"/>
  <c r="C139" i="1"/>
  <c r="P137" i="1"/>
  <c r="P136" i="1"/>
  <c r="P118" i="1"/>
  <c r="P117" i="1"/>
  <c r="P135" i="1"/>
  <c r="P134" i="1" s="1"/>
  <c r="P116" i="1"/>
  <c r="P138" i="1"/>
  <c r="P139" i="1" s="1"/>
  <c r="O138" i="1"/>
  <c r="O139" i="1" s="1"/>
  <c r="O140" i="1" s="1"/>
  <c r="N138" i="1"/>
  <c r="N139" i="1" s="1"/>
  <c r="N140" i="1" s="1"/>
  <c r="M138" i="1"/>
  <c r="M139" i="1" s="1"/>
  <c r="M140" i="1" s="1"/>
  <c r="L138" i="1"/>
  <c r="L139" i="1" s="1"/>
  <c r="L140" i="1" s="1"/>
  <c r="K138" i="1"/>
  <c r="K139" i="1" s="1"/>
  <c r="K140" i="1" s="1"/>
  <c r="J138" i="1"/>
  <c r="J139" i="1" s="1"/>
  <c r="J140" i="1" s="1"/>
  <c r="I138" i="1"/>
  <c r="I139" i="1" s="1"/>
  <c r="I140" i="1" s="1"/>
  <c r="H138" i="1"/>
  <c r="H139" i="1" s="1"/>
  <c r="G138" i="1"/>
  <c r="G139" i="1" s="1"/>
  <c r="F138" i="1"/>
  <c r="F139" i="1" s="1"/>
  <c r="E138" i="1"/>
  <c r="E139" i="1" s="1"/>
  <c r="D138" i="1"/>
  <c r="D139" i="1" s="1"/>
  <c r="V104" i="1" l="1"/>
  <c r="Y106" i="1"/>
  <c r="AF105" i="1"/>
  <c r="V105" i="1"/>
  <c r="W105" i="1"/>
  <c r="C106" i="1"/>
  <c r="C107" i="1" s="1"/>
  <c r="C108" i="1" s="1"/>
  <c r="T104" i="1"/>
  <c r="T107" i="1" s="1"/>
  <c r="Z106" i="1"/>
  <c r="U105" i="1"/>
  <c r="D106" i="1"/>
  <c r="D107" i="1" s="1"/>
  <c r="D108" i="1" s="1"/>
  <c r="AH130" i="1"/>
  <c r="AE131" i="1"/>
  <c r="AH131" i="1"/>
  <c r="U130" i="1"/>
  <c r="AB131" i="1"/>
  <c r="V130" i="1"/>
  <c r="AC131" i="1"/>
  <c r="AD131" i="1"/>
  <c r="X130" i="1"/>
  <c r="Y130" i="1"/>
  <c r="D131" i="1"/>
  <c r="D132" i="1" s="1"/>
  <c r="D133" i="1" s="1"/>
  <c r="X131" i="1"/>
  <c r="T37" i="1"/>
  <c r="T36" i="1"/>
  <c r="T35" i="1"/>
  <c r="T38" i="1" s="1"/>
  <c r="U35" i="1"/>
  <c r="V35" i="1"/>
  <c r="P37" i="1"/>
  <c r="P38" i="1" s="1"/>
  <c r="L37" i="1"/>
  <c r="L38" i="1" s="1"/>
  <c r="L39" i="1" s="1"/>
  <c r="P35" i="1"/>
  <c r="P140" i="1"/>
  <c r="AJ134" i="1" s="1"/>
  <c r="P39" i="1" l="1"/>
  <c r="AJ3" i="1" s="1"/>
  <c r="T106" i="1"/>
  <c r="T105" i="1"/>
  <c r="E106" i="1"/>
  <c r="E107" i="1" s="1"/>
  <c r="E108" i="1" s="1"/>
  <c r="T130" i="1"/>
  <c r="E131" i="1"/>
  <c r="E132" i="1" s="1"/>
  <c r="E133" i="1" s="1"/>
  <c r="T131" i="1"/>
  <c r="F106" i="1" l="1"/>
  <c r="F107" i="1" s="1"/>
  <c r="F108" i="1" s="1"/>
  <c r="F131" i="1"/>
  <c r="F132" i="1" s="1"/>
  <c r="F133" i="1" s="1"/>
  <c r="G106" i="1" l="1"/>
  <c r="G107" i="1" s="1"/>
  <c r="G108" i="1" s="1"/>
  <c r="G131" i="1"/>
  <c r="G132" i="1" s="1"/>
  <c r="G133" i="1" s="1"/>
  <c r="H106" i="1" l="1"/>
  <c r="H107" i="1" s="1"/>
  <c r="H108" i="1" s="1"/>
  <c r="H131" i="1"/>
  <c r="H132" i="1" s="1"/>
  <c r="H133" i="1" s="1"/>
  <c r="I106" i="1" l="1"/>
  <c r="I107" i="1" s="1"/>
  <c r="I108" i="1" s="1"/>
  <c r="I131" i="1"/>
  <c r="I132" i="1" s="1"/>
  <c r="I133" i="1" s="1"/>
  <c r="J106" i="1" l="1"/>
  <c r="J107" i="1" s="1"/>
  <c r="J108" i="1" s="1"/>
  <c r="J131" i="1"/>
  <c r="J132" i="1" s="1"/>
  <c r="J133" i="1" s="1"/>
  <c r="K106" i="1" l="1"/>
  <c r="K107" i="1" s="1"/>
  <c r="K108" i="1" s="1"/>
  <c r="K131" i="1"/>
  <c r="K132" i="1" s="1"/>
  <c r="K133" i="1" s="1"/>
  <c r="L106" i="1" l="1"/>
  <c r="L107" i="1" s="1"/>
  <c r="L108" i="1" s="1"/>
  <c r="L131" i="1"/>
  <c r="L132" i="1" s="1"/>
  <c r="L133" i="1" s="1"/>
  <c r="M106" i="1" l="1"/>
  <c r="M107" i="1" s="1"/>
  <c r="M108" i="1" s="1"/>
  <c r="M131" i="1"/>
  <c r="M132" i="1" s="1"/>
  <c r="M133" i="1" s="1"/>
  <c r="N106" i="1" l="1"/>
  <c r="N107" i="1" s="1"/>
  <c r="N108" i="1" s="1"/>
  <c r="N131" i="1"/>
  <c r="N132" i="1" s="1"/>
  <c r="N133" i="1" s="1"/>
  <c r="O106" i="1" l="1"/>
  <c r="O107" i="1" s="1"/>
  <c r="O108" i="1" s="1"/>
  <c r="P108" i="1" s="1"/>
  <c r="P106" i="1"/>
  <c r="P107" i="1" s="1"/>
  <c r="P105" i="1"/>
  <c r="V106" i="1"/>
  <c r="U106" i="1"/>
  <c r="O131" i="1"/>
  <c r="O132" i="1" s="1"/>
  <c r="O133" i="1" s="1"/>
  <c r="P133" i="1" s="1"/>
  <c r="V131" i="1"/>
  <c r="U131" i="1"/>
  <c r="P130" i="1"/>
  <c r="P131" i="1"/>
  <c r="P132" i="1" s="1"/>
  <c r="O3" i="2" l="1"/>
  <c r="O2" i="2"/>
  <c r="AI125" i="1" l="1"/>
  <c r="AH125" i="1"/>
  <c r="AG125" i="1"/>
  <c r="AF125" i="1"/>
  <c r="AE125" i="1"/>
  <c r="AD125" i="1"/>
  <c r="AC125" i="1"/>
  <c r="AB125" i="1"/>
  <c r="AA125" i="1"/>
  <c r="Z125" i="1"/>
  <c r="Y125" i="1"/>
  <c r="X125" i="1"/>
  <c r="V124" i="1"/>
  <c r="U124" i="1"/>
  <c r="C125" i="1"/>
  <c r="C126" i="1" s="1"/>
  <c r="C127" i="1" s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P123" i="1"/>
  <c r="P122" i="1"/>
  <c r="M119" i="1"/>
  <c r="M120" i="1" s="1"/>
  <c r="M121" i="1" s="1"/>
  <c r="AE100" i="1"/>
  <c r="AD100" i="1"/>
  <c r="AC100" i="1"/>
  <c r="AB100" i="1"/>
  <c r="AA100" i="1"/>
  <c r="Z100" i="1"/>
  <c r="Y100" i="1"/>
  <c r="X100" i="1"/>
  <c r="C100" i="1"/>
  <c r="C101" i="1" s="1"/>
  <c r="C102" i="1" s="1"/>
  <c r="AE99" i="1"/>
  <c r="AD99" i="1"/>
  <c r="AC99" i="1"/>
  <c r="AB99" i="1"/>
  <c r="AA99" i="1"/>
  <c r="Z99" i="1"/>
  <c r="Y99" i="1"/>
  <c r="X99" i="1"/>
  <c r="P91" i="1"/>
  <c r="P85" i="1"/>
  <c r="C83" i="1"/>
  <c r="C84" i="1" s="1"/>
  <c r="P79" i="1"/>
  <c r="AE75" i="1"/>
  <c r="AD75" i="1"/>
  <c r="AC75" i="1"/>
  <c r="AB75" i="1"/>
  <c r="AA75" i="1"/>
  <c r="Z75" i="1"/>
  <c r="Y75" i="1"/>
  <c r="X75" i="1"/>
  <c r="AE74" i="1"/>
  <c r="AD74" i="1"/>
  <c r="AC74" i="1"/>
  <c r="AB74" i="1"/>
  <c r="AA74" i="1"/>
  <c r="Z74" i="1"/>
  <c r="Y74" i="1"/>
  <c r="X74" i="1"/>
  <c r="P72" i="1"/>
  <c r="O141" i="1"/>
  <c r="N141" i="1"/>
  <c r="D141" i="1"/>
  <c r="C141" i="1"/>
  <c r="D70" i="1"/>
  <c r="C70" i="1"/>
  <c r="E68" i="1"/>
  <c r="E69" i="1" s="1"/>
  <c r="E70" i="1" s="1"/>
  <c r="P65" i="1"/>
  <c r="O62" i="1"/>
  <c r="O63" i="1" s="1"/>
  <c r="O64" i="1" s="1"/>
  <c r="N62" i="1"/>
  <c r="N63" i="1" s="1"/>
  <c r="N64" i="1" s="1"/>
  <c r="M62" i="1"/>
  <c r="M63" i="1" s="1"/>
  <c r="M64" i="1" s="1"/>
  <c r="P59" i="1"/>
  <c r="L55" i="1"/>
  <c r="C57" i="1"/>
  <c r="C58" i="1" s="1"/>
  <c r="P53" i="1"/>
  <c r="AE31" i="1"/>
  <c r="AD31" i="1"/>
  <c r="AC31" i="1"/>
  <c r="AB31" i="1"/>
  <c r="AA31" i="1"/>
  <c r="Z31" i="1"/>
  <c r="Y31" i="1"/>
  <c r="X31" i="1"/>
  <c r="V31" i="1"/>
  <c r="U31" i="1"/>
  <c r="AE30" i="1"/>
  <c r="AD30" i="1"/>
  <c r="AC30" i="1"/>
  <c r="AB30" i="1"/>
  <c r="AA30" i="1"/>
  <c r="Z30" i="1"/>
  <c r="Y30" i="1"/>
  <c r="X30" i="1"/>
  <c r="W30" i="1"/>
  <c r="AE25" i="1"/>
  <c r="AD25" i="1"/>
  <c r="AC25" i="1"/>
  <c r="AB25" i="1"/>
  <c r="AA25" i="1"/>
  <c r="Z25" i="1"/>
  <c r="Y25" i="1"/>
  <c r="X25" i="1"/>
  <c r="AE24" i="1"/>
  <c r="AD24" i="1"/>
  <c r="AC24" i="1"/>
  <c r="AB24" i="1"/>
  <c r="AA24" i="1"/>
  <c r="Z24" i="1"/>
  <c r="Y24" i="1"/>
  <c r="X24" i="1"/>
  <c r="AF25" i="1"/>
  <c r="I141" i="1" l="1"/>
  <c r="E141" i="1"/>
  <c r="F141" i="1"/>
  <c r="G141" i="1"/>
  <c r="L141" i="1"/>
  <c r="H141" i="1"/>
  <c r="M141" i="1"/>
  <c r="J141" i="1"/>
  <c r="K141" i="1"/>
  <c r="Z81" i="1"/>
  <c r="AG19" i="1"/>
  <c r="AI74" i="1"/>
  <c r="AA61" i="1"/>
  <c r="AA6" i="1"/>
  <c r="AI30" i="1"/>
  <c r="Z62" i="1"/>
  <c r="AH74" i="1"/>
  <c r="AC87" i="1"/>
  <c r="Z94" i="1"/>
  <c r="Y56" i="1"/>
  <c r="AB81" i="1"/>
  <c r="AE88" i="1"/>
  <c r="AH25" i="1"/>
  <c r="AF7" i="1"/>
  <c r="Y12" i="1"/>
  <c r="AG68" i="1"/>
  <c r="AI100" i="1"/>
  <c r="AI118" i="1"/>
  <c r="AE56" i="1"/>
  <c r="AH67" i="1"/>
  <c r="AI113" i="1"/>
  <c r="AF119" i="1"/>
  <c r="AE118" i="1"/>
  <c r="AH88" i="1"/>
  <c r="AD94" i="1"/>
  <c r="AF12" i="1"/>
  <c r="Z19" i="1"/>
  <c r="X112" i="1"/>
  <c r="Y113" i="1"/>
  <c r="AD112" i="1"/>
  <c r="AC19" i="1"/>
  <c r="AG118" i="1"/>
  <c r="AD7" i="1"/>
  <c r="AG30" i="1"/>
  <c r="AC61" i="1"/>
  <c r="AE62" i="1"/>
  <c r="AD61" i="1"/>
  <c r="AI12" i="1"/>
  <c r="Y68" i="1"/>
  <c r="AG87" i="1"/>
  <c r="AH118" i="1"/>
  <c r="AE19" i="1"/>
  <c r="Z68" i="1"/>
  <c r="W118" i="1"/>
  <c r="AG7" i="1"/>
  <c r="AA13" i="1"/>
  <c r="AH75" i="1"/>
  <c r="Y87" i="1"/>
  <c r="AG93" i="1"/>
  <c r="L119" i="1"/>
  <c r="L120" i="1" s="1"/>
  <c r="L121" i="1" s="1"/>
  <c r="AE82" i="1"/>
  <c r="W93" i="1"/>
  <c r="AI94" i="1"/>
  <c r="X6" i="1"/>
  <c r="AE67" i="1"/>
  <c r="D75" i="1"/>
  <c r="D76" i="1" s="1"/>
  <c r="D77" i="1" s="1"/>
  <c r="Y94" i="1"/>
  <c r="AB6" i="1"/>
  <c r="Y61" i="1"/>
  <c r="AB13" i="1"/>
  <c r="AE18" i="1"/>
  <c r="X56" i="1"/>
  <c r="AF62" i="1"/>
  <c r="AI25" i="1"/>
  <c r="AA55" i="1"/>
  <c r="V74" i="1"/>
  <c r="V86" i="1"/>
  <c r="AC94" i="1"/>
  <c r="U117" i="1"/>
  <c r="AF118" i="1"/>
  <c r="AE13" i="1"/>
  <c r="AG88" i="1"/>
  <c r="V92" i="1"/>
  <c r="AH94" i="1"/>
  <c r="AA18" i="1"/>
  <c r="AB19" i="1"/>
  <c r="AC18" i="1"/>
  <c r="AB61" i="1"/>
  <c r="AD88" i="1"/>
  <c r="X113" i="1"/>
  <c r="AI112" i="1"/>
  <c r="AH6" i="1"/>
  <c r="AD19" i="1"/>
  <c r="X55" i="1"/>
  <c r="AA67" i="1"/>
  <c r="AF87" i="1"/>
  <c r="Z93" i="1"/>
  <c r="Y93" i="1"/>
  <c r="E100" i="1"/>
  <c r="E101" i="1" s="1"/>
  <c r="E102" i="1" s="1"/>
  <c r="V112" i="1"/>
  <c r="AG6" i="1"/>
  <c r="AD55" i="1"/>
  <c r="AH62" i="1"/>
  <c r="AG74" i="1"/>
  <c r="AF88" i="1"/>
  <c r="AI93" i="1"/>
  <c r="P98" i="1"/>
  <c r="AH112" i="1"/>
  <c r="X118" i="1"/>
  <c r="AC7" i="1"/>
  <c r="AF19" i="1"/>
  <c r="AA68" i="1"/>
  <c r="X94" i="1"/>
  <c r="Y118" i="1"/>
  <c r="AB7" i="1"/>
  <c r="AF61" i="1"/>
  <c r="AE12" i="1"/>
  <c r="E62" i="1"/>
  <c r="E63" i="1" s="1"/>
  <c r="E64" i="1" s="1"/>
  <c r="AI75" i="1"/>
  <c r="AA113" i="1"/>
  <c r="AA112" i="1"/>
  <c r="AC6" i="1"/>
  <c r="AE7" i="1"/>
  <c r="AF13" i="1"/>
  <c r="G62" i="1"/>
  <c r="G63" i="1" s="1"/>
  <c r="G64" i="1" s="1"/>
  <c r="AH93" i="1"/>
  <c r="AC119" i="1"/>
  <c r="AI55" i="1"/>
  <c r="L62" i="1"/>
  <c r="L63" i="1" s="1"/>
  <c r="L64" i="1" s="1"/>
  <c r="U99" i="1"/>
  <c r="AC118" i="1"/>
  <c r="AG119" i="1"/>
  <c r="AG56" i="1"/>
  <c r="P78" i="1"/>
  <c r="Y19" i="1"/>
  <c r="X61" i="1"/>
  <c r="F68" i="1"/>
  <c r="F69" i="1" s="1"/>
  <c r="F70" i="1" s="1"/>
  <c r="AH119" i="1"/>
  <c r="AG61" i="1"/>
  <c r="AF6" i="1"/>
  <c r="AB87" i="1"/>
  <c r="V99" i="1"/>
  <c r="AF55" i="1"/>
  <c r="Y112" i="1"/>
  <c r="U11" i="1"/>
  <c r="U12" i="1"/>
  <c r="T23" i="1"/>
  <c r="T26" i="1" s="1"/>
  <c r="AI24" i="1"/>
  <c r="AF24" i="1"/>
  <c r="Z61" i="1"/>
  <c r="AA62" i="1"/>
  <c r="AE81" i="1"/>
  <c r="D88" i="1"/>
  <c r="D89" i="1" s="1"/>
  <c r="D90" i="1" s="1"/>
  <c r="U93" i="1"/>
  <c r="AH99" i="1"/>
  <c r="AE55" i="1"/>
  <c r="D68" i="1"/>
  <c r="AD87" i="1"/>
  <c r="Y88" i="1"/>
  <c r="AD13" i="1"/>
  <c r="AB18" i="1"/>
  <c r="AG55" i="1"/>
  <c r="AG62" i="1"/>
  <c r="AE87" i="1"/>
  <c r="AC93" i="1"/>
  <c r="AG99" i="1"/>
  <c r="U5" i="1"/>
  <c r="AH19" i="1"/>
  <c r="AH18" i="1"/>
  <c r="AE6" i="1"/>
  <c r="T5" i="1"/>
  <c r="P3" i="1"/>
  <c r="T17" i="1"/>
  <c r="T20" i="1" s="1"/>
  <c r="V6" i="1"/>
  <c r="Y7" i="1"/>
  <c r="Y6" i="1"/>
  <c r="AG12" i="1"/>
  <c r="V12" i="1"/>
  <c r="AG13" i="1"/>
  <c r="P52" i="1"/>
  <c r="AH55" i="1"/>
  <c r="AH56" i="1"/>
  <c r="AB62" i="1"/>
  <c r="H62" i="1"/>
  <c r="H63" i="1" s="1"/>
  <c r="H64" i="1" s="1"/>
  <c r="Y67" i="1"/>
  <c r="U66" i="1"/>
  <c r="G68" i="1"/>
  <c r="G69" i="1" s="1"/>
  <c r="G70" i="1" s="1"/>
  <c r="AI13" i="1"/>
  <c r="X18" i="1"/>
  <c r="Y18" i="1"/>
  <c r="Z7" i="1"/>
  <c r="Z6" i="1"/>
  <c r="AH13" i="1"/>
  <c r="V18" i="1"/>
  <c r="U18" i="1"/>
  <c r="AI19" i="1"/>
  <c r="AI18" i="1"/>
  <c r="AF31" i="1"/>
  <c r="V30" i="1"/>
  <c r="U54" i="1"/>
  <c r="V54" i="1"/>
  <c r="T54" i="1"/>
  <c r="T57" i="1" s="1"/>
  <c r="V5" i="1"/>
  <c r="X12" i="1"/>
  <c r="X13" i="1"/>
  <c r="AB12" i="1"/>
  <c r="AI31" i="1"/>
  <c r="AH31" i="1"/>
  <c r="Z55" i="1"/>
  <c r="Z56" i="1"/>
  <c r="E56" i="1"/>
  <c r="E57" i="1" s="1"/>
  <c r="E58" i="1" s="1"/>
  <c r="AD12" i="1"/>
  <c r="Z18" i="1"/>
  <c r="W24" i="1"/>
  <c r="AF30" i="1"/>
  <c r="Z13" i="1"/>
  <c r="Z12" i="1"/>
  <c r="T11" i="1"/>
  <c r="T14" i="1" s="1"/>
  <c r="V17" i="1"/>
  <c r="U17" i="1"/>
  <c r="AD18" i="1"/>
  <c r="AG25" i="1"/>
  <c r="AG24" i="1"/>
  <c r="V24" i="1"/>
  <c r="T29" i="1"/>
  <c r="T32" i="1" s="1"/>
  <c r="AB56" i="1"/>
  <c r="AB55" i="1"/>
  <c r="X19" i="1"/>
  <c r="U29" i="1"/>
  <c r="AH30" i="1"/>
  <c r="V29" i="1"/>
  <c r="U55" i="1"/>
  <c r="AC12" i="1"/>
  <c r="AH12" i="1"/>
  <c r="Y13" i="1"/>
  <c r="U23" i="1"/>
  <c r="W55" i="1"/>
  <c r="AA56" i="1"/>
  <c r="X7" i="1"/>
  <c r="V23" i="1"/>
  <c r="AI56" i="1"/>
  <c r="W6" i="1"/>
  <c r="U6" i="1"/>
  <c r="AI7" i="1"/>
  <c r="AI6" i="1"/>
  <c r="AA7" i="1"/>
  <c r="AC13" i="1"/>
  <c r="AF18" i="1"/>
  <c r="U30" i="1"/>
  <c r="W99" i="1"/>
  <c r="V98" i="1"/>
  <c r="T98" i="1"/>
  <c r="T101" i="1" s="1"/>
  <c r="U98" i="1"/>
  <c r="W61" i="1"/>
  <c r="V61" i="1"/>
  <c r="U61" i="1"/>
  <c r="AI61" i="1"/>
  <c r="AI62" i="1"/>
  <c r="AC67" i="1"/>
  <c r="AC68" i="1"/>
  <c r="P66" i="1"/>
  <c r="AG81" i="1"/>
  <c r="AG82" i="1"/>
  <c r="V87" i="1"/>
  <c r="W87" i="1"/>
  <c r="P86" i="1"/>
  <c r="U87" i="1"/>
  <c r="AB113" i="1"/>
  <c r="AB112" i="1"/>
  <c r="P54" i="1"/>
  <c r="X62" i="1"/>
  <c r="D62" i="1"/>
  <c r="D63" i="1" s="1"/>
  <c r="D64" i="1" s="1"/>
  <c r="P60" i="1"/>
  <c r="Y62" i="1"/>
  <c r="AD68" i="1"/>
  <c r="AE68" i="1"/>
  <c r="AH82" i="1"/>
  <c r="AH81" i="1"/>
  <c r="AD6" i="1"/>
  <c r="U25" i="1"/>
  <c r="U60" i="1"/>
  <c r="T60" i="1"/>
  <c r="T63" i="1" s="1"/>
  <c r="V60" i="1"/>
  <c r="U67" i="1"/>
  <c r="V11" i="1"/>
  <c r="U24" i="1"/>
  <c r="D56" i="1"/>
  <c r="D57" i="1" s="1"/>
  <c r="D58" i="1" s="1"/>
  <c r="AG67" i="1"/>
  <c r="AD67" i="1"/>
  <c r="AH68" i="1"/>
  <c r="Y82" i="1"/>
  <c r="V81" i="1"/>
  <c r="Z82" i="1"/>
  <c r="Y81" i="1"/>
  <c r="U80" i="1"/>
  <c r="T80" i="1"/>
  <c r="T83" i="1" s="1"/>
  <c r="X81" i="1"/>
  <c r="V80" i="1"/>
  <c r="D82" i="1"/>
  <c r="D83" i="1" s="1"/>
  <c r="D84" i="1" s="1"/>
  <c r="AA87" i="1"/>
  <c r="AA88" i="1"/>
  <c r="AB88" i="1"/>
  <c r="I62" i="1"/>
  <c r="I63" i="1" s="1"/>
  <c r="I64" i="1" s="1"/>
  <c r="F62" i="1"/>
  <c r="F63" i="1" s="1"/>
  <c r="F64" i="1" s="1"/>
  <c r="AH7" i="1"/>
  <c r="AH24" i="1"/>
  <c r="AG31" i="1"/>
  <c r="AC56" i="1"/>
  <c r="AC55" i="1"/>
  <c r="AD56" i="1"/>
  <c r="AC62" i="1"/>
  <c r="V67" i="1"/>
  <c r="AI67" i="1"/>
  <c r="AI68" i="1"/>
  <c r="C68" i="1"/>
  <c r="AB94" i="1"/>
  <c r="AA94" i="1"/>
  <c r="AA93" i="1"/>
  <c r="E94" i="1"/>
  <c r="E95" i="1" s="1"/>
  <c r="E96" i="1" s="1"/>
  <c r="AG18" i="1"/>
  <c r="AE61" i="1"/>
  <c r="V66" i="1"/>
  <c r="AF74" i="1"/>
  <c r="P73" i="1"/>
  <c r="AF75" i="1"/>
  <c r="U74" i="1"/>
  <c r="Y55" i="1"/>
  <c r="V55" i="1"/>
  <c r="X68" i="1"/>
  <c r="Z88" i="1"/>
  <c r="Z87" i="1"/>
  <c r="D94" i="1"/>
  <c r="D95" i="1" s="1"/>
  <c r="D96" i="1" s="1"/>
  <c r="AI99" i="1"/>
  <c r="T111" i="1"/>
  <c r="T114" i="1" s="1"/>
  <c r="V111" i="1"/>
  <c r="U111" i="1"/>
  <c r="W112" i="1"/>
  <c r="AD62" i="1"/>
  <c r="P71" i="1"/>
  <c r="AD82" i="1"/>
  <c r="AC81" i="1"/>
  <c r="AE94" i="1"/>
  <c r="AE93" i="1"/>
  <c r="V93" i="1"/>
  <c r="AC112" i="1"/>
  <c r="AC113" i="1"/>
  <c r="AD113" i="1"/>
  <c r="AA12" i="1"/>
  <c r="AA19" i="1"/>
  <c r="AF56" i="1"/>
  <c r="AG75" i="1"/>
  <c r="AH100" i="1"/>
  <c r="AE112" i="1"/>
  <c r="AE113" i="1"/>
  <c r="T66" i="1"/>
  <c r="T69" i="1" s="1"/>
  <c r="V73" i="1"/>
  <c r="AF81" i="1"/>
  <c r="AF82" i="1"/>
  <c r="AC82" i="1"/>
  <c r="AH87" i="1"/>
  <c r="N88" i="1"/>
  <c r="N89" i="1" s="1"/>
  <c r="N90" i="1" s="1"/>
  <c r="AF113" i="1"/>
  <c r="AF112" i="1"/>
  <c r="O88" i="1"/>
  <c r="O89" i="1" s="1"/>
  <c r="O90" i="1" s="1"/>
  <c r="AI88" i="1"/>
  <c r="V117" i="1"/>
  <c r="Z119" i="1"/>
  <c r="Z118" i="1"/>
  <c r="AI82" i="1"/>
  <c r="T86" i="1"/>
  <c r="T89" i="1" s="1"/>
  <c r="U86" i="1"/>
  <c r="AI87" i="1"/>
  <c r="T117" i="1"/>
  <c r="T120" i="1" s="1"/>
  <c r="AB68" i="1"/>
  <c r="AA82" i="1"/>
  <c r="AA81" i="1"/>
  <c r="U92" i="1"/>
  <c r="T92" i="1"/>
  <c r="T95" i="1" s="1"/>
  <c r="AH61" i="1"/>
  <c r="AB67" i="1"/>
  <c r="U73" i="1"/>
  <c r="T73" i="1"/>
  <c r="T76" i="1" s="1"/>
  <c r="W74" i="1"/>
  <c r="AD81" i="1"/>
  <c r="AI81" i="1"/>
  <c r="X87" i="1"/>
  <c r="X88" i="1"/>
  <c r="AB93" i="1"/>
  <c r="AG113" i="1"/>
  <c r="AG112" i="1"/>
  <c r="AD119" i="1"/>
  <c r="AD118" i="1"/>
  <c r="U123" i="1"/>
  <c r="T124" i="1"/>
  <c r="AF68" i="1"/>
  <c r="AF67" i="1"/>
  <c r="AB82" i="1"/>
  <c r="P109" i="1"/>
  <c r="N119" i="1"/>
  <c r="N120" i="1" s="1"/>
  <c r="N121" i="1" s="1"/>
  <c r="V123" i="1"/>
  <c r="U118" i="1"/>
  <c r="AF94" i="1"/>
  <c r="AF93" i="1"/>
  <c r="AF100" i="1"/>
  <c r="AG100" i="1"/>
  <c r="AF99" i="1"/>
  <c r="X119" i="1"/>
  <c r="P80" i="1"/>
  <c r="X82" i="1"/>
  <c r="U81" i="1"/>
  <c r="W81" i="1"/>
  <c r="F88" i="1"/>
  <c r="F89" i="1" s="1"/>
  <c r="F90" i="1" s="1"/>
  <c r="AG94" i="1"/>
  <c r="Z113" i="1"/>
  <c r="Z112" i="1"/>
  <c r="V118" i="1"/>
  <c r="O119" i="1"/>
  <c r="O120" i="1" s="1"/>
  <c r="O121" i="1" s="1"/>
  <c r="AI119" i="1"/>
  <c r="Y119" i="1"/>
  <c r="AH113" i="1"/>
  <c r="X93" i="1"/>
  <c r="D100" i="1"/>
  <c r="D101" i="1" s="1"/>
  <c r="D102" i="1" s="1"/>
  <c r="AA119" i="1"/>
  <c r="AA118" i="1"/>
  <c r="AB119" i="1"/>
  <c r="AB118" i="1"/>
  <c r="E88" i="1"/>
  <c r="E89" i="1" s="1"/>
  <c r="E90" i="1" s="1"/>
  <c r="AD93" i="1"/>
  <c r="T125" i="1"/>
  <c r="AC88" i="1"/>
  <c r="P92" i="1"/>
  <c r="C96" i="1"/>
  <c r="C142" i="1" s="1"/>
  <c r="AE119" i="1"/>
  <c r="T123" i="1"/>
  <c r="T126" i="1" s="1"/>
  <c r="U112" i="1"/>
  <c r="P141" i="1" l="1"/>
  <c r="T30" i="1"/>
  <c r="T31" i="1"/>
  <c r="T25" i="1"/>
  <c r="T118" i="1"/>
  <c r="T93" i="1"/>
  <c r="T75" i="1"/>
  <c r="T74" i="1"/>
  <c r="T113" i="1"/>
  <c r="F100" i="1"/>
  <c r="F101" i="1" s="1"/>
  <c r="F102" i="1" s="1"/>
  <c r="T82" i="1"/>
  <c r="T94" i="1"/>
  <c r="T56" i="1"/>
  <c r="T24" i="1"/>
  <c r="T100" i="1"/>
  <c r="C120" i="1"/>
  <c r="T81" i="1"/>
  <c r="T88" i="1"/>
  <c r="H68" i="1"/>
  <c r="H69" i="1" s="1"/>
  <c r="H70" i="1" s="1"/>
  <c r="T119" i="1"/>
  <c r="T87" i="1"/>
  <c r="T67" i="1"/>
  <c r="V25" i="1"/>
  <c r="J62" i="1"/>
  <c r="J63" i="1" s="1"/>
  <c r="J64" i="1" s="1"/>
  <c r="P62" i="1"/>
  <c r="P63" i="1" s="1"/>
  <c r="T61" i="1"/>
  <c r="T55" i="1"/>
  <c r="T13" i="1"/>
  <c r="T18" i="1"/>
  <c r="E82" i="1"/>
  <c r="E83" i="1" s="1"/>
  <c r="E84" i="1" s="1"/>
  <c r="T12" i="1"/>
  <c r="T19" i="1"/>
  <c r="D125" i="1"/>
  <c r="D126" i="1" s="1"/>
  <c r="D127" i="1" s="1"/>
  <c r="D142" i="1" s="1"/>
  <c r="F94" i="1"/>
  <c r="F95" i="1" s="1"/>
  <c r="F96" i="1" s="1"/>
  <c r="F56" i="1"/>
  <c r="F57" i="1" s="1"/>
  <c r="F58" i="1" s="1"/>
  <c r="T62" i="1"/>
  <c r="T99" i="1"/>
  <c r="G88" i="1"/>
  <c r="G89" i="1" s="1"/>
  <c r="G90" i="1" s="1"/>
  <c r="T112" i="1"/>
  <c r="T68" i="1"/>
  <c r="T6" i="1"/>
  <c r="T7" i="1"/>
  <c r="T8" i="1"/>
  <c r="E75" i="1" l="1"/>
  <c r="E76" i="1" s="1"/>
  <c r="E77" i="1" s="1"/>
  <c r="P61" i="1"/>
  <c r="G100" i="1"/>
  <c r="G101" i="1" s="1"/>
  <c r="G102" i="1" s="1"/>
  <c r="I68" i="1"/>
  <c r="I69" i="1" s="1"/>
  <c r="I70" i="1" s="1"/>
  <c r="K62" i="1"/>
  <c r="K63" i="1" s="1"/>
  <c r="K64" i="1" s="1"/>
  <c r="V62" i="1"/>
  <c r="U62" i="1"/>
  <c r="G94" i="1"/>
  <c r="G95" i="1" s="1"/>
  <c r="G96" i="1" s="1"/>
  <c r="E125" i="1"/>
  <c r="E126" i="1" s="1"/>
  <c r="E127" i="1" s="1"/>
  <c r="F82" i="1"/>
  <c r="F83" i="1" s="1"/>
  <c r="F84" i="1" s="1"/>
  <c r="H88" i="1"/>
  <c r="H89" i="1" s="1"/>
  <c r="H90" i="1" s="1"/>
  <c r="F75" i="1"/>
  <c r="F76" i="1" s="1"/>
  <c r="F77" i="1" s="1"/>
  <c r="G56" i="1"/>
  <c r="G57" i="1" s="1"/>
  <c r="G58" i="1" s="1"/>
  <c r="D120" i="1"/>
  <c r="E142" i="1" l="1"/>
  <c r="P64" i="1"/>
  <c r="H100" i="1"/>
  <c r="H101" i="1" s="1"/>
  <c r="H102" i="1" s="1"/>
  <c r="F125" i="1"/>
  <c r="F126" i="1" s="1"/>
  <c r="F127" i="1" s="1"/>
  <c r="F142" i="1" s="1"/>
  <c r="G82" i="1"/>
  <c r="G83" i="1" s="1"/>
  <c r="G84" i="1" s="1"/>
  <c r="J68" i="1"/>
  <c r="J69" i="1" s="1"/>
  <c r="J70" i="1" s="1"/>
  <c r="H94" i="1"/>
  <c r="H95" i="1" s="1"/>
  <c r="H96" i="1" s="1"/>
  <c r="G75" i="1"/>
  <c r="G76" i="1" s="1"/>
  <c r="G77" i="1" s="1"/>
  <c r="I88" i="1"/>
  <c r="I89" i="1" s="1"/>
  <c r="I90" i="1" s="1"/>
  <c r="E119" i="1"/>
  <c r="E120" i="1" s="1"/>
  <c r="H56" i="1"/>
  <c r="H57" i="1" s="1"/>
  <c r="H58" i="1" s="1"/>
  <c r="I100" i="1" l="1"/>
  <c r="I101" i="1" s="1"/>
  <c r="I102" i="1" s="1"/>
  <c r="J88" i="1"/>
  <c r="J89" i="1" s="1"/>
  <c r="J90" i="1" s="1"/>
  <c r="H75" i="1"/>
  <c r="H76" i="1" s="1"/>
  <c r="H77" i="1" s="1"/>
  <c r="H82" i="1"/>
  <c r="H83" i="1" s="1"/>
  <c r="H84" i="1" s="1"/>
  <c r="G125" i="1"/>
  <c r="G126" i="1" s="1"/>
  <c r="G127" i="1" s="1"/>
  <c r="G142" i="1" s="1"/>
  <c r="I56" i="1"/>
  <c r="I57" i="1" s="1"/>
  <c r="I58" i="1" s="1"/>
  <c r="K68" i="1"/>
  <c r="K69" i="1" s="1"/>
  <c r="K70" i="1" s="1"/>
  <c r="L67" i="1"/>
  <c r="F119" i="1"/>
  <c r="F120" i="1" s="1"/>
  <c r="I94" i="1"/>
  <c r="I95" i="1" s="1"/>
  <c r="I96" i="1" s="1"/>
  <c r="U19" i="1" l="1"/>
  <c r="V19" i="1"/>
  <c r="J100" i="1"/>
  <c r="J101" i="1" s="1"/>
  <c r="J102" i="1" s="1"/>
  <c r="I75" i="1"/>
  <c r="I76" i="1" s="1"/>
  <c r="I77" i="1" s="1"/>
  <c r="G119" i="1"/>
  <c r="G120" i="1" s="1"/>
  <c r="J94" i="1"/>
  <c r="J95" i="1" s="1"/>
  <c r="J96" i="1" s="1"/>
  <c r="H125" i="1"/>
  <c r="H126" i="1" s="1"/>
  <c r="H127" i="1" s="1"/>
  <c r="L68" i="1"/>
  <c r="L69" i="1" s="1"/>
  <c r="L70" i="1" s="1"/>
  <c r="M67" i="1"/>
  <c r="I82" i="1"/>
  <c r="I83" i="1" s="1"/>
  <c r="I84" i="1" s="1"/>
  <c r="K88" i="1"/>
  <c r="K89" i="1" s="1"/>
  <c r="K90" i="1" s="1"/>
  <c r="J56" i="1"/>
  <c r="J57" i="1" s="1"/>
  <c r="J58" i="1" s="1"/>
  <c r="K100" i="1" l="1"/>
  <c r="K101" i="1" s="1"/>
  <c r="K102" i="1" s="1"/>
  <c r="U13" i="1"/>
  <c r="V13" i="1"/>
  <c r="K56" i="1"/>
  <c r="K57" i="1" s="1"/>
  <c r="K58" i="1" s="1"/>
  <c r="L88" i="1"/>
  <c r="L89" i="1" s="1"/>
  <c r="L90" i="1" s="1"/>
  <c r="U88" i="1"/>
  <c r="M68" i="1"/>
  <c r="M69" i="1" s="1"/>
  <c r="M70" i="1" s="1"/>
  <c r="N67" i="1"/>
  <c r="K94" i="1"/>
  <c r="K95" i="1" s="1"/>
  <c r="K96" i="1" s="1"/>
  <c r="L93" i="1"/>
  <c r="J75" i="1"/>
  <c r="J76" i="1" s="1"/>
  <c r="J77" i="1" s="1"/>
  <c r="J82" i="1"/>
  <c r="J83" i="1" s="1"/>
  <c r="J84" i="1" s="1"/>
  <c r="I125" i="1"/>
  <c r="I126" i="1" s="1"/>
  <c r="I127" i="1" s="1"/>
  <c r="H119" i="1"/>
  <c r="H120" i="1" s="1"/>
  <c r="H121" i="1" s="1"/>
  <c r="H142" i="1" s="1"/>
  <c r="L100" i="1" l="1"/>
  <c r="L101" i="1" s="1"/>
  <c r="L102" i="1" s="1"/>
  <c r="J125" i="1"/>
  <c r="J126" i="1" s="1"/>
  <c r="J127" i="1" s="1"/>
  <c r="M93" i="1"/>
  <c r="L94" i="1"/>
  <c r="L95" i="1" s="1"/>
  <c r="L96" i="1" s="1"/>
  <c r="M88" i="1"/>
  <c r="M89" i="1" s="1"/>
  <c r="M90" i="1" s="1"/>
  <c r="P90" i="1" s="1"/>
  <c r="P87" i="1"/>
  <c r="V88" i="1"/>
  <c r="P88" i="1"/>
  <c r="P89" i="1" s="1"/>
  <c r="K82" i="1"/>
  <c r="K83" i="1" s="1"/>
  <c r="K84" i="1" s="1"/>
  <c r="N68" i="1"/>
  <c r="N69" i="1" s="1"/>
  <c r="N70" i="1" s="1"/>
  <c r="O67" i="1"/>
  <c r="L56" i="1"/>
  <c r="L57" i="1" s="1"/>
  <c r="L58" i="1" s="1"/>
  <c r="I119" i="1"/>
  <c r="I120" i="1" s="1"/>
  <c r="I121" i="1" s="1"/>
  <c r="I142" i="1" s="1"/>
  <c r="V113" i="1"/>
  <c r="U113" i="1"/>
  <c r="K75" i="1"/>
  <c r="K76" i="1" s="1"/>
  <c r="K77" i="1" s="1"/>
  <c r="M100" i="1" l="1"/>
  <c r="M101" i="1" s="1"/>
  <c r="M102" i="1" s="1"/>
  <c r="L75" i="1"/>
  <c r="L76" i="1" s="1"/>
  <c r="L77" i="1" s="1"/>
  <c r="J119" i="1"/>
  <c r="J120" i="1" s="1"/>
  <c r="J121" i="1" s="1"/>
  <c r="J142" i="1" s="1"/>
  <c r="O68" i="1"/>
  <c r="O69" i="1" s="1"/>
  <c r="O70" i="1" s="1"/>
  <c r="P70" i="1" s="1"/>
  <c r="P68" i="1"/>
  <c r="P69" i="1" s="1"/>
  <c r="U68" i="1"/>
  <c r="P67" i="1"/>
  <c r="V68" i="1"/>
  <c r="M56" i="1"/>
  <c r="M57" i="1" s="1"/>
  <c r="M58" i="1" s="1"/>
  <c r="L82" i="1"/>
  <c r="L83" i="1" s="1"/>
  <c r="L84" i="1" s="1"/>
  <c r="M94" i="1"/>
  <c r="M95" i="1" s="1"/>
  <c r="M96" i="1" s="1"/>
  <c r="N93" i="1"/>
  <c r="K125" i="1"/>
  <c r="K126" i="1" s="1"/>
  <c r="K127" i="1" s="1"/>
  <c r="L124" i="1"/>
  <c r="U119" i="1" l="1"/>
  <c r="N100" i="1"/>
  <c r="N101" i="1" s="1"/>
  <c r="N102" i="1" s="1"/>
  <c r="O100" i="1"/>
  <c r="O101" i="1" s="1"/>
  <c r="O102" i="1" s="1"/>
  <c r="K119" i="1"/>
  <c r="K120" i="1" s="1"/>
  <c r="K121" i="1" s="1"/>
  <c r="V119" i="1"/>
  <c r="P119" i="1"/>
  <c r="P120" i="1" s="1"/>
  <c r="M82" i="1"/>
  <c r="M83" i="1" s="1"/>
  <c r="M84" i="1" s="1"/>
  <c r="M124" i="1"/>
  <c r="L125" i="1"/>
  <c r="L126" i="1" s="1"/>
  <c r="L127" i="1" s="1"/>
  <c r="L142" i="1" s="1"/>
  <c r="N56" i="1"/>
  <c r="N57" i="1" s="1"/>
  <c r="N58" i="1" s="1"/>
  <c r="M75" i="1"/>
  <c r="M76" i="1" s="1"/>
  <c r="M77" i="1" s="1"/>
  <c r="O93" i="1"/>
  <c r="N94" i="1"/>
  <c r="N95" i="1" s="1"/>
  <c r="N96" i="1" s="1"/>
  <c r="P121" i="1" l="1"/>
  <c r="K142" i="1"/>
  <c r="U100" i="1"/>
  <c r="P99" i="1"/>
  <c r="V100" i="1"/>
  <c r="P100" i="1"/>
  <c r="P101" i="1" s="1"/>
  <c r="P102" i="1"/>
  <c r="N82" i="1"/>
  <c r="N83" i="1" s="1"/>
  <c r="N84" i="1" s="1"/>
  <c r="N75" i="1"/>
  <c r="N76" i="1" s="1"/>
  <c r="N77" i="1" s="1"/>
  <c r="O94" i="1"/>
  <c r="O95" i="1" s="1"/>
  <c r="O96" i="1" s="1"/>
  <c r="P96" i="1" s="1"/>
  <c r="P93" i="1"/>
  <c r="P94" i="1"/>
  <c r="P95" i="1" s="1"/>
  <c r="U94" i="1"/>
  <c r="V94" i="1"/>
  <c r="O56" i="1"/>
  <c r="O57" i="1" s="1"/>
  <c r="O58" i="1" s="1"/>
  <c r="V56" i="1"/>
  <c r="U56" i="1"/>
  <c r="P55" i="1"/>
  <c r="P56" i="1"/>
  <c r="P57" i="1" s="1"/>
  <c r="M125" i="1"/>
  <c r="M126" i="1" s="1"/>
  <c r="M127" i="1" s="1"/>
  <c r="M142" i="1" s="1"/>
  <c r="N124" i="1"/>
  <c r="P58" i="1" l="1"/>
  <c r="AJ52" i="1" s="1"/>
  <c r="N125" i="1"/>
  <c r="N126" i="1" s="1"/>
  <c r="N127" i="1" s="1"/>
  <c r="N142" i="1" s="1"/>
  <c r="O124" i="1"/>
  <c r="O75" i="1"/>
  <c r="O76" i="1" s="1"/>
  <c r="O77" i="1" s="1"/>
  <c r="P76" i="1"/>
  <c r="V75" i="1"/>
  <c r="U75" i="1"/>
  <c r="O82" i="1"/>
  <c r="O83" i="1" s="1"/>
  <c r="O84" i="1" s="1"/>
  <c r="P84" i="1" s="1"/>
  <c r="AJ78" i="1" s="1"/>
  <c r="V82" i="1"/>
  <c r="P82" i="1"/>
  <c r="P83" i="1" s="1"/>
  <c r="U82" i="1"/>
  <c r="P81" i="1"/>
  <c r="O125" i="1" l="1"/>
  <c r="O126" i="1" s="1"/>
  <c r="O127" i="1" s="1"/>
  <c r="P127" i="1" s="1"/>
  <c r="AJ109" i="1" s="1"/>
  <c r="U125" i="1"/>
  <c r="P125" i="1"/>
  <c r="P126" i="1" s="1"/>
  <c r="V125" i="1"/>
  <c r="P124" i="1"/>
  <c r="P77" i="1"/>
  <c r="P142" i="1" l="1"/>
  <c r="AJ71" i="1"/>
  <c r="O142" i="1"/>
  <c r="U7" i="1"/>
  <c r="V7" i="1"/>
</calcChain>
</file>

<file path=xl/sharedStrings.xml><?xml version="1.0" encoding="utf-8"?>
<sst xmlns="http://schemas.openxmlformats.org/spreadsheetml/2006/main" count="370" uniqueCount="72">
  <si>
    <t>DMR 10 LSV, М 2025</t>
  </si>
  <si>
    <t>REG/NA</t>
  </si>
  <si>
    <t>Region</t>
  </si>
  <si>
    <t>Р1</t>
  </si>
  <si>
    <t>Р2</t>
  </si>
  <si>
    <t>Р3</t>
  </si>
  <si>
    <t>Р4</t>
  </si>
  <si>
    <t>Р5</t>
  </si>
  <si>
    <t>Р6</t>
  </si>
  <si>
    <t>Р7</t>
  </si>
  <si>
    <t>Р8</t>
  </si>
  <si>
    <t>Р9</t>
  </si>
  <si>
    <t>Р10</t>
  </si>
  <si>
    <t>Р11</t>
  </si>
  <si>
    <t>Р12</t>
  </si>
  <si>
    <t>Р13</t>
  </si>
  <si>
    <t>FY</t>
  </si>
  <si>
    <t>comments</t>
  </si>
  <si>
    <t>MAX</t>
  </si>
  <si>
    <t>MIN</t>
  </si>
  <si>
    <t>REG</t>
  </si>
  <si>
    <t>Far East</t>
  </si>
  <si>
    <r>
      <t xml:space="preserve">Белый Кролик </t>
    </r>
    <r>
      <rPr>
        <b/>
        <sz val="11"/>
        <color theme="1"/>
        <rFont val="Aptos Narrow"/>
        <family val="2"/>
        <scheme val="minor"/>
      </rPr>
      <t>DMR 9</t>
    </r>
  </si>
  <si>
    <t>24/25</t>
  </si>
  <si>
    <t>dif</t>
  </si>
  <si>
    <t>рост</t>
  </si>
  <si>
    <t>Эф-т LSV, %</t>
  </si>
  <si>
    <t>Эф-т, млн руб</t>
  </si>
  <si>
    <t>Самбери</t>
  </si>
  <si>
    <t>Командор</t>
  </si>
  <si>
    <t>RegX5_SS (Слата)</t>
  </si>
  <si>
    <t>RegX5_LAR (Хлеб-Соль)</t>
  </si>
  <si>
    <t>Любимчик 2.0</t>
  </si>
  <si>
    <t>Близкий</t>
  </si>
  <si>
    <t>Раз Два</t>
  </si>
  <si>
    <t>Moscow</t>
  </si>
  <si>
    <t>SPAR Волга</t>
  </si>
  <si>
    <t>SMART - дискаунтер</t>
  </si>
  <si>
    <t>North</t>
  </si>
  <si>
    <t>Семь шагов</t>
  </si>
  <si>
    <t>Siberia</t>
  </si>
  <si>
    <t>Мария-Ра</t>
  </si>
  <si>
    <t>Ярче</t>
  </si>
  <si>
    <t>согласовано</t>
  </si>
  <si>
    <t>Хороший (Командор)</t>
  </si>
  <si>
    <t>RegX5_SS (Красный Яр)</t>
  </si>
  <si>
    <t>Сenter</t>
  </si>
  <si>
    <t>Монетка Урал</t>
  </si>
  <si>
    <t>Победа (Гулливер)</t>
  </si>
  <si>
    <t>Гулливер</t>
  </si>
  <si>
    <t>South</t>
  </si>
  <si>
    <t>LSV REG Total, М</t>
  </si>
  <si>
    <t>Total effects</t>
  </si>
  <si>
    <t>RT</t>
  </si>
  <si>
    <t>Belarus</t>
  </si>
  <si>
    <t>Evrotorg</t>
  </si>
  <si>
    <t>Dobronom</t>
  </si>
  <si>
    <t>2024 (2025 LP)</t>
  </si>
  <si>
    <t>RA 2025</t>
  </si>
  <si>
    <t>Согласовано</t>
  </si>
  <si>
    <r>
      <t xml:space="preserve">Белый Кролик </t>
    </r>
    <r>
      <rPr>
        <b/>
        <sz val="11"/>
        <color theme="1"/>
        <rFont val="Aptos Narrow"/>
        <family val="2"/>
        <scheme val="minor"/>
      </rPr>
      <t>DMR 2026</t>
    </r>
  </si>
  <si>
    <t>история прошлых лет</t>
  </si>
  <si>
    <t>средние, лучшие , стабильные результаты</t>
  </si>
  <si>
    <t>возможно бенчмарк канала</t>
  </si>
  <si>
    <t>отсекать вылеты</t>
  </si>
  <si>
    <t>бинарные переменные</t>
  </si>
  <si>
    <t>ММ NA (5ка Магнит ММ, Дикси, Верный)</t>
  </si>
  <si>
    <t>СМ, ГМ NA</t>
  </si>
  <si>
    <t>рег сети</t>
  </si>
  <si>
    <t>Победа</t>
  </si>
  <si>
    <t>Центр</t>
  </si>
  <si>
    <t>Юг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</si>
</sst>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_ ;\-#,##0\ "/>
    <numFmt numFmtId="166" formatCode="0.0%;\-0.0%;0.0%"/>
    <numFmt numFmtId="167" formatCode="0.0%"/>
    <numFmt numFmtId="168" formatCode="0.0"/>
    <numFmt numFmtId="169" formatCode="#,##0.0"/>
    <numFmt numFmtId="170" formatCode="_-* #,##0_-;\-* #,##0_-;_-* &quot;-&quot;??_-;_-@_-"/>
  </numFmts>
  <fonts count="9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1">
    <xf numFmtId="0" fontId="0" fillId="0" borderId="0" xfId="0"/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166" fontId="0" fillId="0" borderId="2" xfId="0" applyNumberFormat="1" applyBorder="1"/>
    <xf numFmtId="167" fontId="2" fillId="0" borderId="1" xfId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0" fillId="0" borderId="0" xfId="0" applyNumberFormat="1"/>
    <xf numFmtId="10" fontId="2" fillId="0" borderId="1" xfId="1" applyNumberFormat="1" applyFont="1" applyFill="1" applyBorder="1" applyAlignment="1">
      <alignment horizontal="center" vertical="center"/>
    </xf>
    <xf numFmtId="10" fontId="2" fillId="0" borderId="1" xfId="0" applyNumberFormat="1" applyFont="1" applyBorder="1"/>
    <xf numFmtId="168" fontId="2" fillId="0" borderId="1" xfId="0" applyNumberFormat="1" applyFont="1" applyBorder="1"/>
    <xf numFmtId="168" fontId="0" fillId="0" borderId="0" xfId="0" applyNumberFormat="1"/>
    <xf numFmtId="165" fontId="0" fillId="0" borderId="0" xfId="0" applyNumberFormat="1"/>
    <xf numFmtId="168" fontId="3" fillId="0" borderId="0" xfId="0" applyNumberFormat="1" applyFont="1"/>
    <xf numFmtId="167" fontId="3" fillId="0" borderId="0" xfId="0" applyNumberFormat="1" applyFont="1"/>
    <xf numFmtId="0" fontId="2" fillId="0" borderId="0" xfId="0" applyFont="1"/>
    <xf numFmtId="167" fontId="2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/>
    <xf numFmtId="3" fontId="2" fillId="4" borderId="3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/>
    <xf numFmtId="168" fontId="5" fillId="0" borderId="0" xfId="0" applyNumberFormat="1" applyFont="1"/>
    <xf numFmtId="0" fontId="2" fillId="5" borderId="0" xfId="0" applyFont="1" applyFill="1"/>
    <xf numFmtId="0" fontId="0" fillId="0" borderId="0" xfId="0" applyAlignment="1">
      <alignment horizontal="center" vertical="center"/>
    </xf>
    <xf numFmtId="2" fontId="0" fillId="0" borderId="0" xfId="0" applyNumberFormat="1"/>
    <xf numFmtId="166" fontId="0" fillId="3" borderId="2" xfId="0" applyNumberFormat="1" applyFill="1" applyBorder="1"/>
    <xf numFmtId="0" fontId="0" fillId="8" borderId="0" xfId="0" applyFill="1"/>
    <xf numFmtId="9" fontId="0" fillId="0" borderId="0" xfId="1" applyFont="1"/>
    <xf numFmtId="169" fontId="2" fillId="4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5" fillId="0" borderId="1" xfId="0" applyFont="1" applyBorder="1"/>
    <xf numFmtId="3" fontId="2" fillId="4" borderId="1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5" xfId="0" applyBorder="1" applyAlignment="1">
      <alignment horizontal="right"/>
    </xf>
    <xf numFmtId="1" fontId="0" fillId="0" borderId="0" xfId="0" applyNumberFormat="1" applyAlignment="1">
      <alignment horizontal="center" vertical="center"/>
    </xf>
    <xf numFmtId="1" fontId="2" fillId="10" borderId="7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0" fillId="0" borderId="6" xfId="0" applyBorder="1"/>
    <xf numFmtId="167" fontId="2" fillId="10" borderId="7" xfId="1" applyNumberFormat="1" applyFont="1" applyFill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right"/>
    </xf>
    <xf numFmtId="167" fontId="0" fillId="0" borderId="0" xfId="1" applyNumberFormat="1" applyFont="1" applyFill="1" applyBorder="1" applyAlignment="1">
      <alignment horizontal="center" vertical="center"/>
    </xf>
    <xf numFmtId="167" fontId="2" fillId="10" borderId="7" xfId="1" applyNumberFormat="1" applyFont="1" applyFill="1" applyBorder="1" applyAlignment="1">
      <alignment horizontal="center"/>
    </xf>
    <xf numFmtId="0" fontId="0" fillId="10" borderId="8" xfId="0" applyFill="1" applyBorder="1"/>
    <xf numFmtId="169" fontId="2" fillId="10" borderId="10" xfId="0" applyNumberFormat="1" applyFont="1" applyFill="1" applyBorder="1" applyAlignment="1">
      <alignment horizontal="center"/>
    </xf>
    <xf numFmtId="169" fontId="2" fillId="10" borderId="0" xfId="0" applyNumberFormat="1" applyFont="1" applyFill="1" applyAlignment="1">
      <alignment horizontal="center"/>
    </xf>
    <xf numFmtId="0" fontId="0" fillId="10" borderId="6" xfId="0" applyFill="1" applyBorder="1"/>
    <xf numFmtId="168" fontId="2" fillId="0" borderId="0" xfId="0" applyNumberFormat="1" applyFont="1"/>
    <xf numFmtId="167" fontId="0" fillId="0" borderId="0" xfId="1" applyNumberFormat="1" applyFont="1" applyAlignment="1">
      <alignment horizontal="center" vertical="center"/>
    </xf>
    <xf numFmtId="167" fontId="2" fillId="10" borderId="0" xfId="1" applyNumberFormat="1" applyFont="1" applyFill="1" applyAlignment="1">
      <alignment horizontal="center"/>
    </xf>
    <xf numFmtId="0" fontId="5" fillId="10" borderId="6" xfId="0" applyFont="1" applyFill="1" applyBorder="1"/>
    <xf numFmtId="2" fontId="2" fillId="10" borderId="7" xfId="1" applyNumberFormat="1" applyFont="1" applyFill="1" applyBorder="1" applyAlignment="1">
      <alignment horizontal="center" vertical="center"/>
    </xf>
    <xf numFmtId="167" fontId="0" fillId="2" borderId="0" xfId="1" applyNumberFormat="1" applyFont="1" applyFill="1" applyBorder="1"/>
    <xf numFmtId="167" fontId="3" fillId="2" borderId="0" xfId="1" applyNumberFormat="1" applyFont="1" applyFill="1" applyBorder="1"/>
    <xf numFmtId="167" fontId="3" fillId="2" borderId="0" xfId="1" applyNumberFormat="1" applyFont="1" applyFill="1" applyBorder="1" applyAlignment="1">
      <alignment horizontal="center" vertical="center"/>
    </xf>
    <xf numFmtId="167" fontId="0" fillId="2" borderId="0" xfId="1" applyNumberFormat="1" applyFont="1" applyFill="1" applyBorder="1" applyAlignment="1">
      <alignment horizontal="center" vertical="center"/>
    </xf>
    <xf numFmtId="0" fontId="0" fillId="2" borderId="0" xfId="0" applyFill="1"/>
    <xf numFmtId="0" fontId="2" fillId="7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5" fillId="2" borderId="0" xfId="0" applyFont="1" applyFill="1"/>
    <xf numFmtId="167" fontId="0" fillId="2" borderId="0" xfId="0" applyNumberFormat="1" applyFill="1"/>
    <xf numFmtId="167" fontId="2" fillId="2" borderId="0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167" fontId="2" fillId="2" borderId="0" xfId="1" applyNumberFormat="1" applyFont="1" applyFill="1" applyBorder="1" applyAlignment="1">
      <alignment horizontal="center"/>
    </xf>
    <xf numFmtId="168" fontId="0" fillId="2" borderId="0" xfId="0" applyNumberFormat="1" applyFill="1"/>
    <xf numFmtId="169" fontId="2" fillId="2" borderId="0" xfId="0" applyNumberFormat="1" applyFont="1" applyFill="1" applyAlignment="1">
      <alignment horizontal="center"/>
    </xf>
    <xf numFmtId="166" fontId="0" fillId="7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168" fontId="3" fillId="2" borderId="0" xfId="0" applyNumberFormat="1" applyFont="1" applyFill="1"/>
    <xf numFmtId="0" fontId="0" fillId="2" borderId="0" xfId="0" applyFill="1" applyProtection="1">
      <protection locked="0"/>
    </xf>
    <xf numFmtId="169" fontId="2" fillId="10" borderId="7" xfId="0" applyNumberFormat="1" applyFont="1" applyFill="1" applyBorder="1" applyAlignment="1">
      <alignment horizontal="center"/>
    </xf>
    <xf numFmtId="0" fontId="2" fillId="0" borderId="11" xfId="0" applyFont="1" applyBorder="1"/>
    <xf numFmtId="0" fontId="2" fillId="11" borderId="13" xfId="0" applyFont="1" applyFill="1" applyBorder="1"/>
    <xf numFmtId="0" fontId="2" fillId="11" borderId="14" xfId="0" applyFont="1" applyFill="1" applyBorder="1"/>
    <xf numFmtId="1" fontId="0" fillId="11" borderId="14" xfId="0" applyNumberFormat="1" applyFill="1" applyBorder="1" applyAlignment="1">
      <alignment horizontal="center" vertical="center"/>
    </xf>
    <xf numFmtId="1" fontId="2" fillId="11" borderId="15" xfId="0" applyNumberFormat="1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5" fillId="11" borderId="14" xfId="0" applyFont="1" applyFill="1" applyBorder="1"/>
    <xf numFmtId="0" fontId="0" fillId="0" borderId="17" xfId="0" applyBorder="1"/>
    <xf numFmtId="0" fontId="0" fillId="0" borderId="16" xfId="0" applyBorder="1"/>
    <xf numFmtId="167" fontId="0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0" fontId="7" fillId="0" borderId="0" xfId="0" applyFont="1"/>
    <xf numFmtId="0" fontId="7" fillId="5" borderId="0" xfId="0" applyFont="1" applyFill="1" applyAlignment="1">
      <alignment horizontal="center" vertical="center"/>
    </xf>
    <xf numFmtId="1" fontId="6" fillId="11" borderId="14" xfId="0" applyNumberFormat="1" applyFont="1" applyFill="1" applyBorder="1" applyAlignment="1">
      <alignment horizontal="center" vertical="center"/>
    </xf>
    <xf numFmtId="1" fontId="7" fillId="11" borderId="15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7" fillId="10" borderId="7" xfId="0" applyNumberFormat="1" applyFont="1" applyFill="1" applyBorder="1" applyAlignment="1">
      <alignment horizontal="center" vertical="center"/>
    </xf>
    <xf numFmtId="167" fontId="7" fillId="10" borderId="7" xfId="1" applyNumberFormat="1" applyFont="1" applyFill="1" applyBorder="1" applyAlignment="1">
      <alignment horizontal="center" vertical="center"/>
    </xf>
    <xf numFmtId="167" fontId="7" fillId="10" borderId="7" xfId="1" applyNumberFormat="1" applyFont="1" applyFill="1" applyBorder="1" applyAlignment="1">
      <alignment horizontal="center"/>
    </xf>
    <xf numFmtId="169" fontId="7" fillId="10" borderId="10" xfId="0" applyNumberFormat="1" applyFont="1" applyFill="1" applyBorder="1" applyAlignment="1">
      <alignment horizontal="center"/>
    </xf>
    <xf numFmtId="169" fontId="7" fillId="10" borderId="7" xfId="0" applyNumberFormat="1" applyFont="1" applyFill="1" applyBorder="1" applyAlignment="1">
      <alignment horizontal="center"/>
    </xf>
    <xf numFmtId="169" fontId="6" fillId="11" borderId="14" xfId="0" applyNumberFormat="1" applyFont="1" applyFill="1" applyBorder="1" applyAlignment="1">
      <alignment horizontal="center" vertical="center"/>
    </xf>
    <xf numFmtId="3" fontId="7" fillId="11" borderId="15" xfId="0" applyNumberFormat="1" applyFont="1" applyFill="1" applyBorder="1" applyAlignment="1">
      <alignment horizontal="center" vertical="center"/>
    </xf>
    <xf numFmtId="3" fontId="6" fillId="11" borderId="14" xfId="0" applyNumberFormat="1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8" fontId="6" fillId="11" borderId="14" xfId="0" applyNumberFormat="1" applyFont="1" applyFill="1" applyBorder="1" applyAlignment="1">
      <alignment horizontal="center"/>
    </xf>
    <xf numFmtId="1" fontId="7" fillId="11" borderId="14" xfId="0" applyNumberFormat="1" applyFont="1" applyFill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/>
    </xf>
    <xf numFmtId="169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8" fontId="6" fillId="10" borderId="9" xfId="0" applyNumberFormat="1" applyFont="1" applyFill="1" applyBorder="1" applyAlignment="1">
      <alignment horizontal="center"/>
    </xf>
    <xf numFmtId="168" fontId="6" fillId="10" borderId="0" xfId="0" applyNumberFormat="1" applyFont="1" applyFill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2" fillId="11" borderId="18" xfId="0" applyFont="1" applyFill="1" applyBorder="1"/>
    <xf numFmtId="0" fontId="2" fillId="11" borderId="12" xfId="0" applyFont="1" applyFill="1" applyBorder="1"/>
    <xf numFmtId="1" fontId="0" fillId="10" borderId="0" xfId="0" applyNumberFormat="1" applyFill="1" applyAlignment="1">
      <alignment horizontal="center" vertical="center"/>
    </xf>
    <xf numFmtId="0" fontId="2" fillId="12" borderId="13" xfId="0" applyFont="1" applyFill="1" applyBorder="1"/>
    <xf numFmtId="0" fontId="5" fillId="12" borderId="14" xfId="0" applyFont="1" applyFill="1" applyBorder="1"/>
    <xf numFmtId="3" fontId="0" fillId="12" borderId="14" xfId="0" applyNumberFormat="1" applyFill="1" applyBorder="1" applyAlignment="1">
      <alignment horizontal="center" vertical="center"/>
    </xf>
    <xf numFmtId="3" fontId="2" fillId="1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8" fontId="0" fillId="10" borderId="9" xfId="0" applyNumberFormat="1" applyFill="1" applyBorder="1" applyAlignment="1">
      <alignment horizontal="center"/>
    </xf>
    <xf numFmtId="168" fontId="0" fillId="10" borderId="0" xfId="0" applyNumberFormat="1" applyFill="1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167" fontId="0" fillId="10" borderId="0" xfId="1" applyNumberFormat="1" applyFont="1" applyFill="1" applyAlignment="1">
      <alignment horizontal="center"/>
    </xf>
    <xf numFmtId="1" fontId="0" fillId="12" borderId="14" xfId="0" applyNumberFormat="1" applyFill="1" applyBorder="1" applyAlignment="1">
      <alignment horizontal="center"/>
    </xf>
    <xf numFmtId="1" fontId="5" fillId="12" borderId="15" xfId="0" applyNumberFormat="1" applyFont="1" applyFill="1" applyBorder="1" applyAlignment="1">
      <alignment horizontal="center"/>
    </xf>
    <xf numFmtId="2" fontId="5" fillId="0" borderId="6" xfId="0" applyNumberFormat="1" applyFont="1" applyBorder="1"/>
    <xf numFmtId="0" fontId="2" fillId="13" borderId="1" xfId="0" applyFont="1" applyFill="1" applyBorder="1"/>
    <xf numFmtId="168" fontId="0" fillId="0" borderId="0" xfId="0" applyNumberFormat="1" applyAlignment="1">
      <alignment horizontal="center"/>
    </xf>
    <xf numFmtId="0" fontId="0" fillId="10" borderId="1" xfId="0" applyFill="1" applyBorder="1"/>
    <xf numFmtId="0" fontId="5" fillId="13" borderId="1" xfId="0" applyFont="1" applyFill="1" applyBorder="1"/>
    <xf numFmtId="168" fontId="0" fillId="13" borderId="0" xfId="0" applyNumberFormat="1" applyFill="1" applyAlignment="1">
      <alignment horizontal="center"/>
    </xf>
    <xf numFmtId="169" fontId="2" fillId="13" borderId="0" xfId="0" applyNumberFormat="1" applyFont="1" applyFill="1" applyAlignment="1">
      <alignment horizontal="center"/>
    </xf>
    <xf numFmtId="0" fontId="0" fillId="0" borderId="19" xfId="0" applyBorder="1"/>
    <xf numFmtId="0" fontId="0" fillId="10" borderId="9" xfId="0" applyFill="1" applyBorder="1"/>
    <xf numFmtId="169" fontId="2" fillId="10" borderId="9" xfId="0" applyNumberFormat="1" applyFont="1" applyFill="1" applyBorder="1" applyAlignment="1">
      <alignment horizontal="center"/>
    </xf>
    <xf numFmtId="0" fontId="2" fillId="0" borderId="9" xfId="0" applyFont="1" applyBorder="1"/>
    <xf numFmtId="0" fontId="0" fillId="13" borderId="21" xfId="0" applyFill="1" applyBorder="1"/>
    <xf numFmtId="0" fontId="5" fillId="13" borderId="22" xfId="0" applyFont="1" applyFill="1" applyBorder="1"/>
    <xf numFmtId="168" fontId="0" fillId="13" borderId="23" xfId="1" applyNumberFormat="1" applyFont="1" applyFill="1" applyBorder="1" applyAlignment="1">
      <alignment horizontal="center"/>
    </xf>
    <xf numFmtId="170" fontId="5" fillId="13" borderId="24" xfId="2" applyNumberFormat="1" applyFont="1" applyFill="1" applyBorder="1" applyAlignment="1">
      <alignment horizontal="center"/>
    </xf>
    <xf numFmtId="169" fontId="2" fillId="10" borderId="5" xfId="0" applyNumberFormat="1" applyFont="1" applyFill="1" applyBorder="1" applyAlignment="1">
      <alignment horizontal="center"/>
    </xf>
    <xf numFmtId="0" fontId="2" fillId="12" borderId="20" xfId="0" applyFont="1" applyFill="1" applyBorder="1"/>
    <xf numFmtId="0" fontId="5" fillId="12" borderId="8" xfId="0" applyFont="1" applyFill="1" applyBorder="1"/>
    <xf numFmtId="1" fontId="0" fillId="12" borderId="9" xfId="0" applyNumberFormat="1" applyFill="1" applyBorder="1" applyAlignment="1">
      <alignment horizontal="center" vertical="center"/>
    </xf>
    <xf numFmtId="1" fontId="2" fillId="12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0" fillId="0" borderId="0" xfId="1" applyNumberFormat="1" applyFont="1" applyFill="1"/>
    <xf numFmtId="3" fontId="0" fillId="0" borderId="0" xfId="0" applyNumberFormat="1"/>
    <xf numFmtId="0" fontId="0" fillId="10" borderId="6" xfId="0" applyFill="1" applyBorder="1" applyAlignment="1">
      <alignment horizontal="right"/>
    </xf>
    <xf numFmtId="167" fontId="0" fillId="10" borderId="0" xfId="1" applyNumberFormat="1" applyFont="1" applyFill="1" applyBorder="1" applyAlignment="1">
      <alignment horizontal="center" vertical="center"/>
    </xf>
    <xf numFmtId="2" fontId="0" fillId="10" borderId="0" xfId="1" applyNumberFormat="1" applyFont="1" applyFill="1" applyBorder="1" applyAlignment="1">
      <alignment horizontal="center" vertical="center"/>
    </xf>
    <xf numFmtId="0" fontId="2" fillId="10" borderId="1" xfId="0" applyFont="1" applyFill="1" applyBorder="1"/>
    <xf numFmtId="0" fontId="5" fillId="10" borderId="8" xfId="0" applyFont="1" applyFill="1" applyBorder="1"/>
    <xf numFmtId="167" fontId="0" fillId="10" borderId="21" xfId="1" applyNumberFormat="1" applyFont="1" applyFill="1" applyBorder="1" applyAlignment="1">
      <alignment horizontal="center"/>
    </xf>
    <xf numFmtId="167" fontId="0" fillId="10" borderId="23" xfId="1" applyNumberFormat="1" applyFont="1" applyFill="1" applyBorder="1" applyAlignment="1">
      <alignment horizontal="center"/>
    </xf>
    <xf numFmtId="167" fontId="2" fillId="10" borderId="24" xfId="1" applyNumberFormat="1" applyFont="1" applyFill="1" applyBorder="1" applyAlignment="1">
      <alignment horizontal="center"/>
    </xf>
    <xf numFmtId="167" fontId="0" fillId="0" borderId="25" xfId="1" applyNumberFormat="1" applyFont="1" applyBorder="1" applyAlignment="1">
      <alignment horizontal="center" vertical="center"/>
    </xf>
    <xf numFmtId="167" fontId="0" fillId="0" borderId="0" xfId="1" applyNumberFormat="1" applyFont="1" applyBorder="1" applyAlignment="1">
      <alignment horizontal="center" vertical="center"/>
    </xf>
    <xf numFmtId="167" fontId="0" fillId="0" borderId="25" xfId="1" applyNumberFormat="1" applyFont="1" applyFill="1" applyBorder="1" applyAlignment="1">
      <alignment horizontal="center"/>
    </xf>
    <xf numFmtId="167" fontId="3" fillId="0" borderId="25" xfId="1" applyNumberFormat="1" applyFont="1" applyFill="1" applyBorder="1" applyAlignment="1">
      <alignment horizontal="center" vertical="center"/>
    </xf>
    <xf numFmtId="167" fontId="0" fillId="10" borderId="25" xfId="1" applyNumberFormat="1" applyFont="1" applyFill="1" applyBorder="1" applyAlignment="1">
      <alignment horizontal="center" vertical="center"/>
    </xf>
    <xf numFmtId="167" fontId="0" fillId="10" borderId="26" xfId="1" applyNumberFormat="1" applyFont="1" applyFill="1" applyBorder="1" applyAlignment="1">
      <alignment horizontal="center"/>
    </xf>
    <xf numFmtId="167" fontId="0" fillId="10" borderId="9" xfId="1" applyNumberFormat="1" applyFont="1" applyFill="1" applyBorder="1" applyAlignment="1">
      <alignment horizontal="center"/>
    </xf>
    <xf numFmtId="167" fontId="2" fillId="10" borderId="10" xfId="1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0" fontId="0" fillId="0" borderId="27" xfId="0" applyBorder="1"/>
    <xf numFmtId="0" fontId="2" fillId="0" borderId="28" xfId="0" applyFont="1" applyBorder="1"/>
    <xf numFmtId="167" fontId="0" fillId="10" borderId="0" xfId="1" applyNumberFormat="1" applyFont="1" applyFill="1" applyBorder="1" applyAlignment="1">
      <alignment horizontal="center"/>
    </xf>
    <xf numFmtId="0" fontId="2" fillId="0" borderId="27" xfId="0" applyFont="1" applyBorder="1"/>
    <xf numFmtId="0" fontId="2" fillId="0" borderId="29" xfId="0" applyFont="1" applyBorder="1"/>
    <xf numFmtId="0" fontId="0" fillId="0" borderId="8" xfId="0" applyBorder="1"/>
    <xf numFmtId="167" fontId="0" fillId="0" borderId="9" xfId="1" applyNumberFormat="1" applyFont="1" applyFill="1" applyBorder="1" applyAlignment="1">
      <alignment horizontal="center"/>
    </xf>
    <xf numFmtId="168" fontId="0" fillId="10" borderId="30" xfId="0" applyNumberFormat="1" applyFill="1" applyBorder="1" applyAlignment="1">
      <alignment horizontal="center"/>
    </xf>
    <xf numFmtId="0" fontId="5" fillId="14" borderId="0" xfId="0" applyFont="1" applyFill="1"/>
    <xf numFmtId="168" fontId="0" fillId="0" borderId="0" xfId="1" applyNumberFormat="1" applyFont="1" applyFill="1" applyBorder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168" fontId="2" fillId="10" borderId="7" xfId="1" applyNumberFormat="1" applyFont="1" applyFill="1" applyBorder="1" applyAlignment="1">
      <alignment horizontal="center" vertical="center"/>
    </xf>
    <xf numFmtId="168" fontId="0" fillId="0" borderId="0" xfId="1" applyNumberFormat="1" applyFont="1" applyFill="1" applyBorder="1" applyAlignment="1">
      <alignment horizontal="center"/>
    </xf>
    <xf numFmtId="168" fontId="2" fillId="10" borderId="7" xfId="1" applyNumberFormat="1" applyFont="1" applyFill="1" applyBorder="1" applyAlignment="1">
      <alignment horizontal="center"/>
    </xf>
    <xf numFmtId="4" fontId="1" fillId="0" borderId="0" xfId="0" applyNumberFormat="1" applyFont="1"/>
    <xf numFmtId="167" fontId="2" fillId="0" borderId="0" xfId="1" applyNumberFormat="1" applyFont="1" applyFill="1" applyBorder="1" applyAlignment="1">
      <alignment horizontal="center" vertical="center"/>
    </xf>
    <xf numFmtId="169" fontId="0" fillId="0" borderId="0" xfId="0" applyNumberFormat="1"/>
    <xf numFmtId="167" fontId="8" fillId="0" borderId="0" xfId="1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EB6D-9BAF-4446-BA75-F48A75AD94A2}">
  <dimension ref="A1:AK183"/>
  <sheetViews>
    <sheetView topLeftCell="A2" zoomScale="70" zoomScaleNormal="70" workbookViewId="0">
      <pane ySplit="1" topLeftCell="A3" activePane="bottomLeft" state="frozen"/>
      <selection pane="bottomLeft" activeCell="AK163" sqref="AK163"/>
      <selection activeCell="A2" sqref="A2"/>
    </sheetView>
  </sheetViews>
  <sheetFormatPr defaultRowHeight="14.45"/>
  <cols>
    <col min="1" max="1" width="11.42578125" customWidth="1"/>
    <col min="2" max="2" width="21.7109375" customWidth="1"/>
    <col min="3" max="3" width="11.42578125" style="114" customWidth="1"/>
    <col min="4" max="4" width="11.140625" style="114" customWidth="1"/>
    <col min="5" max="5" width="10.5703125" style="114" customWidth="1"/>
    <col min="6" max="14" width="8.7109375" style="114" customWidth="1"/>
    <col min="15" max="15" width="11.42578125" style="114" customWidth="1"/>
    <col min="16" max="16" width="10.42578125" style="95" customWidth="1"/>
    <col min="17" max="17" width="10.7109375" hidden="1" customWidth="1"/>
    <col min="18" max="18" width="10.28515625" hidden="1" customWidth="1"/>
    <col min="19" max="19" width="6.28515625" style="3" hidden="1" customWidth="1"/>
    <col min="20" max="20" width="7.85546875" hidden="1" customWidth="1"/>
    <col min="21" max="21" width="8.140625" hidden="1" customWidth="1"/>
    <col min="22" max="22" width="8.5703125" hidden="1" customWidth="1"/>
    <col min="23" max="23" width="7.7109375" hidden="1" customWidth="1"/>
    <col min="24" max="24" width="7.5703125" hidden="1" customWidth="1"/>
    <col min="25" max="26" width="6.5703125" hidden="1" customWidth="1"/>
    <col min="27" max="27" width="6.42578125" hidden="1" customWidth="1"/>
    <col min="28" max="28" width="7.28515625" hidden="1" customWidth="1"/>
    <col min="29" max="29" width="6.85546875" hidden="1" customWidth="1"/>
    <col min="30" max="31" width="7" hidden="1" customWidth="1"/>
    <col min="32" max="32" width="6.7109375" hidden="1" customWidth="1"/>
    <col min="33" max="33" width="0.42578125" hidden="1" customWidth="1"/>
    <col min="34" max="34" width="8.42578125" hidden="1" customWidth="1"/>
    <col min="35" max="35" width="10.85546875" hidden="1" customWidth="1"/>
    <col min="36" max="36" width="8.42578125" customWidth="1"/>
  </cols>
  <sheetData>
    <row r="1" spans="1:36" ht="18.600000000000001" hidden="1">
      <c r="A1" s="20" t="s">
        <v>0</v>
      </c>
    </row>
    <row r="2" spans="1:36" ht="15" thickBot="1">
      <c r="A2" s="27" t="s">
        <v>1</v>
      </c>
      <c r="B2" s="27" t="s">
        <v>2</v>
      </c>
      <c r="C2" s="96" t="s">
        <v>3</v>
      </c>
      <c r="D2" s="96" t="s">
        <v>4</v>
      </c>
      <c r="E2" s="96" t="s">
        <v>5</v>
      </c>
      <c r="F2" s="96" t="s">
        <v>6</v>
      </c>
      <c r="G2" s="96" t="s">
        <v>7</v>
      </c>
      <c r="H2" s="96" t="s">
        <v>8</v>
      </c>
      <c r="I2" s="96" t="s">
        <v>9</v>
      </c>
      <c r="J2" s="96" t="s">
        <v>10</v>
      </c>
      <c r="K2" s="96" t="s">
        <v>11</v>
      </c>
      <c r="L2" s="96" t="s">
        <v>12</v>
      </c>
      <c r="M2" s="96" t="s">
        <v>13</v>
      </c>
      <c r="N2" s="96" t="s">
        <v>14</v>
      </c>
      <c r="O2" s="96" t="s">
        <v>15</v>
      </c>
      <c r="P2" s="96" t="s">
        <v>16</v>
      </c>
      <c r="Q2" s="23" t="s">
        <v>17</v>
      </c>
      <c r="T2" s="22" t="s">
        <v>16</v>
      </c>
      <c r="U2" s="22" t="s">
        <v>18</v>
      </c>
      <c r="V2" s="22" t="s">
        <v>19</v>
      </c>
      <c r="W2" s="21" t="s">
        <v>3</v>
      </c>
      <c r="X2" s="21" t="s">
        <v>4</v>
      </c>
      <c r="Y2" s="21" t="s">
        <v>5</v>
      </c>
      <c r="Z2" s="21" t="s">
        <v>6</v>
      </c>
      <c r="AA2" s="21" t="s">
        <v>7</v>
      </c>
      <c r="AB2" s="21" t="s">
        <v>8</v>
      </c>
      <c r="AC2" s="21" t="s">
        <v>9</v>
      </c>
      <c r="AD2" s="21" t="s">
        <v>10</v>
      </c>
      <c r="AE2" s="21" t="s">
        <v>11</v>
      </c>
      <c r="AF2" s="21" t="s">
        <v>12</v>
      </c>
      <c r="AG2" s="21" t="s">
        <v>13</v>
      </c>
      <c r="AH2" s="21" t="s">
        <v>14</v>
      </c>
      <c r="AI2" s="21" t="s">
        <v>15</v>
      </c>
    </row>
    <row r="3" spans="1:36" ht="15" thickBot="1">
      <c r="A3" s="82" t="s">
        <v>20</v>
      </c>
      <c r="B3" s="83" t="s">
        <v>21</v>
      </c>
      <c r="C3" s="97">
        <f>C10+C16+C4+C22+C28+C34+C40+C46</f>
        <v>132.59939215575173</v>
      </c>
      <c r="D3" s="97">
        <f t="shared" ref="D3:O3" si="0">D10+D16+D4+D22+D28+D34+D40+D46</f>
        <v>168.47718090924442</v>
      </c>
      <c r="E3" s="97">
        <f t="shared" si="0"/>
        <v>184.12779038150086</v>
      </c>
      <c r="F3" s="97">
        <f t="shared" si="0"/>
        <v>183.83245390974477</v>
      </c>
      <c r="G3" s="97">
        <f t="shared" si="0"/>
        <v>175.39736184999705</v>
      </c>
      <c r="H3" s="97">
        <f t="shared" si="0"/>
        <v>182.04492229999036</v>
      </c>
      <c r="I3" s="97">
        <f t="shared" si="0"/>
        <v>181.78968366999862</v>
      </c>
      <c r="J3" s="97">
        <f t="shared" si="0"/>
        <v>192.97822916999357</v>
      </c>
      <c r="K3" s="97">
        <f t="shared" si="0"/>
        <v>181.02883350460442</v>
      </c>
      <c r="L3" s="97">
        <f t="shared" si="0"/>
        <v>184.68473420700448</v>
      </c>
      <c r="M3" s="97">
        <f t="shared" si="0"/>
        <v>185.78341760283695</v>
      </c>
      <c r="N3" s="97">
        <f t="shared" si="0"/>
        <v>185.73148720550705</v>
      </c>
      <c r="O3" s="97">
        <f t="shared" si="0"/>
        <v>203.82507848289504</v>
      </c>
      <c r="P3" s="98">
        <f>SUM(C3:O3)</f>
        <v>2342.3005653490695</v>
      </c>
      <c r="AJ3" s="189">
        <f>P9+P15+P21+P27+P33+P39+P45+P51</f>
        <v>37.10825525123488</v>
      </c>
    </row>
    <row r="4" spans="1:36">
      <c r="A4" s="81"/>
      <c r="B4" s="42" t="s">
        <v>22</v>
      </c>
      <c r="C4" s="99">
        <v>45.843986360500885</v>
      </c>
      <c r="D4" s="99">
        <v>54.875811212996979</v>
      </c>
      <c r="E4" s="99">
        <v>74.070721220754578</v>
      </c>
      <c r="F4" s="99">
        <v>68.764767172747142</v>
      </c>
      <c r="G4" s="99">
        <v>61.227818559998695</v>
      </c>
      <c r="H4" s="99">
        <v>64.464147419997133</v>
      </c>
      <c r="I4" s="99">
        <v>68.839554549998653</v>
      </c>
      <c r="J4" s="99">
        <v>64.209509409997708</v>
      </c>
      <c r="K4" s="99">
        <v>67.388104039038751</v>
      </c>
      <c r="L4" s="99">
        <v>66.570696476115842</v>
      </c>
      <c r="M4" s="99">
        <v>67.449600266741669</v>
      </c>
      <c r="N4" s="99">
        <v>68.374746005773616</v>
      </c>
      <c r="O4" s="99">
        <v>72.930408862263064</v>
      </c>
      <c r="P4" s="100">
        <f t="shared" ref="P4" si="1">SUM(C4:O4)</f>
        <v>845.00987155692462</v>
      </c>
      <c r="R4" s="2">
        <v>814.72358145051521</v>
      </c>
      <c r="S4" s="24">
        <v>2023</v>
      </c>
    </row>
    <row r="5" spans="1:36">
      <c r="A5" s="37"/>
      <c r="B5" s="43">
        <v>2024</v>
      </c>
      <c r="C5" s="93">
        <v>0.73493202797450674</v>
      </c>
      <c r="D5" s="93">
        <v>0.73293344313157005</v>
      </c>
      <c r="E5" s="93">
        <v>0.84690305795621634</v>
      </c>
      <c r="F5" s="93">
        <v>0.85122494172797236</v>
      </c>
      <c r="G5" s="93">
        <v>0.86436405184531007</v>
      </c>
      <c r="H5" s="93">
        <v>0.88561265723114557</v>
      </c>
      <c r="I5" s="93">
        <v>0.87296255059953254</v>
      </c>
      <c r="J5" s="93">
        <v>0.88166052686194107</v>
      </c>
      <c r="K5" s="93">
        <v>0.87039824662083121</v>
      </c>
      <c r="L5" s="93">
        <v>0.86155274534835757</v>
      </c>
      <c r="M5" s="93">
        <v>0.84002859512339711</v>
      </c>
      <c r="N5" s="93">
        <v>0.86107080619219534</v>
      </c>
      <c r="O5" s="93">
        <v>0.8752579505123198</v>
      </c>
      <c r="P5" s="101">
        <f>AVERAGE(C5:O5)</f>
        <v>0.84453089239425339</v>
      </c>
      <c r="Q5" s="38">
        <v>2024</v>
      </c>
      <c r="R5" s="6">
        <v>0.84915824889885194</v>
      </c>
      <c r="S5" s="24">
        <v>2024</v>
      </c>
      <c r="T5" s="8" t="e">
        <f>AVERAGE(W5:AI5)</f>
        <v>#DIV/0!</v>
      </c>
      <c r="U5" s="8">
        <f>MAX(W5:AI5)</f>
        <v>0</v>
      </c>
      <c r="V5" s="8">
        <f>MIN(W5:AI5)</f>
        <v>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6">
      <c r="A6" s="37"/>
      <c r="B6" s="43">
        <v>2025</v>
      </c>
      <c r="C6" s="94">
        <v>0.8742174027295283</v>
      </c>
      <c r="D6" s="94">
        <v>0.90953815829309381</v>
      </c>
      <c r="E6" s="94">
        <v>0.9018972991476778</v>
      </c>
      <c r="F6" s="94">
        <v>0.92360544213382656</v>
      </c>
      <c r="G6" s="94">
        <v>0.92485532724021358</v>
      </c>
      <c r="H6" s="94">
        <v>0.927259834096539</v>
      </c>
      <c r="I6" s="94">
        <v>0.91557332684648496</v>
      </c>
      <c r="J6" s="94">
        <v>0.91957105893065549</v>
      </c>
      <c r="K6" s="45">
        <v>0.90756512877669637</v>
      </c>
      <c r="L6" s="45">
        <f>AVERAGE(C6:K6)</f>
        <v>0.91156477535496849</v>
      </c>
      <c r="M6" s="45">
        <v>0.91156477535496849</v>
      </c>
      <c r="N6" s="45">
        <v>0.91156477535496849</v>
      </c>
      <c r="O6" s="45">
        <v>0.91156477535496849</v>
      </c>
      <c r="P6" s="101">
        <f>AVERAGE(C6:O6)</f>
        <v>0.91156477535496827</v>
      </c>
      <c r="Q6" s="38">
        <v>2025</v>
      </c>
      <c r="R6" s="6">
        <v>0.85782027891819879</v>
      </c>
      <c r="S6" s="24" t="s">
        <v>23</v>
      </c>
      <c r="T6" s="8">
        <f>AVERAGE(W6:AI6)</f>
        <v>0.84453089239425339</v>
      </c>
      <c r="U6" s="8">
        <f>MAX(C5:O5)</f>
        <v>0.88561265723114557</v>
      </c>
      <c r="V6" s="8">
        <f>MIN(C5:O5)</f>
        <v>0.73293344313157005</v>
      </c>
      <c r="W6" s="8">
        <f>C5-W5</f>
        <v>0.73493202797450674</v>
      </c>
      <c r="X6" s="8">
        <f t="shared" ref="X6:AI6" si="2">D5-X5</f>
        <v>0.73293344313157005</v>
      </c>
      <c r="Y6" s="8">
        <f t="shared" si="2"/>
        <v>0.84690305795621634</v>
      </c>
      <c r="Z6" s="8">
        <f t="shared" si="2"/>
        <v>0.85122494172797236</v>
      </c>
      <c r="AA6" s="8">
        <f t="shared" si="2"/>
        <v>0.86436405184531007</v>
      </c>
      <c r="AB6" s="8">
        <f t="shared" si="2"/>
        <v>0.88561265723114557</v>
      </c>
      <c r="AC6" s="8">
        <f t="shared" si="2"/>
        <v>0.87296255059953254</v>
      </c>
      <c r="AD6" s="8">
        <f t="shared" si="2"/>
        <v>0.88166052686194107</v>
      </c>
      <c r="AE6" s="8">
        <f t="shared" si="2"/>
        <v>0.87039824662083121</v>
      </c>
      <c r="AF6" s="8">
        <f t="shared" si="2"/>
        <v>0.86155274534835757</v>
      </c>
      <c r="AG6" s="8">
        <f t="shared" si="2"/>
        <v>0.84002859512339711</v>
      </c>
      <c r="AH6" s="8">
        <f t="shared" si="2"/>
        <v>0.86107080619219534</v>
      </c>
      <c r="AI6" s="8">
        <f t="shared" si="2"/>
        <v>0.8752579505123198</v>
      </c>
    </row>
    <row r="7" spans="1:36">
      <c r="A7" s="37"/>
      <c r="B7" s="46" t="s">
        <v>24</v>
      </c>
      <c r="C7" s="94">
        <f>C6-C5</f>
        <v>0.13928537475502156</v>
      </c>
      <c r="D7" s="94">
        <f t="shared" ref="D7:F7" si="3">D6-D5</f>
        <v>0.17660471516152376</v>
      </c>
      <c r="E7" s="94">
        <f t="shared" si="3"/>
        <v>5.4994241191461457E-2</v>
      </c>
      <c r="F7" s="94">
        <f t="shared" si="3"/>
        <v>7.2380500405854198E-2</v>
      </c>
      <c r="G7" s="94">
        <f>G6-G5</f>
        <v>6.049127539490351E-2</v>
      </c>
      <c r="H7" s="94">
        <f t="shared" ref="H7:O7" si="4">H6-H5</f>
        <v>4.1647176865393432E-2</v>
      </c>
      <c r="I7" s="94">
        <f t="shared" si="4"/>
        <v>4.261077624695242E-2</v>
      </c>
      <c r="J7" s="94">
        <f t="shared" si="4"/>
        <v>3.791053206871442E-2</v>
      </c>
      <c r="K7" s="94">
        <f t="shared" si="4"/>
        <v>3.7166882155865166E-2</v>
      </c>
      <c r="L7" s="94">
        <f t="shared" si="4"/>
        <v>5.0012030006610919E-2</v>
      </c>
      <c r="M7" s="94">
        <f t="shared" si="4"/>
        <v>7.1536180231571378E-2</v>
      </c>
      <c r="N7" s="94">
        <f t="shared" si="4"/>
        <v>5.0493969162773156E-2</v>
      </c>
      <c r="O7" s="94">
        <f t="shared" si="4"/>
        <v>3.6306824842648688E-2</v>
      </c>
      <c r="P7" s="101">
        <f>(AVERAGE(C6:O6)-AVERAGE(C5:O5))</f>
        <v>6.7033882960714886E-2</v>
      </c>
      <c r="Q7" s="39" t="s">
        <v>24</v>
      </c>
      <c r="R7" s="9">
        <v>8.6620300193468447E-3</v>
      </c>
      <c r="S7" s="24" t="s">
        <v>25</v>
      </c>
      <c r="T7" s="8">
        <f>AVERAGE(W7:AI7)</f>
        <v>1.1693826878151089E-2</v>
      </c>
      <c r="U7" s="8">
        <f>MAX(C6:O6)</f>
        <v>0.927259834096539</v>
      </c>
      <c r="V7" s="8">
        <f>MIN(C6:O6)</f>
        <v>0.8742174027295283</v>
      </c>
      <c r="X7" s="8">
        <f>D5-C5</f>
        <v>-1.9985848429366904E-3</v>
      </c>
      <c r="Y7" s="8">
        <f t="shared" ref="Y7:AI7" si="5">E5-D5</f>
        <v>0.11396961482464629</v>
      </c>
      <c r="Z7" s="8">
        <f t="shared" si="5"/>
        <v>4.3218837717560188E-3</v>
      </c>
      <c r="AA7" s="8">
        <f t="shared" si="5"/>
        <v>1.3139110117337705E-2</v>
      </c>
      <c r="AB7" s="8">
        <f t="shared" si="5"/>
        <v>2.1248605385835506E-2</v>
      </c>
      <c r="AC7" s="8">
        <f t="shared" si="5"/>
        <v>-1.2650106631613034E-2</v>
      </c>
      <c r="AD7" s="8">
        <f t="shared" si="5"/>
        <v>8.6979762624085355E-3</v>
      </c>
      <c r="AE7" s="8">
        <f t="shared" si="5"/>
        <v>-1.1262280241109868E-2</v>
      </c>
      <c r="AF7" s="8">
        <f t="shared" si="5"/>
        <v>-8.8455012724736326E-3</v>
      </c>
      <c r="AG7" s="8">
        <f t="shared" si="5"/>
        <v>-2.1524150224960459E-2</v>
      </c>
      <c r="AH7" s="8">
        <f t="shared" si="5"/>
        <v>2.1042211068798222E-2</v>
      </c>
      <c r="AI7" s="8">
        <f t="shared" si="5"/>
        <v>1.4187144320124467E-2</v>
      </c>
    </row>
    <row r="8" spans="1:36">
      <c r="A8" s="37"/>
      <c r="B8" s="43" t="s">
        <v>26</v>
      </c>
      <c r="C8" s="93">
        <f>C7/3%*1%</f>
        <v>4.6428458251673854E-2</v>
      </c>
      <c r="D8" s="93">
        <f t="shared" ref="D8:O8" si="6">D7/3%*1%</f>
        <v>5.8868238387174587E-2</v>
      </c>
      <c r="E8" s="93">
        <f t="shared" si="6"/>
        <v>1.8331413730487155E-2</v>
      </c>
      <c r="F8" s="93">
        <f t="shared" si="6"/>
        <v>2.4126833468618068E-2</v>
      </c>
      <c r="G8" s="93">
        <f t="shared" si="6"/>
        <v>2.0163758464967839E-2</v>
      </c>
      <c r="H8" s="93">
        <f t="shared" si="6"/>
        <v>1.3882392288464478E-2</v>
      </c>
      <c r="I8" s="93">
        <f t="shared" si="6"/>
        <v>1.4203592082317473E-2</v>
      </c>
      <c r="J8" s="93">
        <f t="shared" si="6"/>
        <v>1.2636844022904808E-2</v>
      </c>
      <c r="K8" s="93">
        <f t="shared" si="6"/>
        <v>1.2388960718621722E-2</v>
      </c>
      <c r="L8" s="93">
        <f t="shared" si="6"/>
        <v>1.6670676668870309E-2</v>
      </c>
      <c r="M8" s="93">
        <f t="shared" si="6"/>
        <v>2.3845393410523795E-2</v>
      </c>
      <c r="N8" s="93">
        <f t="shared" si="6"/>
        <v>1.6831323054257719E-2</v>
      </c>
      <c r="O8" s="93">
        <f t="shared" si="6"/>
        <v>1.2102274947549563E-2</v>
      </c>
      <c r="P8" s="102">
        <f>P7/3%*1%</f>
        <v>2.2344627653571633E-2</v>
      </c>
      <c r="Q8" s="38" t="s">
        <v>26</v>
      </c>
      <c r="R8" s="10">
        <v>2.8873433397822819E-3</v>
      </c>
      <c r="S8" s="25"/>
      <c r="T8" s="8" t="e">
        <f>(T5-C5)</f>
        <v>#DIV/0!</v>
      </c>
    </row>
    <row r="9" spans="1:36" ht="15" thickBot="1">
      <c r="A9" s="37"/>
      <c r="B9" s="49" t="s">
        <v>27</v>
      </c>
      <c r="C9" s="115">
        <f>C4*C8</f>
        <v>2.1284656068288208</v>
      </c>
      <c r="D9" s="115">
        <f t="shared" ref="D9:O9" si="7">D4*D8</f>
        <v>3.2304423361762944</v>
      </c>
      <c r="E9" s="115">
        <f t="shared" si="7"/>
        <v>1.3578210360132268</v>
      </c>
      <c r="F9" s="115">
        <f t="shared" si="7"/>
        <v>1.6590760860851648</v>
      </c>
      <c r="G9" s="115">
        <f t="shared" si="7"/>
        <v>1.2345829447806886</v>
      </c>
      <c r="H9" s="115">
        <f t="shared" si="7"/>
        <v>0.89491658302580546</v>
      </c>
      <c r="I9" s="115">
        <f t="shared" si="7"/>
        <v>0.97776895195662261</v>
      </c>
      <c r="J9" s="115">
        <f t="shared" si="7"/>
        <v>0.81140555520137958</v>
      </c>
      <c r="K9" s="115">
        <f t="shared" si="7"/>
        <v>0.83486857384204494</v>
      </c>
      <c r="L9" s="115">
        <f t="shared" si="7"/>
        <v>1.1097785565748313</v>
      </c>
      <c r="M9" s="115">
        <f t="shared" si="7"/>
        <v>1.6083622537430258</v>
      </c>
      <c r="N9" s="115">
        <f t="shared" si="7"/>
        <v>1.1508374387759934</v>
      </c>
      <c r="O9" s="115">
        <f t="shared" si="7"/>
        <v>0.88262386008831295</v>
      </c>
      <c r="P9" s="103">
        <f>SUM(C9:O9)</f>
        <v>17.880949783092209</v>
      </c>
      <c r="Q9" s="38" t="s">
        <v>27</v>
      </c>
      <c r="R9" s="11">
        <v>2.0434363548562735</v>
      </c>
      <c r="S9" s="25"/>
    </row>
    <row r="10" spans="1:36">
      <c r="A10" s="37"/>
      <c r="B10" s="42" t="s">
        <v>28</v>
      </c>
      <c r="C10" s="99">
        <v>18.138832549999929</v>
      </c>
      <c r="D10" s="99">
        <v>22.874277280000179</v>
      </c>
      <c r="E10" s="99">
        <v>20.861621980000503</v>
      </c>
      <c r="F10" s="99">
        <v>18.858655849999909</v>
      </c>
      <c r="G10" s="99">
        <v>20.035393830000487</v>
      </c>
      <c r="H10" s="99">
        <v>22.238039109999992</v>
      </c>
      <c r="I10" s="99">
        <v>20.152442549999982</v>
      </c>
      <c r="J10" s="99">
        <v>28.571901549999225</v>
      </c>
      <c r="K10" s="99">
        <v>22.020816459045268</v>
      </c>
      <c r="L10" s="99">
        <v>23.728548259518647</v>
      </c>
      <c r="M10" s="99">
        <v>23.571426545521099</v>
      </c>
      <c r="N10" s="99">
        <v>23.475779872360981</v>
      </c>
      <c r="O10" s="99">
        <v>26.290501593275806</v>
      </c>
      <c r="P10" s="100">
        <f t="shared" ref="P10:P16" si="8">SUM(C10:O10)</f>
        <v>290.81823742972199</v>
      </c>
      <c r="R10" s="2">
        <v>271.97577839532062</v>
      </c>
      <c r="S10" s="24">
        <v>2023</v>
      </c>
    </row>
    <row r="11" spans="1:36">
      <c r="A11" s="37"/>
      <c r="B11" s="43">
        <v>2024</v>
      </c>
      <c r="C11" s="93">
        <v>0.8631440281604621</v>
      </c>
      <c r="D11" s="93">
        <v>0.84395329333479774</v>
      </c>
      <c r="E11" s="93">
        <v>0.89967221718937385</v>
      </c>
      <c r="F11" s="93">
        <v>0.89981079823972643</v>
      </c>
      <c r="G11" s="93">
        <v>0.92427772980565859</v>
      </c>
      <c r="H11" s="93">
        <v>0.95528185760683282</v>
      </c>
      <c r="I11" s="93">
        <v>0.94711221138744295</v>
      </c>
      <c r="J11" s="93">
        <v>0.9516637482908944</v>
      </c>
      <c r="K11" s="93">
        <v>0.94214064022691812</v>
      </c>
      <c r="L11" s="93">
        <v>0.92880060171964596</v>
      </c>
      <c r="M11" s="93">
        <v>0.94515955543181818</v>
      </c>
      <c r="N11" s="93">
        <v>0.89209572629592648</v>
      </c>
      <c r="O11" s="93">
        <v>0.96220606478156434</v>
      </c>
      <c r="P11" s="101">
        <f>AVERAGE(C11:O11)</f>
        <v>0.91963988249777395</v>
      </c>
      <c r="R11" s="6">
        <v>0.92402441400057667</v>
      </c>
      <c r="S11" s="24">
        <v>2024</v>
      </c>
      <c r="T11" s="8" t="e">
        <f>AVERAGE(W11:AI11)</f>
        <v>#DIV/0!</v>
      </c>
      <c r="U11" s="8">
        <f>MAX(W11:AI11)</f>
        <v>0</v>
      </c>
      <c r="V11" s="8">
        <f>MIN(W11:AI11)</f>
        <v>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6">
      <c r="A12" s="37"/>
      <c r="B12" s="43">
        <v>2025</v>
      </c>
      <c r="C12" s="94">
        <v>0.94665010070635902</v>
      </c>
      <c r="D12" s="94">
        <v>0.96565539631620489</v>
      </c>
      <c r="E12" s="94">
        <v>0.96096313757905727</v>
      </c>
      <c r="F12" s="94">
        <v>0.95595495007528553</v>
      </c>
      <c r="G12" s="94">
        <v>0.96378875516163098</v>
      </c>
      <c r="H12" s="94">
        <v>0.96286388334092798</v>
      </c>
      <c r="I12" s="94">
        <v>0.94706641842649275</v>
      </c>
      <c r="J12" s="94">
        <v>0.95323258744324313</v>
      </c>
      <c r="K12" s="45">
        <v>0.9497902281197661</v>
      </c>
      <c r="L12" s="45">
        <f t="shared" ref="L12" si="9">K12+0.3%</f>
        <v>0.9527902281197661</v>
      </c>
      <c r="M12" s="45">
        <f>L12+0.1%</f>
        <v>0.9537902281197661</v>
      </c>
      <c r="N12" s="45">
        <f t="shared" ref="N12:O12" si="10">M12+0.1%</f>
        <v>0.9547902281197661</v>
      </c>
      <c r="O12" s="45">
        <f t="shared" si="10"/>
        <v>0.95579022811976611</v>
      </c>
      <c r="P12" s="101">
        <f>AVERAGE(C12:O12)</f>
        <v>0.95562510535754108</v>
      </c>
      <c r="R12" s="6">
        <v>0.9365898780474744</v>
      </c>
      <c r="S12" s="24" t="s">
        <v>23</v>
      </c>
      <c r="T12" s="8">
        <f>AVERAGE(W12:AI12)</f>
        <v>0.91963988249777395</v>
      </c>
      <c r="U12" s="8">
        <f>MAX(C11:O11)</f>
        <v>0.96220606478156434</v>
      </c>
      <c r="V12" s="8">
        <f>MIN(C11:O11)</f>
        <v>0.84395329333479774</v>
      </c>
      <c r="W12" s="8">
        <f t="shared" ref="W12:AI12" si="11">C11-W11</f>
        <v>0.8631440281604621</v>
      </c>
      <c r="X12" s="8">
        <f t="shared" si="11"/>
        <v>0.84395329333479774</v>
      </c>
      <c r="Y12" s="8">
        <f t="shared" si="11"/>
        <v>0.89967221718937385</v>
      </c>
      <c r="Z12" s="8">
        <f t="shared" si="11"/>
        <v>0.89981079823972643</v>
      </c>
      <c r="AA12" s="8">
        <f t="shared" si="11"/>
        <v>0.92427772980565859</v>
      </c>
      <c r="AB12" s="8">
        <f t="shared" si="11"/>
        <v>0.95528185760683282</v>
      </c>
      <c r="AC12" s="8">
        <f t="shared" si="11"/>
        <v>0.94711221138744295</v>
      </c>
      <c r="AD12" s="8">
        <f t="shared" si="11"/>
        <v>0.9516637482908944</v>
      </c>
      <c r="AE12" s="8">
        <f t="shared" si="11"/>
        <v>0.94214064022691812</v>
      </c>
      <c r="AF12" s="8">
        <f t="shared" si="11"/>
        <v>0.92880060171964596</v>
      </c>
      <c r="AG12" s="8">
        <f t="shared" si="11"/>
        <v>0.94515955543181818</v>
      </c>
      <c r="AH12" s="8">
        <f t="shared" si="11"/>
        <v>0.89209572629592648</v>
      </c>
      <c r="AI12" s="8">
        <f t="shared" si="11"/>
        <v>0.96220606478156434</v>
      </c>
    </row>
    <row r="13" spans="1:36">
      <c r="A13" s="37"/>
      <c r="B13" s="46" t="s">
        <v>24</v>
      </c>
      <c r="C13" s="94">
        <f>C12-C11</f>
        <v>8.3506072545896926E-2</v>
      </c>
      <c r="D13" s="94">
        <f t="shared" ref="D13:F13" si="12">D12-D11</f>
        <v>0.12170210298140716</v>
      </c>
      <c r="E13" s="94">
        <f t="shared" si="12"/>
        <v>6.1290920389683423E-2</v>
      </c>
      <c r="F13" s="94">
        <f t="shared" si="12"/>
        <v>5.6144151835559097E-2</v>
      </c>
      <c r="G13" s="94">
        <f>G12-G11</f>
        <v>3.9511025355972396E-2</v>
      </c>
      <c r="H13" s="94">
        <f t="shared" ref="H13:O13" si="13">H12-H11</f>
        <v>7.5820257340951658E-3</v>
      </c>
      <c r="I13" s="94">
        <f t="shared" si="13"/>
        <v>-4.5792960950197248E-5</v>
      </c>
      <c r="J13" s="94">
        <f t="shared" si="13"/>
        <v>1.5688391523487333E-3</v>
      </c>
      <c r="K13" s="94">
        <f t="shared" si="13"/>
        <v>7.6495878928479755E-3</v>
      </c>
      <c r="L13" s="94">
        <f t="shared" si="13"/>
        <v>2.3989626400120145E-2</v>
      </c>
      <c r="M13" s="94">
        <f t="shared" si="13"/>
        <v>8.6306726879479267E-3</v>
      </c>
      <c r="N13" s="94">
        <f t="shared" si="13"/>
        <v>6.2694501823839621E-2</v>
      </c>
      <c r="O13" s="94">
        <f t="shared" si="13"/>
        <v>-6.4158366617982354E-3</v>
      </c>
      <c r="P13" s="101">
        <f>(AVERAGE(C12:O12)-AVERAGE(C11:O11))</f>
        <v>3.598522285976713E-2</v>
      </c>
      <c r="R13" s="9">
        <v>1.2565464046897734E-2</v>
      </c>
      <c r="S13" s="24" t="s">
        <v>25</v>
      </c>
      <c r="T13" s="8">
        <f>AVERAGE(W13:AI13)</f>
        <v>8.2551697184251871E-3</v>
      </c>
      <c r="U13" s="8">
        <f>MAX(C12:O12)</f>
        <v>0.96565539631620489</v>
      </c>
      <c r="V13" s="8">
        <f>MIN(C12:O12)</f>
        <v>0.94665010070635902</v>
      </c>
      <c r="X13" s="8">
        <f t="shared" ref="X13:AI13" si="14">D11-C11</f>
        <v>-1.9190734825664357E-2</v>
      </c>
      <c r="Y13" s="8">
        <f t="shared" si="14"/>
        <v>5.5718923854576108E-2</v>
      </c>
      <c r="Z13" s="8">
        <f t="shared" si="14"/>
        <v>1.3858105035258195E-4</v>
      </c>
      <c r="AA13" s="8">
        <f t="shared" si="14"/>
        <v>2.446693156593216E-2</v>
      </c>
      <c r="AB13" s="8">
        <f t="shared" si="14"/>
        <v>3.1004127801174231E-2</v>
      </c>
      <c r="AC13" s="8">
        <f t="shared" si="14"/>
        <v>-8.16964621938987E-3</v>
      </c>
      <c r="AD13" s="8">
        <f t="shared" si="14"/>
        <v>4.5515369034514475E-3</v>
      </c>
      <c r="AE13" s="8">
        <f t="shared" si="14"/>
        <v>-9.5231080639762711E-3</v>
      </c>
      <c r="AF13" s="8">
        <f t="shared" si="14"/>
        <v>-1.3340038507272167E-2</v>
      </c>
      <c r="AG13" s="8">
        <f t="shared" si="14"/>
        <v>1.6358953712172219E-2</v>
      </c>
      <c r="AH13" s="8">
        <f t="shared" si="14"/>
        <v>-5.3063829135891694E-2</v>
      </c>
      <c r="AI13" s="8">
        <f t="shared" si="14"/>
        <v>7.0110338485637858E-2</v>
      </c>
    </row>
    <row r="14" spans="1:36">
      <c r="A14" s="37"/>
      <c r="B14" s="43" t="s">
        <v>26</v>
      </c>
      <c r="C14" s="93">
        <f>C13/3%*1%</f>
        <v>2.7835357515298975E-2</v>
      </c>
      <c r="D14" s="93">
        <f t="shared" ref="D14:O14" si="15">D13/3%*1%</f>
        <v>4.0567367660469061E-2</v>
      </c>
      <c r="E14" s="93">
        <f t="shared" si="15"/>
        <v>2.0430306796561146E-2</v>
      </c>
      <c r="F14" s="93">
        <f t="shared" si="15"/>
        <v>1.8714717278519699E-2</v>
      </c>
      <c r="G14" s="93">
        <f t="shared" si="15"/>
        <v>1.3170341785324134E-2</v>
      </c>
      <c r="H14" s="93">
        <f t="shared" si="15"/>
        <v>2.5273419113650553E-3</v>
      </c>
      <c r="I14" s="93">
        <f t="shared" si="15"/>
        <v>-1.5264320316732416E-5</v>
      </c>
      <c r="J14" s="93">
        <f t="shared" si="15"/>
        <v>5.229463841162445E-4</v>
      </c>
      <c r="K14" s="93">
        <f t="shared" si="15"/>
        <v>2.5498626309493257E-3</v>
      </c>
      <c r="L14" s="93">
        <f t="shared" si="15"/>
        <v>7.9965421333733824E-3</v>
      </c>
      <c r="M14" s="93">
        <f t="shared" si="15"/>
        <v>2.8768908959826422E-3</v>
      </c>
      <c r="N14" s="93">
        <f t="shared" si="15"/>
        <v>2.0898167274613209E-2</v>
      </c>
      <c r="O14" s="93">
        <f t="shared" si="15"/>
        <v>-2.1386122205994118E-3</v>
      </c>
      <c r="P14" s="102">
        <f>P13/3%*1%</f>
        <v>1.1995074286589046E-2</v>
      </c>
      <c r="R14" s="10">
        <v>4.1884880156325783E-3</v>
      </c>
      <c r="S14" s="25"/>
      <c r="T14" s="8" t="e">
        <f>(T11-C11)</f>
        <v>#DIV/0!</v>
      </c>
    </row>
    <row r="15" spans="1:36" ht="15" thickBot="1">
      <c r="A15" s="37"/>
      <c r="B15" s="49" t="s">
        <v>27</v>
      </c>
      <c r="C15" s="115">
        <f>C10*C14</f>
        <v>0.50490088893939022</v>
      </c>
      <c r="D15" s="115">
        <f t="shared" ref="D15:O15" si="16">D10*D14</f>
        <v>0.92794921638528149</v>
      </c>
      <c r="E15" s="115">
        <f t="shared" si="16"/>
        <v>0.42620933732529365</v>
      </c>
      <c r="F15" s="115">
        <f t="shared" si="16"/>
        <v>0.35293441248564988</v>
      </c>
      <c r="G15" s="115">
        <f t="shared" si="16"/>
        <v>0.26387298454468078</v>
      </c>
      <c r="H15" s="115">
        <f t="shared" si="16"/>
        <v>5.620312826927823E-2</v>
      </c>
      <c r="I15" s="115">
        <f t="shared" si="16"/>
        <v>-3.0761333824774756E-4</v>
      </c>
      <c r="J15" s="115">
        <f t="shared" si="16"/>
        <v>1.4941572602897416E-2</v>
      </c>
      <c r="K15" s="115">
        <f t="shared" si="16"/>
        <v>5.6150056991913382E-2</v>
      </c>
      <c r="L15" s="115">
        <f t="shared" si="16"/>
        <v>0.18974633592102449</v>
      </c>
      <c r="M15" s="115">
        <f t="shared" si="16"/>
        <v>6.7812422434133227E-2</v>
      </c>
      <c r="N15" s="115">
        <f t="shared" si="16"/>
        <v>0.49060077467459773</v>
      </c>
      <c r="O15" s="115">
        <f t="shared" si="16"/>
        <v>-5.6225187993067943E-2</v>
      </c>
      <c r="P15" s="103">
        <f>SUM(C15:O15)</f>
        <v>3.2947883292428255</v>
      </c>
      <c r="Q15" s="31"/>
      <c r="R15" s="11">
        <v>1.1094526439948855</v>
      </c>
      <c r="S15" s="25"/>
    </row>
    <row r="16" spans="1:36">
      <c r="A16" s="1"/>
      <c r="B16" s="42" t="s">
        <v>29</v>
      </c>
      <c r="C16" s="99">
        <v>1.3814048800000023</v>
      </c>
      <c r="D16" s="99">
        <v>1.7866292399999992</v>
      </c>
      <c r="E16" s="99">
        <v>1.5753869800000024</v>
      </c>
      <c r="F16" s="99">
        <v>1.7767256200000061</v>
      </c>
      <c r="G16" s="99">
        <v>3.568454899999987</v>
      </c>
      <c r="H16" s="99">
        <v>2.6180760899999753</v>
      </c>
      <c r="I16" s="99">
        <v>1.8507770099999969</v>
      </c>
      <c r="J16" s="99">
        <v>2.3828421199999927</v>
      </c>
      <c r="K16" s="99">
        <v>2.2572428949661725</v>
      </c>
      <c r="L16" s="99">
        <v>1.8957111355691696</v>
      </c>
      <c r="M16" s="99">
        <v>1.9528138583904058</v>
      </c>
      <c r="N16" s="99">
        <v>1.9593381731746322</v>
      </c>
      <c r="O16" s="99">
        <v>2.1873554428222413</v>
      </c>
      <c r="P16" s="100">
        <f t="shared" si="8"/>
        <v>27.192758344922584</v>
      </c>
      <c r="R16" s="2">
        <v>31.62338336300003</v>
      </c>
      <c r="S16" s="24">
        <v>2023</v>
      </c>
    </row>
    <row r="17" spans="1:35">
      <c r="A17" s="1"/>
      <c r="B17" s="43">
        <v>2024</v>
      </c>
      <c r="C17" s="93">
        <v>0.83829930518718898</v>
      </c>
      <c r="D17" s="93">
        <v>0.97567189976272062</v>
      </c>
      <c r="E17" s="93">
        <v>0.97280693388564732</v>
      </c>
      <c r="F17" s="93">
        <v>0.98130299450083036</v>
      </c>
      <c r="G17" s="93">
        <v>0.98690085945182904</v>
      </c>
      <c r="H17" s="93">
        <v>0.98865968275490923</v>
      </c>
      <c r="I17" s="93">
        <v>0.98352573306930136</v>
      </c>
      <c r="J17" s="93">
        <v>0.96972150379875444</v>
      </c>
      <c r="K17" s="93">
        <v>0.96510300613514233</v>
      </c>
      <c r="L17" s="93">
        <v>0.9747820546826742</v>
      </c>
      <c r="M17" s="93">
        <v>0.97557858994513169</v>
      </c>
      <c r="N17" s="93">
        <v>0.96820848856078068</v>
      </c>
      <c r="O17" s="93">
        <v>0.97723560698365985</v>
      </c>
      <c r="P17" s="101">
        <f>AVERAGE(C17:O17)</f>
        <v>0.96598435836296681</v>
      </c>
      <c r="Q17" s="34"/>
      <c r="R17" s="6">
        <v>0.96514248061997554</v>
      </c>
      <c r="S17" s="24">
        <v>2024</v>
      </c>
      <c r="T17" s="8" t="e">
        <f>AVERAGE(W17:AI17)</f>
        <v>#DIV/0!</v>
      </c>
      <c r="U17" s="8">
        <f>MAX(W17:AI17)</f>
        <v>0</v>
      </c>
      <c r="V17" s="8">
        <f>MIN(W17:AI17)</f>
        <v>0</v>
      </c>
      <c r="W17" s="30"/>
      <c r="X17" s="5"/>
      <c r="Y17" s="30"/>
      <c r="Z17" s="5"/>
      <c r="AA17" s="30"/>
      <c r="AB17" s="5"/>
      <c r="AC17" s="30"/>
      <c r="AD17" s="5"/>
      <c r="AE17" s="30"/>
      <c r="AF17" s="5"/>
      <c r="AG17" s="30"/>
      <c r="AH17" s="5"/>
      <c r="AI17" s="30"/>
    </row>
    <row r="18" spans="1:35">
      <c r="A18" s="1"/>
      <c r="B18" s="43">
        <v>2025</v>
      </c>
      <c r="C18" s="94">
        <v>0.9673728746059238</v>
      </c>
      <c r="D18" s="94">
        <v>0.97521018102357404</v>
      </c>
      <c r="E18" s="94">
        <v>0.98071352910247356</v>
      </c>
      <c r="F18" s="94">
        <v>0.96829651075705292</v>
      </c>
      <c r="G18" s="94">
        <v>0.9624651139879602</v>
      </c>
      <c r="H18" s="94">
        <v>0.96798599591416112</v>
      </c>
      <c r="I18" s="94">
        <v>0.97108867790850539</v>
      </c>
      <c r="J18" s="94">
        <v>0.93533830719807598</v>
      </c>
      <c r="K18" s="45">
        <v>0.94386088960221126</v>
      </c>
      <c r="L18" s="45">
        <v>0.94599999999999995</v>
      </c>
      <c r="M18" s="45">
        <v>0.95</v>
      </c>
      <c r="N18" s="45">
        <f>M18+0.3%</f>
        <v>0.95299999999999996</v>
      </c>
      <c r="O18" s="45">
        <f>N18+0.3%</f>
        <v>0.95599999999999996</v>
      </c>
      <c r="P18" s="101">
        <f>AVERAGE(C18:O18)</f>
        <v>0.95979477539230273</v>
      </c>
      <c r="Q18" s="34"/>
      <c r="R18" s="6">
        <v>0.96844011567682742</v>
      </c>
      <c r="S18" s="24" t="s">
        <v>23</v>
      </c>
      <c r="T18" s="8">
        <f>AVERAGE(W18:AI18)</f>
        <v>0.96598435836296681</v>
      </c>
      <c r="U18" s="8">
        <f>MAX(C17:O17)</f>
        <v>0.98865968275490923</v>
      </c>
      <c r="V18" s="8">
        <f>MIN(C17:O17)</f>
        <v>0.83829930518718898</v>
      </c>
      <c r="W18" s="8">
        <f t="shared" ref="W18:AI18" si="17">C17-W17</f>
        <v>0.83829930518718898</v>
      </c>
      <c r="X18" s="8">
        <f t="shared" si="17"/>
        <v>0.97567189976272062</v>
      </c>
      <c r="Y18" s="8">
        <f t="shared" si="17"/>
        <v>0.97280693388564732</v>
      </c>
      <c r="Z18" s="8">
        <f t="shared" si="17"/>
        <v>0.98130299450083036</v>
      </c>
      <c r="AA18" s="8">
        <f t="shared" si="17"/>
        <v>0.98690085945182904</v>
      </c>
      <c r="AB18" s="8">
        <f t="shared" si="17"/>
        <v>0.98865968275490923</v>
      </c>
      <c r="AC18" s="8">
        <f t="shared" si="17"/>
        <v>0.98352573306930136</v>
      </c>
      <c r="AD18" s="8">
        <f t="shared" si="17"/>
        <v>0.96972150379875444</v>
      </c>
      <c r="AE18" s="8">
        <f t="shared" si="17"/>
        <v>0.96510300613514233</v>
      </c>
      <c r="AF18" s="8">
        <f t="shared" si="17"/>
        <v>0.9747820546826742</v>
      </c>
      <c r="AG18" s="8">
        <f t="shared" si="17"/>
        <v>0.97557858994513169</v>
      </c>
      <c r="AH18" s="8">
        <f t="shared" si="17"/>
        <v>0.96820848856078068</v>
      </c>
      <c r="AI18" s="8">
        <f t="shared" si="17"/>
        <v>0.97723560698365985</v>
      </c>
    </row>
    <row r="19" spans="1:35">
      <c r="A19" s="1"/>
      <c r="B19" s="46" t="s">
        <v>24</v>
      </c>
      <c r="C19" s="94">
        <f>C18-C17</f>
        <v>0.12907356941873482</v>
      </c>
      <c r="D19" s="94">
        <f t="shared" ref="D19:F19" si="18">D18-D17</f>
        <v>-4.6171873914657713E-4</v>
      </c>
      <c r="E19" s="94">
        <f t="shared" si="18"/>
        <v>7.9065952168262399E-3</v>
      </c>
      <c r="F19" s="94">
        <f t="shared" si="18"/>
        <v>-1.3006483743777442E-2</v>
      </c>
      <c r="G19" s="94">
        <f>G18-G17</f>
        <v>-2.4435745463868841E-2</v>
      </c>
      <c r="H19" s="94">
        <f t="shared" ref="H19:O19" si="19">H18-H17</f>
        <v>-2.0673686840748107E-2</v>
      </c>
      <c r="I19" s="94">
        <f t="shared" si="19"/>
        <v>-1.2437055160795962E-2</v>
      </c>
      <c r="J19" s="94">
        <f t="shared" si="19"/>
        <v>-3.4383196600678456E-2</v>
      </c>
      <c r="K19" s="94">
        <f t="shared" si="19"/>
        <v>-2.1242116532931066E-2</v>
      </c>
      <c r="L19" s="94">
        <f t="shared" si="19"/>
        <v>-2.8782054682674252E-2</v>
      </c>
      <c r="M19" s="94">
        <f t="shared" si="19"/>
        <v>-2.5578589945131736E-2</v>
      </c>
      <c r="N19" s="94">
        <f t="shared" si="19"/>
        <v>-1.520848856078072E-2</v>
      </c>
      <c r="O19" s="94">
        <f t="shared" si="19"/>
        <v>-2.1235606983659894E-2</v>
      </c>
      <c r="P19" s="101">
        <f>(AVERAGE(C18:O18)-AVERAGE(C17:O17))</f>
        <v>-6.1895829706640759E-3</v>
      </c>
      <c r="Q19" s="34"/>
      <c r="R19" s="9">
        <v>3.2976350568518775E-3</v>
      </c>
      <c r="S19" s="24" t="s">
        <v>25</v>
      </c>
      <c r="T19" s="8">
        <f>AVERAGE(W19:AI19)</f>
        <v>1.1578025149705906E-2</v>
      </c>
      <c r="U19" s="8">
        <f>MAX(C18:O18)</f>
        <v>0.98071352910247356</v>
      </c>
      <c r="V19" s="8">
        <f>MIN(C18:O18)</f>
        <v>0.93533830719807598</v>
      </c>
      <c r="X19" s="8">
        <f t="shared" ref="X19:AI19" si="20">D17-C17</f>
        <v>0.13737259457553164</v>
      </c>
      <c r="Y19" s="8">
        <f t="shared" si="20"/>
        <v>-2.8649658770733E-3</v>
      </c>
      <c r="Z19" s="8">
        <f t="shared" si="20"/>
        <v>8.4960606151830431E-3</v>
      </c>
      <c r="AA19" s="8">
        <f t="shared" si="20"/>
        <v>5.5978649509986766E-3</v>
      </c>
      <c r="AB19" s="8">
        <f t="shared" si="20"/>
        <v>1.7588233030801925E-3</v>
      </c>
      <c r="AC19" s="8">
        <f t="shared" si="20"/>
        <v>-5.1339496856078748E-3</v>
      </c>
      <c r="AD19" s="8">
        <f t="shared" si="20"/>
        <v>-1.3804229270546919E-2</v>
      </c>
      <c r="AE19" s="8">
        <f t="shared" si="20"/>
        <v>-4.6184976636121089E-3</v>
      </c>
      <c r="AF19" s="8">
        <f t="shared" si="20"/>
        <v>9.6790485475318766E-3</v>
      </c>
      <c r="AG19" s="8">
        <f t="shared" si="20"/>
        <v>7.9653526245748729E-4</v>
      </c>
      <c r="AH19" s="8">
        <f t="shared" si="20"/>
        <v>-7.3701013843510133E-3</v>
      </c>
      <c r="AI19" s="8">
        <f t="shared" si="20"/>
        <v>9.0271184228791768E-3</v>
      </c>
    </row>
    <row r="20" spans="1:35">
      <c r="A20" s="1"/>
      <c r="B20" s="43" t="s">
        <v>26</v>
      </c>
      <c r="C20" s="93">
        <f>C19/3%*1%</f>
        <v>4.3024523139578275E-2</v>
      </c>
      <c r="D20" s="93">
        <f t="shared" ref="D20:O20" si="21">D19/3%*1%</f>
        <v>-1.5390624638219239E-4</v>
      </c>
      <c r="E20" s="93">
        <f t="shared" si="21"/>
        <v>2.6355317389420803E-3</v>
      </c>
      <c r="F20" s="93">
        <f t="shared" si="21"/>
        <v>-4.3354945812591472E-3</v>
      </c>
      <c r="G20" s="93">
        <f t="shared" si="21"/>
        <v>-8.1452484879562803E-3</v>
      </c>
      <c r="H20" s="93">
        <f t="shared" si="21"/>
        <v>-6.8912289469160361E-3</v>
      </c>
      <c r="I20" s="93">
        <f t="shared" si="21"/>
        <v>-4.1456850535986547E-3</v>
      </c>
      <c r="J20" s="93">
        <f t="shared" si="21"/>
        <v>-1.1461065533559488E-2</v>
      </c>
      <c r="K20" s="93">
        <f t="shared" si="21"/>
        <v>-7.0807055109770225E-3</v>
      </c>
      <c r="L20" s="93">
        <f t="shared" si="21"/>
        <v>-9.5940182275580845E-3</v>
      </c>
      <c r="M20" s="93">
        <f t="shared" si="21"/>
        <v>-8.5261966483772458E-3</v>
      </c>
      <c r="N20" s="93">
        <f t="shared" si="21"/>
        <v>-5.0694961869269077E-3</v>
      </c>
      <c r="O20" s="93">
        <f t="shared" si="21"/>
        <v>-7.0785356612199646E-3</v>
      </c>
      <c r="P20" s="102">
        <f>P19/3%*1%</f>
        <v>-2.0631943235546921E-3</v>
      </c>
      <c r="Q20" s="34"/>
      <c r="R20" s="10">
        <v>1.0992116856172927E-3</v>
      </c>
      <c r="S20" s="25"/>
      <c r="T20" s="8" t="e">
        <f>(T17-C17)</f>
        <v>#DIV/0!</v>
      </c>
    </row>
    <row r="21" spans="1:35" ht="15" thickBot="1">
      <c r="A21" s="1"/>
      <c r="B21" s="49" t="s">
        <v>27</v>
      </c>
      <c r="C21" s="115">
        <f>C16*C20</f>
        <v>5.9434286224686446E-2</v>
      </c>
      <c r="D21" s="115">
        <f t="shared" ref="D21:O21" si="22">D16*D20</f>
        <v>-2.7497340000506902E-4</v>
      </c>
      <c r="E21" s="115">
        <f t="shared" si="22"/>
        <v>4.1519823869061185E-3</v>
      </c>
      <c r="F21" s="115">
        <f t="shared" si="22"/>
        <v>-7.7029842978943251E-3</v>
      </c>
      <c r="G21" s="115">
        <f t="shared" si="22"/>
        <v>-2.9065951878565074E-2</v>
      </c>
      <c r="H21" s="115">
        <f t="shared" si="22"/>
        <v>-1.8041761736636585E-2</v>
      </c>
      <c r="I21" s="115">
        <f t="shared" si="22"/>
        <v>-7.6727385879009954E-3</v>
      </c>
      <c r="J21" s="115">
        <f t="shared" si="22"/>
        <v>-2.7309909693445739E-2</v>
      </c>
      <c r="K21" s="115">
        <f t="shared" si="22"/>
        <v>-1.5982872206000705E-2</v>
      </c>
      <c r="L21" s="115">
        <f t="shared" si="22"/>
        <v>-1.8187487188835449E-2</v>
      </c>
      <c r="M21" s="115">
        <f t="shared" si="22"/>
        <v>-1.6650074974312916E-2</v>
      </c>
      <c r="N21" s="115">
        <f t="shared" si="22"/>
        <v>-9.9328573978091309E-3</v>
      </c>
      <c r="O21" s="115">
        <f t="shared" si="22"/>
        <v>-1.5483273505780822E-2</v>
      </c>
      <c r="P21" s="103">
        <f>SUM(C21:O21)</f>
        <v>-0.10271861625559425</v>
      </c>
      <c r="Q21" s="31"/>
      <c r="R21" s="11">
        <v>1.8434381018884796E-2</v>
      </c>
      <c r="S21" s="25"/>
    </row>
    <row r="22" spans="1:35">
      <c r="A22" s="1"/>
      <c r="B22" s="42" t="s">
        <v>30</v>
      </c>
      <c r="C22" s="99">
        <v>3.0671868599999752</v>
      </c>
      <c r="D22" s="99">
        <v>6.6882165499999209</v>
      </c>
      <c r="E22" s="99">
        <v>5.9431834599999132</v>
      </c>
      <c r="F22" s="99">
        <v>6.4687693800000297</v>
      </c>
      <c r="G22" s="99">
        <v>6.6810030899999795</v>
      </c>
      <c r="H22" s="99">
        <v>5.8462346000000478</v>
      </c>
      <c r="I22" s="99">
        <v>6.5953199699999079</v>
      </c>
      <c r="J22" s="99">
        <v>6.2013063799998989</v>
      </c>
      <c r="K22" s="99">
        <v>6.6373725977097902</v>
      </c>
      <c r="L22" s="99">
        <v>6.6416367765519384</v>
      </c>
      <c r="M22" s="99">
        <v>6.7104639843906968</v>
      </c>
      <c r="N22" s="99">
        <v>6.7184402804130823</v>
      </c>
      <c r="O22" s="99">
        <v>7.5124614304868347</v>
      </c>
      <c r="P22" s="100">
        <f>SUM(C22:O22)</f>
        <v>81.711595359552021</v>
      </c>
      <c r="R22" s="2">
        <v>79.287300598949045</v>
      </c>
      <c r="S22" s="26"/>
      <c r="T22" s="12"/>
      <c r="U22" s="12"/>
      <c r="V22" s="12"/>
      <c r="W22" s="12"/>
      <c r="X22" s="12"/>
      <c r="Y22" s="12"/>
      <c r="Z22" s="12"/>
      <c r="AA22" s="12"/>
      <c r="AB22" s="13"/>
      <c r="AC22" s="13"/>
      <c r="AD22" s="13"/>
      <c r="AE22" s="13"/>
      <c r="AF22" s="13"/>
      <c r="AG22" s="14"/>
      <c r="AH22" s="14"/>
      <c r="AI22" s="14"/>
    </row>
    <row r="23" spans="1:35">
      <c r="A23" s="1"/>
      <c r="B23" s="43">
        <v>2024</v>
      </c>
      <c r="C23" s="93">
        <v>0.90579048099834247</v>
      </c>
      <c r="D23" s="93">
        <v>0.92405849801570039</v>
      </c>
      <c r="E23" s="93">
        <v>0.93589689953772115</v>
      </c>
      <c r="F23" s="93">
        <v>0.88398419389498228</v>
      </c>
      <c r="G23" s="93">
        <v>0.92256559718981801</v>
      </c>
      <c r="H23" s="93">
        <v>0.95284866147601521</v>
      </c>
      <c r="I23" s="93">
        <v>0.9012344877574554</v>
      </c>
      <c r="J23" s="93">
        <v>0.94694244034189501</v>
      </c>
      <c r="K23" s="93">
        <v>0.95869474432877488</v>
      </c>
      <c r="L23" s="93">
        <v>0.95920748343827922</v>
      </c>
      <c r="M23" s="93">
        <v>0.96241143919133498</v>
      </c>
      <c r="N23" s="93">
        <v>0.97881124358043514</v>
      </c>
      <c r="O23" s="93">
        <v>0.98357404900499346</v>
      </c>
      <c r="P23" s="101">
        <f t="shared" ref="P23:P24" si="23">AVERAGE(C23:O23)</f>
        <v>0.93969386298121127</v>
      </c>
      <c r="R23" s="6">
        <v>0.93608487484086722</v>
      </c>
      <c r="S23" s="24">
        <v>2024</v>
      </c>
      <c r="T23" s="8" t="e">
        <f>AVERAGE(W23:AI23)</f>
        <v>#DIV/0!</v>
      </c>
      <c r="U23" s="8">
        <f>MAX(W23:AI23)</f>
        <v>0</v>
      </c>
      <c r="V23" s="8">
        <f>MIN(W23:AI23)</f>
        <v>0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:35">
      <c r="A24" s="1"/>
      <c r="B24" s="43">
        <v>2025</v>
      </c>
      <c r="C24" s="94">
        <v>0.94513999581852648</v>
      </c>
      <c r="D24" s="94">
        <v>0.96550199967563144</v>
      </c>
      <c r="E24" s="94">
        <v>0.97521144401466664</v>
      </c>
      <c r="F24" s="94">
        <v>0.99320983225405346</v>
      </c>
      <c r="G24" s="94">
        <v>0.97895626385460111</v>
      </c>
      <c r="H24" s="94">
        <v>0.94698976337510488</v>
      </c>
      <c r="I24" s="94">
        <v>0.97433669940789325</v>
      </c>
      <c r="J24" s="94">
        <v>0.98224387253271173</v>
      </c>
      <c r="K24" s="45">
        <v>0.9778896006261778</v>
      </c>
      <c r="L24" s="45">
        <v>0.97</v>
      </c>
      <c r="M24" s="45">
        <v>0.97</v>
      </c>
      <c r="N24" s="45">
        <v>0.97</v>
      </c>
      <c r="O24" s="45">
        <v>0.97</v>
      </c>
      <c r="P24" s="101">
        <f t="shared" si="23"/>
        <v>0.97072919011995151</v>
      </c>
      <c r="R24" s="6">
        <v>0.94045773472390204</v>
      </c>
      <c r="S24" s="24" t="s">
        <v>23</v>
      </c>
      <c r="T24" s="8">
        <f>AVERAGE(W24:AI24)</f>
        <v>0.93969386298121127</v>
      </c>
      <c r="U24" s="8">
        <f>MAX(C23:O23)</f>
        <v>0.98357404900499346</v>
      </c>
      <c r="V24" s="8">
        <f>MIN(C23:O23)</f>
        <v>0.88398419389498228</v>
      </c>
      <c r="W24" s="8">
        <f t="shared" ref="W24:AI24" si="24">C23-W23</f>
        <v>0.90579048099834247</v>
      </c>
      <c r="X24" s="8">
        <f t="shared" si="24"/>
        <v>0.92405849801570039</v>
      </c>
      <c r="Y24" s="8">
        <f t="shared" si="24"/>
        <v>0.93589689953772115</v>
      </c>
      <c r="Z24" s="8">
        <f t="shared" si="24"/>
        <v>0.88398419389498228</v>
      </c>
      <c r="AA24" s="8">
        <f t="shared" si="24"/>
        <v>0.92256559718981801</v>
      </c>
      <c r="AB24" s="8">
        <f t="shared" si="24"/>
        <v>0.95284866147601521</v>
      </c>
      <c r="AC24" s="8">
        <f t="shared" si="24"/>
        <v>0.9012344877574554</v>
      </c>
      <c r="AD24" s="8">
        <f t="shared" si="24"/>
        <v>0.94694244034189501</v>
      </c>
      <c r="AE24" s="8">
        <f t="shared" si="24"/>
        <v>0.95869474432877488</v>
      </c>
      <c r="AF24" s="8">
        <f t="shared" si="24"/>
        <v>0.95920748343827922</v>
      </c>
      <c r="AG24" s="8">
        <f t="shared" si="24"/>
        <v>0.96241143919133498</v>
      </c>
      <c r="AH24" s="8">
        <f t="shared" si="24"/>
        <v>0.97881124358043514</v>
      </c>
      <c r="AI24" s="8">
        <f t="shared" si="24"/>
        <v>0.98357404900499346</v>
      </c>
    </row>
    <row r="25" spans="1:35">
      <c r="A25" s="1"/>
      <c r="B25" s="46" t="s">
        <v>24</v>
      </c>
      <c r="C25" s="94">
        <f t="shared" ref="C25:O25" si="25">C24-C23</f>
        <v>3.9349514820184006E-2</v>
      </c>
      <c r="D25" s="94">
        <f t="shared" si="25"/>
        <v>4.1443501659931048E-2</v>
      </c>
      <c r="E25" s="94">
        <f t="shared" si="25"/>
        <v>3.931454447694549E-2</v>
      </c>
      <c r="F25" s="94">
        <f t="shared" si="25"/>
        <v>0.10922563835907118</v>
      </c>
      <c r="G25" s="94">
        <f t="shared" si="25"/>
        <v>5.6390666664783096E-2</v>
      </c>
      <c r="H25" s="94">
        <f t="shared" si="25"/>
        <v>-5.8588981009103369E-3</v>
      </c>
      <c r="I25" s="94">
        <f t="shared" si="25"/>
        <v>7.3102211650437843E-2</v>
      </c>
      <c r="J25" s="94">
        <f t="shared" si="25"/>
        <v>3.5301432190816717E-2</v>
      </c>
      <c r="K25" s="94">
        <f t="shared" si="25"/>
        <v>1.9194856297402918E-2</v>
      </c>
      <c r="L25" s="94">
        <f t="shared" si="25"/>
        <v>1.0792516561720755E-2</v>
      </c>
      <c r="M25" s="94">
        <f t="shared" si="25"/>
        <v>7.5885608086649903E-3</v>
      </c>
      <c r="N25" s="94">
        <f t="shared" si="25"/>
        <v>-8.8112435804351685E-3</v>
      </c>
      <c r="O25" s="94">
        <f t="shared" si="25"/>
        <v>-1.3574049004993483E-2</v>
      </c>
      <c r="P25" s="101">
        <f>(AVERAGE(C24:O24)-AVERAGE(C23:O23))</f>
        <v>3.1035327138740243E-2</v>
      </c>
      <c r="R25" s="9">
        <v>4.3728598830348187E-3</v>
      </c>
      <c r="S25" s="24" t="s">
        <v>25</v>
      </c>
      <c r="T25" s="8">
        <f>AVERAGE(W25:AI25)</f>
        <v>6.4819640005542483E-3</v>
      </c>
      <c r="U25" s="8">
        <f>MAX(C24:O24)</f>
        <v>0.99320983225405346</v>
      </c>
      <c r="V25" s="8">
        <f>MIN(C24:O24)</f>
        <v>0.94513999581852648</v>
      </c>
      <c r="X25" s="8">
        <f t="shared" ref="X25:AI25" si="26">D23-C23</f>
        <v>1.8268017017357918E-2</v>
      </c>
      <c r="Y25" s="8">
        <f t="shared" si="26"/>
        <v>1.1838401522020758E-2</v>
      </c>
      <c r="Z25" s="8">
        <f t="shared" si="26"/>
        <v>-5.1912705642738866E-2</v>
      </c>
      <c r="AA25" s="8">
        <f t="shared" si="26"/>
        <v>3.8581403294835726E-2</v>
      </c>
      <c r="AB25" s="8">
        <f t="shared" si="26"/>
        <v>3.0283064286197203E-2</v>
      </c>
      <c r="AC25" s="8">
        <f t="shared" si="26"/>
        <v>-5.1614173718559808E-2</v>
      </c>
      <c r="AD25" s="8">
        <f t="shared" si="26"/>
        <v>4.5707952584439604E-2</v>
      </c>
      <c r="AE25" s="8">
        <f t="shared" si="26"/>
        <v>1.1752303986879875E-2</v>
      </c>
      <c r="AF25" s="8">
        <f t="shared" si="26"/>
        <v>5.1273910950433432E-4</v>
      </c>
      <c r="AG25" s="8">
        <f t="shared" si="26"/>
        <v>3.203955753055765E-3</v>
      </c>
      <c r="AH25" s="8">
        <f t="shared" si="26"/>
        <v>1.6399804389100159E-2</v>
      </c>
      <c r="AI25" s="8">
        <f t="shared" si="26"/>
        <v>4.762805424558314E-3</v>
      </c>
    </row>
    <row r="26" spans="1:35">
      <c r="A26" s="1"/>
      <c r="B26" s="43" t="s">
        <v>26</v>
      </c>
      <c r="C26" s="93">
        <f>C25/3%*1%</f>
        <v>1.3116504940061335E-2</v>
      </c>
      <c r="D26" s="93">
        <f t="shared" ref="D26:O26" si="27">D25/3%*1%</f>
        <v>1.3814500553310349E-2</v>
      </c>
      <c r="E26" s="93">
        <f t="shared" si="27"/>
        <v>1.310484815898183E-2</v>
      </c>
      <c r="F26" s="93">
        <f t="shared" si="27"/>
        <v>3.6408546119690396E-2</v>
      </c>
      <c r="G26" s="93">
        <f t="shared" si="27"/>
        <v>1.8796888888261032E-2</v>
      </c>
      <c r="H26" s="93">
        <f t="shared" si="27"/>
        <v>-1.9529660336367791E-3</v>
      </c>
      <c r="I26" s="93">
        <f t="shared" si="27"/>
        <v>2.4367403883479286E-2</v>
      </c>
      <c r="J26" s="93">
        <f t="shared" si="27"/>
        <v>1.1767144063605572E-2</v>
      </c>
      <c r="K26" s="93">
        <f t="shared" si="27"/>
        <v>6.3982854324676399E-3</v>
      </c>
      <c r="L26" s="93">
        <f t="shared" si="27"/>
        <v>3.5975055205735851E-3</v>
      </c>
      <c r="M26" s="93">
        <f t="shared" si="27"/>
        <v>2.5295202695549968E-3</v>
      </c>
      <c r="N26" s="93">
        <f t="shared" si="27"/>
        <v>-2.9370811934783898E-3</v>
      </c>
      <c r="O26" s="93">
        <f t="shared" si="27"/>
        <v>-4.5246830016644948E-3</v>
      </c>
      <c r="P26" s="102">
        <f>P25/3%*1%</f>
        <v>1.0345109046246748E-2</v>
      </c>
      <c r="R26" s="10">
        <v>1.4576199610116065E-3</v>
      </c>
      <c r="S26" s="25"/>
      <c r="T26" s="8" t="e">
        <f>(T23-C23)</f>
        <v>#DIV/0!</v>
      </c>
    </row>
    <row r="27" spans="1:35" ht="15" thickBot="1">
      <c r="A27" s="1"/>
      <c r="B27" s="49" t="s">
        <v>27</v>
      </c>
      <c r="C27" s="115">
        <f t="shared" ref="C27:O27" si="28">C9*C26</f>
        <v>2.7918029646720875E-2</v>
      </c>
      <c r="D27" s="115">
        <f t="shared" si="28"/>
        <v>4.4626947440544594E-2</v>
      </c>
      <c r="E27" s="115">
        <f t="shared" si="28"/>
        <v>1.7794038504024737E-2</v>
      </c>
      <c r="F27" s="115">
        <f t="shared" si="28"/>
        <v>6.0404548196307153E-2</v>
      </c>
      <c r="G27" s="115">
        <f t="shared" si="28"/>
        <v>2.320631843638471E-2</v>
      </c>
      <c r="H27" s="115">
        <f t="shared" si="28"/>
        <v>-1.7477416895876866E-3</v>
      </c>
      <c r="I27" s="115">
        <f t="shared" si="28"/>
        <v>2.3825690957053277E-2</v>
      </c>
      <c r="J27" s="115">
        <f t="shared" si="28"/>
        <v>9.5479260620644976E-3</v>
      </c>
      <c r="K27" s="115">
        <f t="shared" si="28"/>
        <v>5.3417274340385899E-3</v>
      </c>
      <c r="L27" s="115">
        <f t="shared" si="28"/>
        <v>3.9924344838921403E-3</v>
      </c>
      <c r="M27" s="115">
        <f t="shared" si="28"/>
        <v>4.0683849216301407E-3</v>
      </c>
      <c r="N27" s="115">
        <f t="shared" si="28"/>
        <v>-3.3801029981798082E-3</v>
      </c>
      <c r="O27" s="115">
        <f t="shared" si="28"/>
        <v>-3.9935931766050909E-3</v>
      </c>
      <c r="P27" s="103">
        <f>SUM(C27:O27)</f>
        <v>0.21160460821828814</v>
      </c>
      <c r="Q27" s="31"/>
      <c r="R27" s="11">
        <v>-4.2808380058643822E-3</v>
      </c>
      <c r="S27" s="25"/>
    </row>
    <row r="28" spans="1:35">
      <c r="A28" s="1"/>
      <c r="B28" s="42" t="s">
        <v>31</v>
      </c>
      <c r="C28" s="99">
        <v>28.152116209999932</v>
      </c>
      <c r="D28" s="99">
        <v>40.593275259998194</v>
      </c>
      <c r="E28" s="99">
        <v>35.553420209999459</v>
      </c>
      <c r="F28" s="99">
        <v>38.485339869999912</v>
      </c>
      <c r="G28" s="99">
        <v>35.576696390000961</v>
      </c>
      <c r="H28" s="99">
        <v>40.099241929997532</v>
      </c>
      <c r="I28" s="99">
        <v>34.664287420000704</v>
      </c>
      <c r="J28" s="99">
        <v>43.674807939997734</v>
      </c>
      <c r="K28" s="99">
        <v>37.504592853163658</v>
      </c>
      <c r="L28" s="99">
        <v>40.369103624009533</v>
      </c>
      <c r="M28" s="99">
        <v>40.625632888274133</v>
      </c>
      <c r="N28" s="99">
        <v>39.761950089382495</v>
      </c>
      <c r="O28" s="99">
        <v>45.396405530444689</v>
      </c>
      <c r="P28" s="100">
        <f>SUM(C28:O28)</f>
        <v>500.45687021526891</v>
      </c>
      <c r="R28" s="2">
        <v>384.76255112458927</v>
      </c>
      <c r="S28" s="26"/>
      <c r="T28" s="12"/>
      <c r="U28" s="12"/>
      <c r="V28" s="12"/>
      <c r="W28" s="12"/>
      <c r="X28" s="12"/>
      <c r="Y28" s="12"/>
      <c r="Z28" s="12"/>
      <c r="AA28" s="12"/>
      <c r="AB28" s="13"/>
      <c r="AC28" s="13"/>
      <c r="AD28" s="13"/>
      <c r="AE28" s="13"/>
      <c r="AF28" s="13"/>
      <c r="AG28" s="14"/>
      <c r="AH28" s="14"/>
      <c r="AI28" s="14"/>
    </row>
    <row r="29" spans="1:35">
      <c r="A29" s="1"/>
      <c r="B29" s="43">
        <v>2024</v>
      </c>
      <c r="C29" s="93">
        <v>0.94344350561182666</v>
      </c>
      <c r="D29" s="93">
        <v>0.97482988046720132</v>
      </c>
      <c r="E29" s="93">
        <v>0.97688137200346548</v>
      </c>
      <c r="F29" s="93">
        <v>0.97306607537741852</v>
      </c>
      <c r="G29" s="93">
        <v>0.97203305542190388</v>
      </c>
      <c r="H29" s="93">
        <v>0.95275388225063007</v>
      </c>
      <c r="I29" s="93">
        <v>0.98555059500367936</v>
      </c>
      <c r="J29" s="93">
        <v>0.98466127034478801</v>
      </c>
      <c r="K29" s="93">
        <v>0.98076364014644779</v>
      </c>
      <c r="L29" s="93">
        <v>0.95817695876436382</v>
      </c>
      <c r="M29" s="93">
        <v>0.95063558839996343</v>
      </c>
      <c r="N29" s="93">
        <v>0.98970943590706628</v>
      </c>
      <c r="O29" s="93">
        <v>0.99030036382112396</v>
      </c>
      <c r="P29" s="101">
        <f>AVERAGE(C29:O29)</f>
        <v>0.97175427873229836</v>
      </c>
      <c r="Q29" s="16"/>
      <c r="R29" s="6">
        <v>0.97405289381367821</v>
      </c>
      <c r="S29" s="24">
        <v>2024</v>
      </c>
      <c r="T29" s="8" t="e">
        <f>AVERAGE(W29:AI29)</f>
        <v>#DIV/0!</v>
      </c>
      <c r="U29" s="8">
        <f>MAX(W29:AI29)</f>
        <v>0</v>
      </c>
      <c r="V29" s="8">
        <f>MIN(W29:AI29)</f>
        <v>0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:35">
      <c r="A30" s="1"/>
      <c r="B30" s="43">
        <v>2025</v>
      </c>
      <c r="C30" s="94">
        <v>0.9740695999137845</v>
      </c>
      <c r="D30" s="94">
        <v>0.98634344587469225</v>
      </c>
      <c r="E30" s="94">
        <v>0.98313423729947569</v>
      </c>
      <c r="F30" s="94">
        <v>0.9926077548784078</v>
      </c>
      <c r="G30" s="94">
        <v>0.99382309693184068</v>
      </c>
      <c r="H30" s="94">
        <v>0.97910478950937274</v>
      </c>
      <c r="I30" s="94">
        <v>0.98975589505435591</v>
      </c>
      <c r="J30" s="94">
        <v>0.99151619891346499</v>
      </c>
      <c r="K30" s="45">
        <v>0.99564891984824677</v>
      </c>
      <c r="L30" s="45">
        <v>0.98499999999999999</v>
      </c>
      <c r="M30" s="45">
        <v>0.98499999999999999</v>
      </c>
      <c r="N30" s="45">
        <v>0.98499999999999999</v>
      </c>
      <c r="O30" s="45">
        <v>0.98499999999999999</v>
      </c>
      <c r="P30" s="101">
        <f>AVERAGE(C30:O30)</f>
        <v>0.98661568755566453</v>
      </c>
      <c r="R30" s="6">
        <v>0.97405289381367821</v>
      </c>
      <c r="S30" s="24" t="s">
        <v>23</v>
      </c>
      <c r="T30" s="8">
        <f>AVERAGE(W30:AI30)</f>
        <v>0.97175427873229836</v>
      </c>
      <c r="U30" s="8">
        <f>MAX(C29:O29)</f>
        <v>0.99030036382112396</v>
      </c>
      <c r="V30" s="8">
        <f>MIN(C29:O29)</f>
        <v>0.94344350561182666</v>
      </c>
      <c r="W30" s="8">
        <f t="shared" ref="W30:AI30" si="29">C29-W29</f>
        <v>0.94344350561182666</v>
      </c>
      <c r="X30" s="8">
        <f t="shared" si="29"/>
        <v>0.97482988046720132</v>
      </c>
      <c r="Y30" s="8">
        <f t="shared" si="29"/>
        <v>0.97688137200346548</v>
      </c>
      <c r="Z30" s="8">
        <f t="shared" si="29"/>
        <v>0.97306607537741852</v>
      </c>
      <c r="AA30" s="8">
        <f t="shared" si="29"/>
        <v>0.97203305542190388</v>
      </c>
      <c r="AB30" s="8">
        <f t="shared" si="29"/>
        <v>0.95275388225063007</v>
      </c>
      <c r="AC30" s="8">
        <f t="shared" si="29"/>
        <v>0.98555059500367936</v>
      </c>
      <c r="AD30" s="8">
        <f t="shared" si="29"/>
        <v>0.98466127034478801</v>
      </c>
      <c r="AE30" s="8">
        <f t="shared" si="29"/>
        <v>0.98076364014644779</v>
      </c>
      <c r="AF30" s="8">
        <f t="shared" si="29"/>
        <v>0.95817695876436382</v>
      </c>
      <c r="AG30" s="8">
        <f t="shared" si="29"/>
        <v>0.95063558839996343</v>
      </c>
      <c r="AH30" s="8">
        <f t="shared" si="29"/>
        <v>0.98970943590706628</v>
      </c>
      <c r="AI30" s="8">
        <f t="shared" si="29"/>
        <v>0.99030036382112396</v>
      </c>
    </row>
    <row r="31" spans="1:35">
      <c r="A31" s="1"/>
      <c r="B31" s="46" t="s">
        <v>24</v>
      </c>
      <c r="C31" s="94">
        <f>C30-C29</f>
        <v>3.062609430195784E-2</v>
      </c>
      <c r="D31" s="94">
        <f t="shared" ref="D31:F31" si="30">D30-D29</f>
        <v>1.1513565407490933E-2</v>
      </c>
      <c r="E31" s="94">
        <f t="shared" si="30"/>
        <v>6.2528652960102127E-3</v>
      </c>
      <c r="F31" s="94">
        <f t="shared" si="30"/>
        <v>1.9541679500989284E-2</v>
      </c>
      <c r="G31" s="94">
        <f>G30-G29</f>
        <v>2.1790041509936797E-2</v>
      </c>
      <c r="H31" s="94">
        <f t="shared" ref="H31:O31" si="31">H30-H29</f>
        <v>2.6350907258742673E-2</v>
      </c>
      <c r="I31" s="94">
        <f t="shared" si="31"/>
        <v>4.2053000506765414E-3</v>
      </c>
      <c r="J31" s="94">
        <f t="shared" si="31"/>
        <v>6.8549285686769768E-3</v>
      </c>
      <c r="K31" s="94">
        <f t="shared" si="31"/>
        <v>1.4885279701798981E-2</v>
      </c>
      <c r="L31" s="94">
        <f t="shared" si="31"/>
        <v>2.6823041235636169E-2</v>
      </c>
      <c r="M31" s="94">
        <f t="shared" si="31"/>
        <v>3.436441160003656E-2</v>
      </c>
      <c r="N31" s="94">
        <f t="shared" si="31"/>
        <v>-4.709435907066295E-3</v>
      </c>
      <c r="O31" s="94">
        <f t="shared" si="31"/>
        <v>-5.3003638211239767E-3</v>
      </c>
      <c r="P31" s="101">
        <f>(AVERAGE(C30:O30)-AVERAGE(C29:O29))</f>
        <v>1.4861408823366173E-2</v>
      </c>
      <c r="R31" s="9">
        <v>0</v>
      </c>
      <c r="S31" s="24" t="s">
        <v>25</v>
      </c>
      <c r="T31" s="8">
        <f>AVERAGE(W31:AI31)</f>
        <v>3.9047381841081086E-3</v>
      </c>
      <c r="U31" s="8">
        <f>MAX(C30:O30)</f>
        <v>0.99564891984824677</v>
      </c>
      <c r="V31" s="8">
        <f>MIN(C30:O30)</f>
        <v>0.9740695999137845</v>
      </c>
      <c r="X31" s="8">
        <f t="shared" ref="X31:AI31" si="32">D29-C29</f>
        <v>3.1386374855374655E-2</v>
      </c>
      <c r="Y31" s="8">
        <f t="shared" si="32"/>
        <v>2.0514915362641606E-3</v>
      </c>
      <c r="Z31" s="8">
        <f t="shared" si="32"/>
        <v>-3.8152966260469601E-3</v>
      </c>
      <c r="AA31" s="8">
        <f t="shared" si="32"/>
        <v>-1.0330199555146358E-3</v>
      </c>
      <c r="AB31" s="8">
        <f t="shared" si="32"/>
        <v>-1.9279173171273811E-2</v>
      </c>
      <c r="AC31" s="8">
        <f t="shared" si="32"/>
        <v>3.2796712753049295E-2</v>
      </c>
      <c r="AD31" s="8">
        <f t="shared" si="32"/>
        <v>-8.8932465889135504E-4</v>
      </c>
      <c r="AE31" s="8">
        <f t="shared" si="32"/>
        <v>-3.8976301983402184E-3</v>
      </c>
      <c r="AF31" s="8">
        <f t="shared" si="32"/>
        <v>-2.2586681382083973E-2</v>
      </c>
      <c r="AG31" s="8">
        <f t="shared" si="32"/>
        <v>-7.5413703644003904E-3</v>
      </c>
      <c r="AH31" s="8">
        <f t="shared" si="32"/>
        <v>3.9073847507102855E-2</v>
      </c>
      <c r="AI31" s="8">
        <f t="shared" si="32"/>
        <v>5.9092791405768175E-4</v>
      </c>
    </row>
    <row r="32" spans="1:35">
      <c r="A32" s="1"/>
      <c r="B32" s="43" t="s">
        <v>26</v>
      </c>
      <c r="C32" s="93">
        <f>C31/3%*1%</f>
        <v>1.0208698100652613E-2</v>
      </c>
      <c r="D32" s="93">
        <f t="shared" ref="D32:O32" si="33">D31/3%*1%</f>
        <v>3.8378551358303117E-3</v>
      </c>
      <c r="E32" s="93">
        <f t="shared" si="33"/>
        <v>2.0842884320034045E-3</v>
      </c>
      <c r="F32" s="93">
        <f t="shared" si="33"/>
        <v>6.5138931669964286E-3</v>
      </c>
      <c r="G32" s="93">
        <f t="shared" si="33"/>
        <v>7.2633471699789336E-3</v>
      </c>
      <c r="H32" s="93">
        <f t="shared" si="33"/>
        <v>8.7836357529142255E-3</v>
      </c>
      <c r="I32" s="93">
        <f t="shared" si="33"/>
        <v>1.4017666835588471E-3</v>
      </c>
      <c r="J32" s="93">
        <f t="shared" si="33"/>
        <v>2.2849761895589924E-3</v>
      </c>
      <c r="K32" s="93">
        <f t="shared" si="33"/>
        <v>4.9617599005996604E-3</v>
      </c>
      <c r="L32" s="93">
        <f t="shared" si="33"/>
        <v>8.9410137452120564E-3</v>
      </c>
      <c r="M32" s="93">
        <f t="shared" si="33"/>
        <v>1.1454803866678853E-2</v>
      </c>
      <c r="N32" s="93">
        <f t="shared" si="33"/>
        <v>-1.5698119690220986E-3</v>
      </c>
      <c r="O32" s="93">
        <f t="shared" si="33"/>
        <v>-1.7667879403746589E-3</v>
      </c>
      <c r="P32" s="102">
        <f>P31/3%*1%</f>
        <v>4.9538029411220581E-3</v>
      </c>
      <c r="R32" s="10">
        <v>0</v>
      </c>
      <c r="S32" s="25"/>
      <c r="T32" s="8" t="e">
        <f>(T29-C29)</f>
        <v>#DIV/0!</v>
      </c>
    </row>
    <row r="33" spans="1:35" ht="15" thickBot="1">
      <c r="A33" s="1"/>
      <c r="B33" s="49" t="s">
        <v>27</v>
      </c>
      <c r="C33" s="115">
        <f>C28*C32</f>
        <v>0.28739645528237795</v>
      </c>
      <c r="D33" s="115">
        <f t="shared" ref="D33:O33" si="34">D28*D32</f>
        <v>0.1557911099367576</v>
      </c>
      <c r="E33" s="115">
        <f t="shared" si="34"/>
        <v>7.4103582461857928E-2</v>
      </c>
      <c r="F33" s="115">
        <f t="shared" si="34"/>
        <v>0.25068939240872767</v>
      </c>
      <c r="G33" s="115">
        <f t="shared" si="34"/>
        <v>0.25840589704151323</v>
      </c>
      <c r="H33" s="115">
        <f t="shared" si="34"/>
        <v>0.35221713508108354</v>
      </c>
      <c r="I33" s="115">
        <f t="shared" si="34"/>
        <v>4.8591243214665056E-2</v>
      </c>
      <c r="J33" s="115">
        <f t="shared" si="34"/>
        <v>9.9795896226456848E-2</v>
      </c>
      <c r="K33" s="115">
        <f t="shared" si="34"/>
        <v>0.18608878490714403</v>
      </c>
      <c r="L33" s="115">
        <f t="shared" si="34"/>
        <v>0.36094071038415909</v>
      </c>
      <c r="M33" s="115">
        <f t="shared" si="34"/>
        <v>0.46535865669487814</v>
      </c>
      <c r="N33" s="115">
        <f t="shared" si="34"/>
        <v>-6.2418785161971947E-2</v>
      </c>
      <c r="O33" s="115">
        <f t="shared" si="34"/>
        <v>-8.0205821827547152E-2</v>
      </c>
      <c r="P33" s="103">
        <f>SUM(C33:O33)</f>
        <v>2.3967542566501021</v>
      </c>
      <c r="Q33" s="31"/>
      <c r="R33" s="11">
        <v>0</v>
      </c>
      <c r="S33" s="25"/>
    </row>
    <row r="34" spans="1:35">
      <c r="A34" s="1"/>
      <c r="B34" s="42" t="s">
        <v>32</v>
      </c>
      <c r="C34" s="99">
        <v>5.1921363652499597</v>
      </c>
      <c r="D34" s="99">
        <v>7.0224973562499375</v>
      </c>
      <c r="E34" s="99">
        <v>8.5814063207498066</v>
      </c>
      <c r="F34" s="99">
        <v>7.0338700969999373</v>
      </c>
      <c r="G34" s="99">
        <v>7.3692732599998232</v>
      </c>
      <c r="H34" s="99">
        <v>7.5993041099998235</v>
      </c>
      <c r="I34" s="99">
        <v>6.6769083499998976</v>
      </c>
      <c r="J34" s="99">
        <v>6.5586849499998481</v>
      </c>
      <c r="K34" s="99">
        <v>7.0230653494586885</v>
      </c>
      <c r="L34" s="99">
        <v>7.6242153049290806</v>
      </c>
      <c r="M34" s="99">
        <v>7.780728909042983</v>
      </c>
      <c r="N34" s="99">
        <v>7.927269982789964</v>
      </c>
      <c r="O34" s="99">
        <v>8.556615429086154</v>
      </c>
      <c r="P34" s="100">
        <f>SUM(C34:O34)</f>
        <v>94.945975784555898</v>
      </c>
      <c r="R34" s="2">
        <v>83.439636028756254</v>
      </c>
      <c r="S34" s="25"/>
    </row>
    <row r="35" spans="1:35">
      <c r="A35" s="1"/>
      <c r="B35" s="43">
        <v>2024</v>
      </c>
      <c r="C35" s="93">
        <v>0.67454586535644512</v>
      </c>
      <c r="D35" s="93">
        <v>0.63391956436766717</v>
      </c>
      <c r="E35" s="93">
        <v>0.69592255280751925</v>
      </c>
      <c r="F35" s="93">
        <v>0.7708287191077382</v>
      </c>
      <c r="G35" s="93">
        <v>0.85744081501257874</v>
      </c>
      <c r="H35" s="93">
        <v>0.90244940497359805</v>
      </c>
      <c r="I35" s="93">
        <v>0.85450659979125354</v>
      </c>
      <c r="J35" s="93">
        <v>0.84806870783852095</v>
      </c>
      <c r="K35" s="93">
        <v>0.83879730049390555</v>
      </c>
      <c r="L35" s="93">
        <v>0.8579601527188716</v>
      </c>
      <c r="M35" s="93">
        <v>0.84410156808273917</v>
      </c>
      <c r="N35" s="93">
        <v>0.8335818691102822</v>
      </c>
      <c r="O35" s="93">
        <v>0.85318342443417949</v>
      </c>
      <c r="P35" s="101">
        <f>AVERAGE(C35:O35)</f>
        <v>0.80502358031502308</v>
      </c>
      <c r="R35" s="6">
        <v>0.80670786645405435</v>
      </c>
      <c r="S35" s="24">
        <v>2024</v>
      </c>
      <c r="T35" s="8" t="e">
        <f>AVERAGE(W35:AI35)</f>
        <v>#DIV/0!</v>
      </c>
      <c r="U35" s="8">
        <f>MAX(W35:AI35)</f>
        <v>0</v>
      </c>
      <c r="V35" s="8">
        <f>MIN(W35:AI35)</f>
        <v>0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1:35">
      <c r="A36" s="1"/>
      <c r="B36" s="43">
        <v>2025</v>
      </c>
      <c r="C36" s="94">
        <v>0.86996254928874961</v>
      </c>
      <c r="D36" s="94">
        <v>0.89374870668586381</v>
      </c>
      <c r="E36" s="94">
        <v>0.87842734069851114</v>
      </c>
      <c r="F36" s="94">
        <v>0.92795792235981356</v>
      </c>
      <c r="G36" s="94">
        <v>0.95050578249153261</v>
      </c>
      <c r="H36" s="94">
        <v>0.94758159445609325</v>
      </c>
      <c r="I36" s="94">
        <v>0.9474525707319752</v>
      </c>
      <c r="J36" s="94">
        <v>0.96047774336977432</v>
      </c>
      <c r="K36" s="45">
        <v>0.94275334620137863</v>
      </c>
      <c r="L36" s="45">
        <v>0.94</v>
      </c>
      <c r="M36" s="45">
        <v>0.94</v>
      </c>
      <c r="N36" s="45">
        <v>0.94</v>
      </c>
      <c r="O36" s="45">
        <v>0.94</v>
      </c>
      <c r="P36" s="101">
        <f>AVERAGE(C36:O36)</f>
        <v>0.92914365817566857</v>
      </c>
      <c r="R36" s="6">
        <v>0.84999999999999976</v>
      </c>
      <c r="S36" s="24" t="s">
        <v>23</v>
      </c>
      <c r="T36" s="8">
        <f>AVERAGE(W36:AI36)</f>
        <v>0.80502358031502308</v>
      </c>
      <c r="U36" s="8">
        <f>MAX(C35:O35)</f>
        <v>0.90244940497359805</v>
      </c>
      <c r="V36" s="8">
        <f>MIN(C35:O35)</f>
        <v>0.63391956436766717</v>
      </c>
      <c r="W36" s="8">
        <f t="shared" ref="W36" si="35">C35-W35</f>
        <v>0.67454586535644512</v>
      </c>
      <c r="X36" s="8">
        <f t="shared" ref="X36" si="36">D35-X35</f>
        <v>0.63391956436766717</v>
      </c>
      <c r="Y36" s="8">
        <f t="shared" ref="Y36" si="37">E35-Y35</f>
        <v>0.69592255280751925</v>
      </c>
      <c r="Z36" s="8">
        <f t="shared" ref="Z36" si="38">F35-Z35</f>
        <v>0.7708287191077382</v>
      </c>
      <c r="AA36" s="8">
        <f t="shared" ref="AA36" si="39">G35-AA35</f>
        <v>0.85744081501257874</v>
      </c>
      <c r="AB36" s="8">
        <f t="shared" ref="AB36" si="40">H35-AB35</f>
        <v>0.90244940497359805</v>
      </c>
      <c r="AC36" s="8">
        <f t="shared" ref="AC36" si="41">I35-AC35</f>
        <v>0.85450659979125354</v>
      </c>
      <c r="AD36" s="8">
        <f t="shared" ref="AD36" si="42">J35-AD35</f>
        <v>0.84806870783852095</v>
      </c>
      <c r="AE36" s="8">
        <f t="shared" ref="AE36" si="43">K35-AE35</f>
        <v>0.83879730049390555</v>
      </c>
      <c r="AF36" s="8">
        <f t="shared" ref="AF36" si="44">L35-AF35</f>
        <v>0.8579601527188716</v>
      </c>
      <c r="AG36" s="8">
        <f t="shared" ref="AG36" si="45">M35-AG35</f>
        <v>0.84410156808273917</v>
      </c>
      <c r="AH36" s="8">
        <f t="shared" ref="AH36" si="46">N35-AH35</f>
        <v>0.8335818691102822</v>
      </c>
      <c r="AI36" s="8">
        <f t="shared" ref="AI36" si="47">O35-AI35</f>
        <v>0.85318342443417949</v>
      </c>
    </row>
    <row r="37" spans="1:35">
      <c r="A37" s="1"/>
      <c r="B37" s="46" t="s">
        <v>24</v>
      </c>
      <c r="C37" s="94">
        <f>C36-C35</f>
        <v>0.19541668393230449</v>
      </c>
      <c r="D37" s="94">
        <f t="shared" ref="D37:F37" si="48">D36-D35</f>
        <v>0.25982914231819665</v>
      </c>
      <c r="E37" s="94">
        <f t="shared" si="48"/>
        <v>0.18250478789099189</v>
      </c>
      <c r="F37" s="94">
        <f t="shared" si="48"/>
        <v>0.15712920325207536</v>
      </c>
      <c r="G37" s="94">
        <f>G36-G35</f>
        <v>9.3064967478953875E-2</v>
      </c>
      <c r="H37" s="94">
        <f t="shared" ref="H37:O37" si="49">H36-H35</f>
        <v>4.51321894824952E-2</v>
      </c>
      <c r="I37" s="94">
        <f t="shared" si="49"/>
        <v>9.2945970940721656E-2</v>
      </c>
      <c r="J37" s="94">
        <f t="shared" si="49"/>
        <v>0.11240903553125337</v>
      </c>
      <c r="K37" s="94">
        <f t="shared" si="49"/>
        <v>0.10395604570747308</v>
      </c>
      <c r="L37" s="94">
        <f t="shared" si="49"/>
        <v>8.2039847281128342E-2</v>
      </c>
      <c r="M37" s="94">
        <f t="shared" si="49"/>
        <v>9.5898431917260774E-2</v>
      </c>
      <c r="N37" s="94">
        <f t="shared" si="49"/>
        <v>0.10641813088971774</v>
      </c>
      <c r="O37" s="94">
        <f t="shared" si="49"/>
        <v>8.6816575565820453E-2</v>
      </c>
      <c r="P37" s="101">
        <f>(AVERAGE(C36:O36)-AVERAGE(C35:O35))</f>
        <v>0.12412007786064549</v>
      </c>
      <c r="R37" s="9">
        <v>4.329213354594541E-2</v>
      </c>
      <c r="S37" s="24" t="s">
        <v>25</v>
      </c>
      <c r="T37" s="8">
        <f>AVERAGE(W37:AI37)</f>
        <v>1.4886463256477864E-2</v>
      </c>
      <c r="U37" s="8">
        <f>MAX(C36:O36)</f>
        <v>0.96047774336977432</v>
      </c>
      <c r="V37" s="8">
        <f>MIN(C36:O36)</f>
        <v>0.86996254928874961</v>
      </c>
      <c r="X37" s="8">
        <f t="shared" ref="X37" si="50">D35-C35</f>
        <v>-4.0626300988777952E-2</v>
      </c>
      <c r="Y37" s="8">
        <f t="shared" ref="Y37" si="51">E35-D35</f>
        <v>6.200298843985208E-2</v>
      </c>
      <c r="Z37" s="8">
        <f t="shared" ref="Z37" si="52">F35-E35</f>
        <v>7.4906166300218957E-2</v>
      </c>
      <c r="AA37" s="8">
        <f t="shared" ref="AA37" si="53">G35-F35</f>
        <v>8.6612095904840536E-2</v>
      </c>
      <c r="AB37" s="8">
        <f t="shared" ref="AB37" si="54">H35-G35</f>
        <v>4.5008589961019307E-2</v>
      </c>
      <c r="AC37" s="8">
        <f t="shared" ref="AC37" si="55">I35-H35</f>
        <v>-4.7942805182344506E-2</v>
      </c>
      <c r="AD37" s="8">
        <f t="shared" ref="AD37" si="56">J35-I35</f>
        <v>-6.4378919527325884E-3</v>
      </c>
      <c r="AE37" s="8">
        <f t="shared" ref="AE37" si="57">K35-J35</f>
        <v>-9.2714073446154011E-3</v>
      </c>
      <c r="AF37" s="8">
        <f t="shared" ref="AF37" si="58">L35-K35</f>
        <v>1.9162852224966054E-2</v>
      </c>
      <c r="AG37" s="8">
        <f t="shared" ref="AG37" si="59">M35-L35</f>
        <v>-1.3858584636132432E-2</v>
      </c>
      <c r="AH37" s="8">
        <f t="shared" ref="AH37" si="60">N35-M35</f>
        <v>-1.051969897245697E-2</v>
      </c>
      <c r="AI37" s="8">
        <f t="shared" ref="AI37" si="61">O35-N35</f>
        <v>1.9601555323897291E-2</v>
      </c>
    </row>
    <row r="38" spans="1:35">
      <c r="A38" s="1"/>
      <c r="B38" s="43" t="s">
        <v>26</v>
      </c>
      <c r="C38" s="93">
        <f>C37/3%*1%</f>
        <v>6.5138894644101497E-2</v>
      </c>
      <c r="D38" s="93">
        <f t="shared" ref="D38:O38" si="62">D37/3%*1%</f>
        <v>8.660971410606555E-2</v>
      </c>
      <c r="E38" s="93">
        <f t="shared" si="62"/>
        <v>6.0834929296997305E-2</v>
      </c>
      <c r="F38" s="93">
        <f t="shared" si="62"/>
        <v>5.2376401084025116E-2</v>
      </c>
      <c r="G38" s="93">
        <f t="shared" si="62"/>
        <v>3.1021655826317961E-2</v>
      </c>
      <c r="H38" s="93">
        <f t="shared" si="62"/>
        <v>1.5044063160831733E-2</v>
      </c>
      <c r="I38" s="93">
        <f t="shared" si="62"/>
        <v>3.098199031357389E-2</v>
      </c>
      <c r="J38" s="93">
        <f t="shared" si="62"/>
        <v>3.7469678510417791E-2</v>
      </c>
      <c r="K38" s="93">
        <f t="shared" si="62"/>
        <v>3.4652015235824361E-2</v>
      </c>
      <c r="L38" s="93">
        <f t="shared" si="62"/>
        <v>2.7346615760376114E-2</v>
      </c>
      <c r="M38" s="93">
        <f t="shared" si="62"/>
        <v>3.1966143972420258E-2</v>
      </c>
      <c r="N38" s="93">
        <f t="shared" si="62"/>
        <v>3.5472710296572584E-2</v>
      </c>
      <c r="O38" s="93">
        <f t="shared" si="62"/>
        <v>2.8938858521940156E-2</v>
      </c>
      <c r="P38" s="102">
        <f>P37/3%*1%</f>
        <v>4.1373359286881836E-2</v>
      </c>
      <c r="R38" s="10">
        <v>1.4430711181981803E-2</v>
      </c>
      <c r="S38" s="25"/>
      <c r="T38" s="8" t="e">
        <f>(T35-C35)</f>
        <v>#DIV/0!</v>
      </c>
    </row>
    <row r="39" spans="1:35" ht="15" thickBot="1">
      <c r="A39" s="1"/>
      <c r="B39" s="49" t="s">
        <v>27</v>
      </c>
      <c r="C39" s="115">
        <f t="shared" ref="C39:O39" si="63">C34*C38</f>
        <v>0.33821002367382519</v>
      </c>
      <c r="D39" s="115">
        <f t="shared" si="63"/>
        <v>0.6082164883354082</v>
      </c>
      <c r="E39" s="115">
        <f t="shared" si="63"/>
        <v>0.52204924679162024</v>
      </c>
      <c r="F39" s="115">
        <f t="shared" si="63"/>
        <v>0.36840880137339937</v>
      </c>
      <c r="G39" s="115">
        <f t="shared" si="63"/>
        <v>0.22860705876180268</v>
      </c>
      <c r="H39" s="115">
        <f t="shared" si="63"/>
        <v>0.11432441100920553</v>
      </c>
      <c r="I39" s="115">
        <f t="shared" si="63"/>
        <v>0.20686390982431746</v>
      </c>
      <c r="J39" s="115">
        <f t="shared" si="63"/>
        <v>0.24575181652760988</v>
      </c>
      <c r="K39" s="115">
        <f t="shared" si="63"/>
        <v>0.24336336749163262</v>
      </c>
      <c r="L39" s="115">
        <f t="shared" si="63"/>
        <v>0.20849648641827437</v>
      </c>
      <c r="M39" s="115">
        <f t="shared" si="63"/>
        <v>0.2487199005168404</v>
      </c>
      <c r="N39" s="115">
        <f t="shared" si="63"/>
        <v>0.28120175154222432</v>
      </c>
      <c r="O39" s="115">
        <f t="shared" si="63"/>
        <v>0.24761868332897446</v>
      </c>
      <c r="P39" s="103">
        <f>SUM(C39:O39)</f>
        <v>3.8618319455951351</v>
      </c>
      <c r="Q39" s="31"/>
      <c r="R39" s="11">
        <v>1.1141758085759468</v>
      </c>
      <c r="S39" s="25"/>
    </row>
    <row r="40" spans="1:35" ht="15" customHeight="1">
      <c r="A40" s="1"/>
      <c r="B40" s="42" t="s">
        <v>33</v>
      </c>
      <c r="C40" s="99">
        <v>29.56919619000104</v>
      </c>
      <c r="D40" s="99">
        <v>32.681295579999194</v>
      </c>
      <c r="E40" s="99">
        <v>35.17916491999668</v>
      </c>
      <c r="F40" s="99">
        <v>40.469003149997803</v>
      </c>
      <c r="G40" s="99">
        <v>39.017390349997086</v>
      </c>
      <c r="H40" s="99">
        <v>37.29293729999587</v>
      </c>
      <c r="I40" s="99">
        <v>40.59546774999945</v>
      </c>
      <c r="J40" s="99">
        <v>38.683537049999259</v>
      </c>
      <c r="K40" s="99">
        <v>36.26650553052653</v>
      </c>
      <c r="L40" s="99">
        <v>35.861785795535063</v>
      </c>
      <c r="M40" s="99">
        <v>35.582112678619751</v>
      </c>
      <c r="N40" s="99">
        <v>35.464023257206925</v>
      </c>
      <c r="O40" s="99">
        <v>38.57189220506713</v>
      </c>
      <c r="P40" s="100">
        <f>SUM(C40:O40)</f>
        <v>475.23431175694168</v>
      </c>
      <c r="R40" s="12"/>
      <c r="S40"/>
    </row>
    <row r="41" spans="1:35" ht="15" customHeight="1">
      <c r="A41" s="1"/>
      <c r="B41" s="43">
        <v>2024</v>
      </c>
      <c r="C41" s="93">
        <v>0.88803870791404604</v>
      </c>
      <c r="D41" s="93">
        <v>0.84089926897471823</v>
      </c>
      <c r="E41" s="93">
        <v>0.88286901851028665</v>
      </c>
      <c r="F41" s="93">
        <v>0.91217184044494692</v>
      </c>
      <c r="G41" s="93">
        <v>0.92888034456536306</v>
      </c>
      <c r="H41" s="93">
        <v>0.92690363609480164</v>
      </c>
      <c r="I41" s="93">
        <v>0.92782576336959688</v>
      </c>
      <c r="J41" s="93">
        <v>0.92097238892406197</v>
      </c>
      <c r="K41" s="93">
        <v>0.44569530160446869</v>
      </c>
      <c r="L41" s="93">
        <v>0.886891505856784</v>
      </c>
      <c r="M41" s="93">
        <v>0.92127765789666982</v>
      </c>
      <c r="N41" s="93">
        <v>0.91361931583643985</v>
      </c>
      <c r="O41" s="93">
        <v>0.92345920606754828</v>
      </c>
      <c r="P41" s="101">
        <f>AVERAGE(C41:O41)</f>
        <v>0.87073107354305646</v>
      </c>
      <c r="R41" s="17">
        <v>0.90488210668144831</v>
      </c>
      <c r="S41" s="24">
        <v>2024</v>
      </c>
      <c r="T41" s="8" t="e">
        <f>AVERAGE(W41:AI41)</f>
        <v>#DIV/0!</v>
      </c>
      <c r="U41" s="8">
        <f>MAX(W41:AI41)</f>
        <v>0</v>
      </c>
      <c r="V41" s="8">
        <f>MIN(W41:AI41)</f>
        <v>0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ht="15" customHeight="1">
      <c r="A42" s="1"/>
      <c r="B42" s="43">
        <v>2025</v>
      </c>
      <c r="C42" s="94">
        <v>0.91484665080965522</v>
      </c>
      <c r="D42" s="94">
        <v>0.93518026207225624</v>
      </c>
      <c r="E42" s="94">
        <v>0.93506461743477298</v>
      </c>
      <c r="F42" s="94">
        <v>0.94317542011704947</v>
      </c>
      <c r="G42" s="94">
        <v>0.94332624809318311</v>
      </c>
      <c r="H42" s="94">
        <v>0.945636787733943</v>
      </c>
      <c r="I42" s="94">
        <v>0.9296820386251089</v>
      </c>
      <c r="J42" s="94">
        <v>0.91040869799388302</v>
      </c>
      <c r="K42" s="45">
        <v>0.92516611315228425</v>
      </c>
      <c r="L42" s="45">
        <v>0.93</v>
      </c>
      <c r="M42" s="45">
        <v>0.93</v>
      </c>
      <c r="N42" s="45">
        <v>0.93</v>
      </c>
      <c r="O42" s="45">
        <v>0.93</v>
      </c>
      <c r="P42" s="101">
        <f>AVERAGE(C42:O42)</f>
        <v>0.93096052584862587</v>
      </c>
      <c r="R42" s="17">
        <v>0.90913899964608114</v>
      </c>
      <c r="S42" s="24" t="s">
        <v>23</v>
      </c>
      <c r="T42" s="8">
        <f>AVERAGE(W42:AI42)</f>
        <v>0.87073107354305646</v>
      </c>
      <c r="U42" s="8">
        <f>MAX(C41:O41)</f>
        <v>0.92888034456536306</v>
      </c>
      <c r="V42" s="8">
        <f>MIN(C41:O41)</f>
        <v>0.44569530160446869</v>
      </c>
      <c r="W42" s="8">
        <f t="shared" ref="W42" si="64">C41-W41</f>
        <v>0.88803870791404604</v>
      </c>
      <c r="X42" s="8">
        <f t="shared" ref="X42" si="65">D41-X41</f>
        <v>0.84089926897471823</v>
      </c>
      <c r="Y42" s="8">
        <f t="shared" ref="Y42" si="66">E41-Y41</f>
        <v>0.88286901851028665</v>
      </c>
      <c r="Z42" s="8">
        <f t="shared" ref="Z42" si="67">F41-Z41</f>
        <v>0.91217184044494692</v>
      </c>
      <c r="AA42" s="8">
        <f t="shared" ref="AA42" si="68">G41-AA41</f>
        <v>0.92888034456536306</v>
      </c>
      <c r="AB42" s="8">
        <f t="shared" ref="AB42" si="69">H41-AB41</f>
        <v>0.92690363609480164</v>
      </c>
      <c r="AC42" s="8">
        <f t="shared" ref="AC42" si="70">I41-AC41</f>
        <v>0.92782576336959688</v>
      </c>
      <c r="AD42" s="8">
        <f t="shared" ref="AD42" si="71">J41-AD41</f>
        <v>0.92097238892406197</v>
      </c>
      <c r="AE42" s="8">
        <f t="shared" ref="AE42" si="72">K41-AE41</f>
        <v>0.44569530160446869</v>
      </c>
      <c r="AF42" s="8">
        <f t="shared" ref="AF42" si="73">L41-AF41</f>
        <v>0.886891505856784</v>
      </c>
      <c r="AG42" s="8">
        <f t="shared" ref="AG42" si="74">M41-AG41</f>
        <v>0.92127765789666982</v>
      </c>
      <c r="AH42" s="8">
        <f t="shared" ref="AH42" si="75">N41-AH41</f>
        <v>0.91361931583643985</v>
      </c>
      <c r="AI42" s="8">
        <f t="shared" ref="AI42" si="76">O41-AI41</f>
        <v>0.92345920606754828</v>
      </c>
    </row>
    <row r="43" spans="1:35" ht="15" customHeight="1">
      <c r="A43" s="1"/>
      <c r="B43" s="46" t="s">
        <v>24</v>
      </c>
      <c r="C43" s="94">
        <f>C42-C41</f>
        <v>2.6807942895609171E-2</v>
      </c>
      <c r="D43" s="94">
        <f t="shared" ref="D43:F43" si="77">D42-D41</f>
        <v>9.4280993097538013E-2</v>
      </c>
      <c r="E43" s="94">
        <f t="shared" si="77"/>
        <v>5.2195598924486331E-2</v>
      </c>
      <c r="F43" s="94">
        <f t="shared" si="77"/>
        <v>3.1003579672102544E-2</v>
      </c>
      <c r="G43" s="94">
        <f>G42-G41</f>
        <v>1.4445903527820048E-2</v>
      </c>
      <c r="H43" s="94">
        <f t="shared" ref="H43:O43" si="78">H42-H41</f>
        <v>1.8733151639141354E-2</v>
      </c>
      <c r="I43" s="94">
        <f t="shared" si="78"/>
        <v>1.8562752555120188E-3</v>
      </c>
      <c r="J43" s="94">
        <f t="shared" si="78"/>
        <v>-1.0563690930178948E-2</v>
      </c>
      <c r="K43" s="94">
        <f t="shared" si="78"/>
        <v>0.47947081154781557</v>
      </c>
      <c r="L43" s="94">
        <f t="shared" si="78"/>
        <v>4.3108494143216047E-2</v>
      </c>
      <c r="M43" s="94">
        <f t="shared" si="78"/>
        <v>8.7223421033302273E-3</v>
      </c>
      <c r="N43" s="94">
        <f t="shared" si="78"/>
        <v>1.63806841635602E-2</v>
      </c>
      <c r="O43" s="94">
        <f t="shared" si="78"/>
        <v>6.5407939324517717E-3</v>
      </c>
      <c r="P43" s="101">
        <f>(AVERAGE(C42:O42)-AVERAGE(C41:O41))</f>
        <v>6.022945230556942E-2</v>
      </c>
      <c r="R43" s="9">
        <v>4.2568929646328302E-3</v>
      </c>
      <c r="S43" s="24" t="s">
        <v>25</v>
      </c>
      <c r="T43" s="8">
        <f>AVERAGE(W43:AI43)</f>
        <v>2.9517081794585196E-3</v>
      </c>
      <c r="U43" s="8">
        <f>MAX(C42:O42)</f>
        <v>0.945636787733943</v>
      </c>
      <c r="V43" s="8">
        <f>MIN(C42:O42)</f>
        <v>0.91040869799388302</v>
      </c>
      <c r="X43" s="8">
        <f t="shared" ref="X43" si="79">D41-C41</f>
        <v>-4.7139438939327816E-2</v>
      </c>
      <c r="Y43" s="8">
        <f t="shared" ref="Y43" si="80">E41-D41</f>
        <v>4.1969749535568424E-2</v>
      </c>
      <c r="Z43" s="8">
        <f t="shared" ref="Z43" si="81">F41-E41</f>
        <v>2.9302821934660273E-2</v>
      </c>
      <c r="AA43" s="8">
        <f t="shared" ref="AA43" si="82">G41-F41</f>
        <v>1.6708504120416134E-2</v>
      </c>
      <c r="AB43" s="8">
        <f t="shared" ref="AB43" si="83">H41-G41</f>
        <v>-1.9767084705614169E-3</v>
      </c>
      <c r="AC43" s="8">
        <f t="shared" ref="AC43" si="84">I41-H41</f>
        <v>9.2212727479523693E-4</v>
      </c>
      <c r="AD43" s="8">
        <f t="shared" ref="AD43" si="85">J41-I41</f>
        <v>-6.8533744455349099E-3</v>
      </c>
      <c r="AE43" s="8">
        <f t="shared" ref="AE43" si="86">K41-J41</f>
        <v>-0.47527708731959328</v>
      </c>
      <c r="AF43" s="8">
        <f t="shared" ref="AF43" si="87">L41-K41</f>
        <v>0.44119620425231532</v>
      </c>
      <c r="AG43" s="8">
        <f t="shared" ref="AG43" si="88">M41-L41</f>
        <v>3.438615203988582E-2</v>
      </c>
      <c r="AH43" s="8">
        <f t="shared" ref="AH43" si="89">N41-M41</f>
        <v>-7.6583420602299723E-3</v>
      </c>
      <c r="AI43" s="8">
        <f t="shared" ref="AI43" si="90">O41-N41</f>
        <v>9.839890231108428E-3</v>
      </c>
    </row>
    <row r="44" spans="1:35" ht="15" customHeight="1">
      <c r="A44" s="1"/>
      <c r="B44" s="43" t="s">
        <v>26</v>
      </c>
      <c r="C44" s="93">
        <f>C43/3%*1%</f>
        <v>8.9359809652030577E-3</v>
      </c>
      <c r="D44" s="93">
        <f t="shared" ref="D44:O44" si="91">D43/3%*1%</f>
        <v>3.1426997699179338E-2</v>
      </c>
      <c r="E44" s="93">
        <f t="shared" si="91"/>
        <v>1.7398532974828778E-2</v>
      </c>
      <c r="F44" s="93">
        <f t="shared" si="91"/>
        <v>1.0334526557367517E-2</v>
      </c>
      <c r="G44" s="93">
        <f t="shared" si="91"/>
        <v>4.8153011759400162E-3</v>
      </c>
      <c r="H44" s="93">
        <f t="shared" si="91"/>
        <v>6.2443838797137854E-3</v>
      </c>
      <c r="I44" s="93">
        <f t="shared" si="91"/>
        <v>6.1875841850400626E-4</v>
      </c>
      <c r="J44" s="93">
        <f t="shared" si="91"/>
        <v>-3.52123031005965E-3</v>
      </c>
      <c r="K44" s="93">
        <f t="shared" si="91"/>
        <v>0.15982360384927188</v>
      </c>
      <c r="L44" s="93">
        <f t="shared" si="91"/>
        <v>1.4369498047738682E-2</v>
      </c>
      <c r="M44" s="93">
        <f t="shared" si="91"/>
        <v>2.9074473677767427E-3</v>
      </c>
      <c r="N44" s="93">
        <f t="shared" si="91"/>
        <v>5.4602280545200665E-3</v>
      </c>
      <c r="O44" s="93">
        <f t="shared" si="91"/>
        <v>2.1802646441505908E-3</v>
      </c>
      <c r="P44" s="102">
        <f>P43/3%*1%</f>
        <v>2.0076484101856473E-2</v>
      </c>
      <c r="R44" s="10">
        <v>1.4189643215442769E-3</v>
      </c>
      <c r="S44" s="25"/>
      <c r="T44" s="8" t="e">
        <f>(T41-C41)</f>
        <v>#DIV/0!</v>
      </c>
    </row>
    <row r="45" spans="1:35" ht="15" customHeight="1" thickBot="1">
      <c r="A45" s="1"/>
      <c r="B45" s="49" t="s">
        <v>27</v>
      </c>
      <c r="C45" s="115">
        <f>C40*C44</f>
        <v>0.26422977431020406</v>
      </c>
      <c r="D45" s="115">
        <f t="shared" ref="D45:O45" si="92">D40*D44</f>
        <v>1.0270750009988345</v>
      </c>
      <c r="E45" s="115">
        <f t="shared" si="92"/>
        <v>0.61206586088750203</v>
      </c>
      <c r="F45" s="115">
        <f t="shared" si="92"/>
        <v>0.41822798780384202</v>
      </c>
      <c r="G45" s="115">
        <f t="shared" si="92"/>
        <v>0.18788048563445162</v>
      </c>
      <c r="H45" s="115">
        <f t="shared" si="92"/>
        <v>0.23287141650327114</v>
      </c>
      <c r="I45" s="115">
        <f t="shared" si="92"/>
        <v>2.5118787423420049E-2</v>
      </c>
      <c r="J45" s="115">
        <f t="shared" si="92"/>
        <v>-0.13621364316077286</v>
      </c>
      <c r="K45" s="115">
        <f t="shared" si="92"/>
        <v>5.7962436129082997</v>
      </c>
      <c r="L45" s="115">
        <f t="shared" si="92"/>
        <v>0.51531586097736393</v>
      </c>
      <c r="M45" s="115">
        <f t="shared" si="92"/>
        <v>0.10345311984738846</v>
      </c>
      <c r="N45" s="115">
        <f t="shared" si="92"/>
        <v>0.19364165471515335</v>
      </c>
      <c r="O45" s="115">
        <f t="shared" si="92"/>
        <v>8.4096932832695634E-2</v>
      </c>
      <c r="P45" s="103">
        <f>SUM(C45:O45)</f>
        <v>9.3240068516816539</v>
      </c>
      <c r="Q45" s="34"/>
      <c r="R45" s="11">
        <v>0.51978337702590571</v>
      </c>
      <c r="S45"/>
    </row>
    <row r="46" spans="1:35" ht="15" customHeight="1">
      <c r="A46" s="1"/>
      <c r="B46" s="42" t="s">
        <v>34</v>
      </c>
      <c r="C46" s="99">
        <v>1.2545327400000061</v>
      </c>
      <c r="D46" s="99">
        <v>1.9551784300000139</v>
      </c>
      <c r="E46" s="99">
        <v>2.3628852899999275</v>
      </c>
      <c r="F46" s="99">
        <v>1.9753227700000078</v>
      </c>
      <c r="G46" s="99">
        <v>1.9213314700000133</v>
      </c>
      <c r="H46" s="99">
        <v>1.8869417400000206</v>
      </c>
      <c r="I46" s="99">
        <v>2.4149260700000337</v>
      </c>
      <c r="J46" s="99">
        <v>2.6956397699998664</v>
      </c>
      <c r="K46" s="99">
        <v>1.9311337806955671</v>
      </c>
      <c r="L46" s="99">
        <v>1.9930368347752014</v>
      </c>
      <c r="M46" s="99">
        <v>2.1106384718562161</v>
      </c>
      <c r="N46" s="99">
        <v>2.0499395444053499</v>
      </c>
      <c r="O46" s="99">
        <v>2.3794379894491109</v>
      </c>
      <c r="P46" s="100">
        <f>SUM(C46:O46)</f>
        <v>26.930944901181334</v>
      </c>
      <c r="R46" s="2">
        <v>23.352935926669009</v>
      </c>
      <c r="S46" s="12"/>
      <c r="T46" s="12"/>
      <c r="U46" s="12"/>
      <c r="V46" s="12"/>
      <c r="W46" s="12"/>
      <c r="X46" s="12"/>
      <c r="Y46" s="13"/>
      <c r="Z46" s="12"/>
      <c r="AA46" s="12"/>
      <c r="AB46" s="13"/>
      <c r="AC46" s="13"/>
      <c r="AD46" s="13"/>
      <c r="AE46" s="13"/>
      <c r="AF46" s="14"/>
      <c r="AG46" s="12"/>
      <c r="AH46" s="14"/>
    </row>
    <row r="47" spans="1:35" ht="15" customHeight="1">
      <c r="A47" s="1"/>
      <c r="B47" s="43">
        <v>2024</v>
      </c>
      <c r="C47" s="93">
        <v>0.93424386331212006</v>
      </c>
      <c r="D47" s="93">
        <v>0.91777868738228496</v>
      </c>
      <c r="E47" s="93">
        <v>0.94008567412204047</v>
      </c>
      <c r="F47" s="93">
        <v>0.95271576267214719</v>
      </c>
      <c r="G47" s="93">
        <v>0.96160560136596174</v>
      </c>
      <c r="H47" s="93">
        <v>0.95932141630269785</v>
      </c>
      <c r="I47" s="93">
        <v>0.97254680599972276</v>
      </c>
      <c r="J47" s="93">
        <v>0.97082547846014966</v>
      </c>
      <c r="K47" s="93">
        <v>0.71589539350996345</v>
      </c>
      <c r="L47" s="93">
        <v>0.8589599006600751</v>
      </c>
      <c r="M47" s="93">
        <v>0.86769239435437662</v>
      </c>
      <c r="N47" s="93">
        <v>0.89020479299825495</v>
      </c>
      <c r="O47" s="93">
        <v>0.89348443299168312</v>
      </c>
      <c r="P47" s="101">
        <f>AVERAGE(C47:O47)</f>
        <v>0.91041232339472888</v>
      </c>
      <c r="R47" s="17">
        <v>0.92685563766285561</v>
      </c>
      <c r="S47" s="24">
        <v>2024</v>
      </c>
      <c r="T47" s="8" t="e">
        <f>AVERAGE(W47:AI47)</f>
        <v>#DIV/0!</v>
      </c>
      <c r="U47" s="8">
        <f>MAX(W47:AI47)</f>
        <v>0</v>
      </c>
      <c r="V47" s="8">
        <f>MIN(W47:AI47)</f>
        <v>0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ht="15" customHeight="1">
      <c r="A48" s="1"/>
      <c r="B48" s="43">
        <v>2025</v>
      </c>
      <c r="C48" s="94">
        <v>0.94431602649552748</v>
      </c>
      <c r="D48" s="94">
        <v>0.96978240365005342</v>
      </c>
      <c r="E48" s="94">
        <v>0.9708175596597256</v>
      </c>
      <c r="F48" s="94">
        <v>0.96563861328020206</v>
      </c>
      <c r="G48" s="94">
        <v>0.96421206112606772</v>
      </c>
      <c r="H48" s="94">
        <v>0.97475565269184006</v>
      </c>
      <c r="I48" s="94">
        <v>0.89923044442272204</v>
      </c>
      <c r="J48" s="94">
        <v>0.92174286194504984</v>
      </c>
      <c r="K48" s="45">
        <v>0.93838763896655186</v>
      </c>
      <c r="L48" s="45">
        <v>0.92</v>
      </c>
      <c r="M48" s="45">
        <v>0.92</v>
      </c>
      <c r="N48" s="45">
        <v>0.92</v>
      </c>
      <c r="O48" s="45">
        <v>0.92</v>
      </c>
      <c r="P48" s="101">
        <f>AVERAGE(C48:O48)</f>
        <v>0.94068332786444142</v>
      </c>
      <c r="R48" s="17">
        <v>0.93670274160548161</v>
      </c>
      <c r="S48" s="24" t="s">
        <v>23</v>
      </c>
      <c r="T48" s="8">
        <f>AVERAGE(W48:AI48)</f>
        <v>0.91041232339472888</v>
      </c>
      <c r="U48" s="8">
        <f>MAX(C47:O47)</f>
        <v>0.97254680599972276</v>
      </c>
      <c r="V48" s="8">
        <f>MIN(C47:O47)</f>
        <v>0.71589539350996345</v>
      </c>
      <c r="W48" s="8">
        <f t="shared" ref="W48" si="93">C47-W47</f>
        <v>0.93424386331212006</v>
      </c>
      <c r="X48" s="8">
        <f t="shared" ref="X48" si="94">D47-X47</f>
        <v>0.91777868738228496</v>
      </c>
      <c r="Y48" s="8">
        <f t="shared" ref="Y48" si="95">E47-Y47</f>
        <v>0.94008567412204047</v>
      </c>
      <c r="Z48" s="8">
        <f t="shared" ref="Z48" si="96">F47-Z47</f>
        <v>0.95271576267214719</v>
      </c>
      <c r="AA48" s="8">
        <f t="shared" ref="AA48" si="97">G47-AA47</f>
        <v>0.96160560136596174</v>
      </c>
      <c r="AB48" s="8">
        <f t="shared" ref="AB48" si="98">H47-AB47</f>
        <v>0.95932141630269785</v>
      </c>
      <c r="AC48" s="8">
        <f t="shared" ref="AC48" si="99">I47-AC47</f>
        <v>0.97254680599972276</v>
      </c>
      <c r="AD48" s="8">
        <f t="shared" ref="AD48" si="100">J47-AD47</f>
        <v>0.97082547846014966</v>
      </c>
      <c r="AE48" s="8">
        <f t="shared" ref="AE48" si="101">K47-AE47</f>
        <v>0.71589539350996345</v>
      </c>
      <c r="AF48" s="8">
        <f t="shared" ref="AF48" si="102">L47-AF47</f>
        <v>0.8589599006600751</v>
      </c>
      <c r="AG48" s="8">
        <f t="shared" ref="AG48" si="103">M47-AG47</f>
        <v>0.86769239435437662</v>
      </c>
      <c r="AH48" s="8">
        <f t="shared" ref="AH48" si="104">N47-AH47</f>
        <v>0.89020479299825495</v>
      </c>
      <c r="AI48" s="8">
        <f t="shared" ref="AI48" si="105">O47-AI47</f>
        <v>0.89348443299168312</v>
      </c>
    </row>
    <row r="49" spans="1:36" ht="15" customHeight="1">
      <c r="A49" s="1"/>
      <c r="B49" s="46" t="s">
        <v>24</v>
      </c>
      <c r="C49" s="94">
        <f>C48-C47</f>
        <v>1.0072163183407423E-2</v>
      </c>
      <c r="D49" s="94">
        <f t="shared" ref="D49:F49" si="106">D48-D47</f>
        <v>5.2003716267768452E-2</v>
      </c>
      <c r="E49" s="94">
        <f t="shared" si="106"/>
        <v>3.0731885537685133E-2</v>
      </c>
      <c r="F49" s="94">
        <f t="shared" si="106"/>
        <v>1.292285060805487E-2</v>
      </c>
      <c r="G49" s="94">
        <f>G48-G47</f>
        <v>2.6064597601059836E-3</v>
      </c>
      <c r="H49" s="94">
        <f t="shared" ref="H49:O49" si="107">H48-H47</f>
        <v>1.5434236389142209E-2</v>
      </c>
      <c r="I49" s="94">
        <f t="shared" si="107"/>
        <v>-7.3316361577000722E-2</v>
      </c>
      <c r="J49" s="94">
        <f t="shared" si="107"/>
        <v>-4.9082616515099819E-2</v>
      </c>
      <c r="K49" s="94">
        <f t="shared" si="107"/>
        <v>0.22249224545658841</v>
      </c>
      <c r="L49" s="94">
        <f t="shared" si="107"/>
        <v>6.1040099339924936E-2</v>
      </c>
      <c r="M49" s="94">
        <f t="shared" si="107"/>
        <v>5.2307605645623423E-2</v>
      </c>
      <c r="N49" s="94">
        <f t="shared" si="107"/>
        <v>2.9795207001745094E-2</v>
      </c>
      <c r="O49" s="94">
        <f t="shared" si="107"/>
        <v>2.651556700831692E-2</v>
      </c>
      <c r="P49" s="101">
        <f>(AVERAGE(C48:O48)-AVERAGE(C47:O47))</f>
        <v>3.0271004469712537E-2</v>
      </c>
      <c r="R49" s="9">
        <v>9.847103942626001E-3</v>
      </c>
      <c r="S49" s="24" t="s">
        <v>25</v>
      </c>
      <c r="T49" s="8">
        <f>AVERAGE(W49:AI49)</f>
        <v>-3.3966191933697452E-3</v>
      </c>
      <c r="U49" s="8">
        <f>MAX(C48:O48)</f>
        <v>0.97475565269184006</v>
      </c>
      <c r="V49" s="8">
        <f>MIN(C48:O48)</f>
        <v>0.89923044442272204</v>
      </c>
      <c r="X49" s="8">
        <f t="shared" ref="X49" si="108">D47-C47</f>
        <v>-1.6465175929835096E-2</v>
      </c>
      <c r="Y49" s="8">
        <f t="shared" ref="Y49" si="109">E47-D47</f>
        <v>2.2306986739755508E-2</v>
      </c>
      <c r="Z49" s="8">
        <f t="shared" ref="Z49" si="110">F47-E47</f>
        <v>1.2630088550106722E-2</v>
      </c>
      <c r="AA49" s="8">
        <f t="shared" ref="AA49" si="111">G47-F47</f>
        <v>8.8898386938145446E-3</v>
      </c>
      <c r="AB49" s="8">
        <f t="shared" ref="AB49" si="112">H47-G47</f>
        <v>-2.2841850632638883E-3</v>
      </c>
      <c r="AC49" s="8">
        <f t="shared" ref="AC49" si="113">I47-H47</f>
        <v>1.3225389697024914E-2</v>
      </c>
      <c r="AD49" s="8">
        <f t="shared" ref="AD49" si="114">J47-I47</f>
        <v>-1.7213275395731031E-3</v>
      </c>
      <c r="AE49" s="8">
        <f t="shared" ref="AE49" si="115">K47-J47</f>
        <v>-0.25493008495018621</v>
      </c>
      <c r="AF49" s="8">
        <f t="shared" ref="AF49" si="116">L47-K47</f>
        <v>0.14306450715011165</v>
      </c>
      <c r="AG49" s="8">
        <f t="shared" ref="AG49" si="117">M47-L47</f>
        <v>8.732493694301513E-3</v>
      </c>
      <c r="AH49" s="8">
        <f t="shared" ref="AH49" si="118">N47-M47</f>
        <v>2.2512398643878329E-2</v>
      </c>
      <c r="AI49" s="8">
        <f t="shared" ref="AI49" si="119">O47-N47</f>
        <v>3.2796399934281739E-3</v>
      </c>
    </row>
    <row r="50" spans="1:36" ht="15" customHeight="1">
      <c r="A50" s="1"/>
      <c r="B50" s="43" t="s">
        <v>26</v>
      </c>
      <c r="C50" s="93">
        <f>C49/3%*1%</f>
        <v>3.3573877278024744E-3</v>
      </c>
      <c r="D50" s="93">
        <f t="shared" ref="D50:O50" si="120">D49/3%*1%</f>
        <v>1.7334572089256151E-2</v>
      </c>
      <c r="E50" s="93">
        <f t="shared" si="120"/>
        <v>1.0243961845895044E-2</v>
      </c>
      <c r="F50" s="93">
        <f t="shared" si="120"/>
        <v>4.3076168693516239E-3</v>
      </c>
      <c r="G50" s="93">
        <f t="shared" si="120"/>
        <v>8.6881992003532793E-4</v>
      </c>
      <c r="H50" s="93">
        <f t="shared" si="120"/>
        <v>5.1447454630474034E-3</v>
      </c>
      <c r="I50" s="93">
        <f t="shared" si="120"/>
        <v>-2.4438787192333576E-2</v>
      </c>
      <c r="J50" s="93">
        <f t="shared" si="120"/>
        <v>-1.6360872171699941E-2</v>
      </c>
      <c r="K50" s="93">
        <f t="shared" si="120"/>
        <v>7.4164081818862804E-2</v>
      </c>
      <c r="L50" s="93">
        <f t="shared" si="120"/>
        <v>2.0346699779974983E-2</v>
      </c>
      <c r="M50" s="93">
        <f t="shared" si="120"/>
        <v>1.7435868548541143E-2</v>
      </c>
      <c r="N50" s="93">
        <f t="shared" si="120"/>
        <v>9.9317356672483648E-3</v>
      </c>
      <c r="O50" s="93">
        <f t="shared" si="120"/>
        <v>8.8385223361056413E-3</v>
      </c>
      <c r="P50" s="102">
        <f>P49/3%*1%</f>
        <v>1.0090334823237512E-2</v>
      </c>
      <c r="R50" s="10">
        <v>3.2823679808753337E-3</v>
      </c>
      <c r="S50" s="25"/>
      <c r="T50" s="8" t="e">
        <f>(T47-C47)</f>
        <v>#DIV/0!</v>
      </c>
    </row>
    <row r="51" spans="1:36" ht="15" customHeight="1" thickBot="1">
      <c r="A51" s="86"/>
      <c r="B51" s="52" t="s">
        <v>27</v>
      </c>
      <c r="C51" s="116">
        <f>C46*C50</f>
        <v>4.2119528254024327E-3</v>
      </c>
      <c r="D51" s="116">
        <f t="shared" ref="D51:O51" si="121">D46*D50</f>
        <v>3.38921814421939E-2</v>
      </c>
      <c r="E51" s="116">
        <f t="shared" si="121"/>
        <v>2.4205306756985904E-2</v>
      </c>
      <c r="F51" s="116">
        <f t="shared" si="121"/>
        <v>8.5089336864664113E-3</v>
      </c>
      <c r="G51" s="116">
        <f t="shared" si="121"/>
        <v>1.6692910541267706E-3</v>
      </c>
      <c r="H51" s="116">
        <f t="shared" si="121"/>
        <v>9.7078349558998786E-3</v>
      </c>
      <c r="I51" s="116">
        <f t="shared" si="121"/>
        <v>-5.9017864309949278E-2</v>
      </c>
      <c r="J51" s="116">
        <f t="shared" si="121"/>
        <v>-4.4103017697918447E-2</v>
      </c>
      <c r="K51" s="116">
        <f t="shared" si="121"/>
        <v>0.1432207637146759</v>
      </c>
      <c r="L51" s="116">
        <f t="shared" si="121"/>
        <v>4.0551722127602628E-2</v>
      </c>
      <c r="M51" s="116">
        <f t="shared" si="121"/>
        <v>3.6800814948778737E-2</v>
      </c>
      <c r="N51" s="116">
        <f t="shared" si="121"/>
        <v>2.0359457688873477E-2</v>
      </c>
      <c r="O51" s="116">
        <f t="shared" si="121"/>
        <v>2.1030715817124266E-2</v>
      </c>
      <c r="P51" s="104">
        <f>SUM(C51:O51)</f>
        <v>0.24103809301026258</v>
      </c>
      <c r="Q51" s="34"/>
      <c r="R51" s="11">
        <v>7.7351793407018213E-2</v>
      </c>
      <c r="S51"/>
    </row>
    <row r="52" spans="1:36" ht="15" thickBot="1">
      <c r="A52" s="82" t="s">
        <v>20</v>
      </c>
      <c r="B52" s="88" t="s">
        <v>35</v>
      </c>
      <c r="C52" s="105">
        <f>C53+C59+C65</f>
        <v>168.73039745999972</v>
      </c>
      <c r="D52" s="105">
        <f t="shared" ref="D52:O52" si="122">D53+D59+D65</f>
        <v>209.03761203000084</v>
      </c>
      <c r="E52" s="105">
        <f t="shared" si="122"/>
        <v>179.98670822000054</v>
      </c>
      <c r="F52" s="105">
        <f t="shared" si="122"/>
        <v>187.44999988203841</v>
      </c>
      <c r="G52" s="105">
        <f t="shared" si="122"/>
        <v>214.33555654000023</v>
      </c>
      <c r="H52" s="105">
        <f t="shared" si="122"/>
        <v>209.98620784000158</v>
      </c>
      <c r="I52" s="105">
        <f t="shared" si="122"/>
        <v>209.42320215000041</v>
      </c>
      <c r="J52" s="105">
        <f t="shared" si="122"/>
        <v>194.26006671908078</v>
      </c>
      <c r="K52" s="105">
        <f t="shared" si="122"/>
        <v>213.90000000213789</v>
      </c>
      <c r="L52" s="105">
        <f t="shared" si="122"/>
        <v>189.72290275447352</v>
      </c>
      <c r="M52" s="105">
        <f t="shared" si="122"/>
        <v>187.43711142595453</v>
      </c>
      <c r="N52" s="105">
        <f t="shared" si="122"/>
        <v>229.00443544132031</v>
      </c>
      <c r="O52" s="105">
        <f t="shared" si="122"/>
        <v>188.61933971090335</v>
      </c>
      <c r="P52" s="106">
        <f>SUM(C52:O52)</f>
        <v>2581.8935401759122</v>
      </c>
      <c r="S52" s="25"/>
      <c r="AJ52" s="189">
        <f>P58+P64+P70</f>
        <v>27.18421644929083</v>
      </c>
    </row>
    <row r="53" spans="1:36">
      <c r="A53" s="87"/>
      <c r="B53" s="42" t="s">
        <v>36</v>
      </c>
      <c r="C53" s="99">
        <v>29.005005659999977</v>
      </c>
      <c r="D53" s="99">
        <v>26.812692099999961</v>
      </c>
      <c r="E53" s="99">
        <v>29.06857372999993</v>
      </c>
      <c r="F53" s="99">
        <v>28.73873046887125</v>
      </c>
      <c r="G53" s="99">
        <v>30.057169449999936</v>
      </c>
      <c r="H53" s="99">
        <v>34.492516619999954</v>
      </c>
      <c r="I53" s="99">
        <v>30.20309660999995</v>
      </c>
      <c r="J53" s="99">
        <v>30.909099409999971</v>
      </c>
      <c r="K53" s="99">
        <v>31.699999999505827</v>
      </c>
      <c r="L53" s="99">
        <v>35.130065706616662</v>
      </c>
      <c r="M53" s="99">
        <v>33.454224796222817</v>
      </c>
      <c r="N53" s="99">
        <v>30.184370272094757</v>
      </c>
      <c r="O53" s="99">
        <v>34.801177637302025</v>
      </c>
      <c r="P53" s="100">
        <f t="shared" ref="P53:P65" si="123">SUM(C53:O53)</f>
        <v>404.55672246061312</v>
      </c>
      <c r="R53">
        <v>404.88900000000012</v>
      </c>
      <c r="S53" s="25"/>
    </row>
    <row r="54" spans="1:36">
      <c r="A54" s="1"/>
      <c r="B54" s="43">
        <v>2024</v>
      </c>
      <c r="C54" s="93">
        <v>0.73956282751849434</v>
      </c>
      <c r="D54" s="93">
        <v>0.80282365787992027</v>
      </c>
      <c r="E54" s="93">
        <v>0.80686523900167806</v>
      </c>
      <c r="F54" s="93">
        <v>0.81644717778850529</v>
      </c>
      <c r="G54" s="93">
        <v>0.84375918736739786</v>
      </c>
      <c r="H54" s="93">
        <v>0.82920182392205199</v>
      </c>
      <c r="I54" s="93">
        <v>0.81598723592895361</v>
      </c>
      <c r="J54" s="93">
        <v>0.83022835597863054</v>
      </c>
      <c r="K54" s="93">
        <v>0.86799322561061054</v>
      </c>
      <c r="L54" s="93">
        <v>0.84195483316186481</v>
      </c>
      <c r="M54" s="93">
        <v>0.87484734550048038</v>
      </c>
      <c r="N54" s="93">
        <v>0.88094992111614723</v>
      </c>
      <c r="O54" s="93">
        <v>0.88132228474566299</v>
      </c>
      <c r="P54" s="101">
        <f>AVERAGE(C54:O54)</f>
        <v>0.83322639350156902</v>
      </c>
      <c r="R54">
        <v>0.82871117306859565</v>
      </c>
      <c r="S54" s="24">
        <v>2024</v>
      </c>
      <c r="T54" s="8" t="e">
        <f>AVERAGE(W54:AI54)</f>
        <v>#DIV/0!</v>
      </c>
      <c r="U54" s="8">
        <f>MAX(W54:AI54)</f>
        <v>0</v>
      </c>
      <c r="V54" s="8">
        <f>MIN(W54:AI54)</f>
        <v>0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6">
      <c r="A55" s="1"/>
      <c r="B55" s="43">
        <v>2025</v>
      </c>
      <c r="C55" s="94">
        <v>0.84101486099496092</v>
      </c>
      <c r="D55" s="94">
        <v>0.88797434469962144</v>
      </c>
      <c r="E55" s="94">
        <v>0.91651874902829888</v>
      </c>
      <c r="F55" s="94">
        <v>0.91521133881252548</v>
      </c>
      <c r="G55" s="94">
        <v>0.92659320488910923</v>
      </c>
      <c r="H55" s="94">
        <v>0.94604118011423388</v>
      </c>
      <c r="I55" s="94">
        <v>0.92386254070968066</v>
      </c>
      <c r="J55" s="94">
        <v>0.88957560938058877</v>
      </c>
      <c r="K55" s="45">
        <v>0.90330457610033399</v>
      </c>
      <c r="L55" s="45">
        <f t="shared" ref="L55" si="124">K55+0.3%</f>
        <v>0.90630457610033399</v>
      </c>
      <c r="M55" s="45">
        <v>0.90630457610033399</v>
      </c>
      <c r="N55" s="45">
        <v>0.90630457610033399</v>
      </c>
      <c r="O55" s="45">
        <v>0.90630457610033399</v>
      </c>
      <c r="P55" s="101">
        <f>AVERAGE(C55:O55)</f>
        <v>0.90579343916389921</v>
      </c>
      <c r="R55" s="32">
        <v>0.86884615384615382</v>
      </c>
      <c r="S55" s="24" t="s">
        <v>23</v>
      </c>
      <c r="T55" s="8">
        <f>AVERAGE(W55:AI55)</f>
        <v>0.83322639350156902</v>
      </c>
      <c r="U55" s="8">
        <f>MAX(C54:O54)</f>
        <v>0.88132228474566299</v>
      </c>
      <c r="V55" s="8">
        <f>MIN(C54:O54)</f>
        <v>0.73956282751849434</v>
      </c>
      <c r="W55" s="8">
        <f t="shared" ref="W55:AI55" si="125">C54-W54</f>
        <v>0.73956282751849434</v>
      </c>
      <c r="X55" s="8">
        <f t="shared" si="125"/>
        <v>0.80282365787992027</v>
      </c>
      <c r="Y55" s="8">
        <f t="shared" si="125"/>
        <v>0.80686523900167806</v>
      </c>
      <c r="Z55" s="8">
        <f t="shared" si="125"/>
        <v>0.81644717778850529</v>
      </c>
      <c r="AA55" s="8">
        <f t="shared" si="125"/>
        <v>0.84375918736739786</v>
      </c>
      <c r="AB55" s="8">
        <f t="shared" si="125"/>
        <v>0.82920182392205199</v>
      </c>
      <c r="AC55" s="8">
        <f t="shared" si="125"/>
        <v>0.81598723592895361</v>
      </c>
      <c r="AD55" s="8">
        <f t="shared" si="125"/>
        <v>0.83022835597863054</v>
      </c>
      <c r="AE55" s="8">
        <f t="shared" si="125"/>
        <v>0.86799322561061054</v>
      </c>
      <c r="AF55" s="8">
        <f t="shared" si="125"/>
        <v>0.84195483316186481</v>
      </c>
      <c r="AG55" s="8">
        <f t="shared" si="125"/>
        <v>0.87484734550048038</v>
      </c>
      <c r="AH55" s="8">
        <f t="shared" si="125"/>
        <v>0.88094992111614723</v>
      </c>
      <c r="AI55" s="8">
        <f t="shared" si="125"/>
        <v>0.88132228474566299</v>
      </c>
    </row>
    <row r="56" spans="1:36">
      <c r="A56" s="1"/>
      <c r="B56" s="46" t="s">
        <v>24</v>
      </c>
      <c r="C56" s="94">
        <f>C55-C54</f>
        <v>0.10145203347646659</v>
      </c>
      <c r="D56" s="94">
        <f t="shared" ref="D56:F56" si="126">D55-D54</f>
        <v>8.5150686819701171E-2</v>
      </c>
      <c r="E56" s="94">
        <f t="shared" si="126"/>
        <v>0.10965351002662083</v>
      </c>
      <c r="F56" s="94">
        <f t="shared" si="126"/>
        <v>9.8764161024020192E-2</v>
      </c>
      <c r="G56" s="94">
        <f>G55-G54</f>
        <v>8.2834017521711378E-2</v>
      </c>
      <c r="H56" s="94">
        <f t="shared" ref="H56:O56" si="127">H55-H54</f>
        <v>0.11683935619218189</v>
      </c>
      <c r="I56" s="94">
        <f t="shared" si="127"/>
        <v>0.10787530478072704</v>
      </c>
      <c r="J56" s="94">
        <f t="shared" si="127"/>
        <v>5.9347253401958233E-2</v>
      </c>
      <c r="K56" s="94">
        <f t="shared" si="127"/>
        <v>3.5311350489723448E-2</v>
      </c>
      <c r="L56" s="94">
        <f t="shared" si="127"/>
        <v>6.4349742938469179E-2</v>
      </c>
      <c r="M56" s="94">
        <f t="shared" si="127"/>
        <v>3.1457230599853614E-2</v>
      </c>
      <c r="N56" s="94">
        <f t="shared" si="127"/>
        <v>2.5354654984186764E-2</v>
      </c>
      <c r="O56" s="94">
        <f t="shared" si="127"/>
        <v>2.4982291354671005E-2</v>
      </c>
      <c r="P56" s="101">
        <f>(AVERAGE(C55:O55)-AVERAGE(C54:O54))</f>
        <v>7.2567045662330187E-2</v>
      </c>
      <c r="R56">
        <v>4.0134980777558171E-2</v>
      </c>
      <c r="S56" s="24" t="s">
        <v>25</v>
      </c>
      <c r="T56" s="8">
        <f>AVERAGE(W56:AI56)</f>
        <v>1.1813288102264055E-2</v>
      </c>
      <c r="U56" s="8">
        <f>MAX(C55:O55)</f>
        <v>0.94604118011423388</v>
      </c>
      <c r="V56" s="8">
        <f>MIN(C55:O55)</f>
        <v>0.84101486099496092</v>
      </c>
      <c r="X56" s="8">
        <f t="shared" ref="X56:AI56" si="128">D54-C54</f>
        <v>6.3260830361425935E-2</v>
      </c>
      <c r="Y56" s="8">
        <f t="shared" si="128"/>
        <v>4.0415811217577868E-3</v>
      </c>
      <c r="Z56" s="8">
        <f t="shared" si="128"/>
        <v>9.5819387868272266E-3</v>
      </c>
      <c r="AA56" s="8">
        <f t="shared" si="128"/>
        <v>2.7312009578892571E-2</v>
      </c>
      <c r="AB56" s="8">
        <f t="shared" si="128"/>
        <v>-1.4557363445345861E-2</v>
      </c>
      <c r="AC56" s="8">
        <f t="shared" si="128"/>
        <v>-1.3214587993098381E-2</v>
      </c>
      <c r="AD56" s="8">
        <f t="shared" si="128"/>
        <v>1.4241120049676925E-2</v>
      </c>
      <c r="AE56" s="8">
        <f t="shared" si="128"/>
        <v>3.7764869631980003E-2</v>
      </c>
      <c r="AF56" s="8">
        <f t="shared" si="128"/>
        <v>-2.6038392448745729E-2</v>
      </c>
      <c r="AG56" s="8">
        <f t="shared" si="128"/>
        <v>3.2892512338615565E-2</v>
      </c>
      <c r="AH56" s="8">
        <f t="shared" si="128"/>
        <v>6.1025756156668498E-3</v>
      </c>
      <c r="AI56" s="8">
        <f t="shared" si="128"/>
        <v>3.7236362951575952E-4</v>
      </c>
    </row>
    <row r="57" spans="1:36">
      <c r="A57" s="1"/>
      <c r="B57" s="43" t="s">
        <v>26</v>
      </c>
      <c r="C57" s="93">
        <f>C56/3%*1%</f>
        <v>3.3817344492155531E-2</v>
      </c>
      <c r="D57" s="93">
        <f t="shared" ref="D57:O57" si="129">D56/3%*1%</f>
        <v>2.8383562273233728E-2</v>
      </c>
      <c r="E57" s="93">
        <f t="shared" si="129"/>
        <v>3.6551170008873611E-2</v>
      </c>
      <c r="F57" s="93">
        <f t="shared" si="129"/>
        <v>3.2921387008006731E-2</v>
      </c>
      <c r="G57" s="93">
        <f t="shared" si="129"/>
        <v>2.7611339173903793E-2</v>
      </c>
      <c r="H57" s="93">
        <f t="shared" si="129"/>
        <v>3.8946452064060631E-2</v>
      </c>
      <c r="I57" s="93">
        <f t="shared" si="129"/>
        <v>3.5958434926909019E-2</v>
      </c>
      <c r="J57" s="93">
        <f t="shared" si="129"/>
        <v>1.9782417800652746E-2</v>
      </c>
      <c r="K57" s="93">
        <f t="shared" si="129"/>
        <v>1.1770450163241152E-2</v>
      </c>
      <c r="L57" s="93">
        <f t="shared" si="129"/>
        <v>2.144991431282306E-2</v>
      </c>
      <c r="M57" s="93">
        <f t="shared" si="129"/>
        <v>1.048574353328454E-2</v>
      </c>
      <c r="N57" s="93">
        <f t="shared" si="129"/>
        <v>8.4515516613955892E-3</v>
      </c>
      <c r="O57" s="93">
        <f t="shared" si="129"/>
        <v>8.3274304515570021E-3</v>
      </c>
      <c r="P57" s="102">
        <f>P56/3%*1%</f>
        <v>2.4189015220776731E-2</v>
      </c>
      <c r="R57">
        <v>1.3378326925852724E-2</v>
      </c>
      <c r="S57" s="25"/>
      <c r="T57" s="8" t="e">
        <f>(T54-C54)</f>
        <v>#DIV/0!</v>
      </c>
    </row>
    <row r="58" spans="1:36" ht="15" thickBot="1">
      <c r="A58" s="1"/>
      <c r="B58" s="49" t="s">
        <v>27</v>
      </c>
      <c r="C58" s="115">
        <f>C53*C57</f>
        <v>0.98087226840114017</v>
      </c>
      <c r="D58" s="115">
        <f t="shared" ref="D58:O58" si="130">D53*D57</f>
        <v>0.76103971593339093</v>
      </c>
      <c r="E58" s="115">
        <f t="shared" si="130"/>
        <v>1.0624903803207046</v>
      </c>
      <c r="F58" s="115">
        <f t="shared" si="130"/>
        <v>0.94611886788450517</v>
      </c>
      <c r="G58" s="115">
        <f t="shared" si="130"/>
        <v>0.82991870029144754</v>
      </c>
      <c r="H58" s="115">
        <f t="shared" si="130"/>
        <v>1.3433611451096428</v>
      </c>
      <c r="I58" s="115">
        <f t="shared" si="130"/>
        <v>1.0860560840418296</v>
      </c>
      <c r="J58" s="115">
        <f t="shared" si="130"/>
        <v>0.61145671837052873</v>
      </c>
      <c r="K58" s="115">
        <f t="shared" si="130"/>
        <v>0.37312327016892788</v>
      </c>
      <c r="L58" s="115">
        <f t="shared" si="130"/>
        <v>0.75353689921077127</v>
      </c>
      <c r="M58" s="115">
        <f t="shared" si="130"/>
        <v>0.35079242131804073</v>
      </c>
      <c r="N58" s="115">
        <f t="shared" si="130"/>
        <v>0.25510476472130206</v>
      </c>
      <c r="O58" s="115">
        <f t="shared" si="130"/>
        <v>0.28980438640691347</v>
      </c>
      <c r="P58" s="103">
        <f>SUM(C58:O58)</f>
        <v>9.6436756221791455</v>
      </c>
      <c r="Q58" s="31"/>
      <c r="R58">
        <v>5.442277740796257</v>
      </c>
      <c r="S58" s="25"/>
    </row>
    <row r="59" spans="1:36">
      <c r="A59" s="1"/>
      <c r="B59" s="42" t="s">
        <v>32</v>
      </c>
      <c r="C59" s="99">
        <v>80.625885809999758</v>
      </c>
      <c r="D59" s="99">
        <v>122.5054939500009</v>
      </c>
      <c r="E59" s="99">
        <v>92.664056410000612</v>
      </c>
      <c r="F59" s="99">
        <v>102.3017518600012</v>
      </c>
      <c r="G59" s="99">
        <v>129.30017314000028</v>
      </c>
      <c r="H59" s="99">
        <v>117.96777361000163</v>
      </c>
      <c r="I59" s="99">
        <v>120.55208301000046</v>
      </c>
      <c r="J59" s="99">
        <v>103.90401211908083</v>
      </c>
      <c r="K59" s="99">
        <v>122.7</v>
      </c>
      <c r="L59" s="99">
        <v>106.8212103122181</v>
      </c>
      <c r="M59" s="99">
        <v>106.8212103122181</v>
      </c>
      <c r="N59" s="99">
        <v>153.4157040636278</v>
      </c>
      <c r="O59" s="99">
        <v>106.91289414077345</v>
      </c>
      <c r="P59" s="100">
        <f t="shared" si="123"/>
        <v>1466.4922487379231</v>
      </c>
      <c r="R59">
        <v>1583.9646012801188</v>
      </c>
      <c r="S59" s="25"/>
    </row>
    <row r="60" spans="1:36">
      <c r="A60" s="1"/>
      <c r="B60" s="43">
        <v>2024</v>
      </c>
      <c r="C60" s="93">
        <v>0.92963575403110643</v>
      </c>
      <c r="D60" s="93">
        <v>0.9283990474619026</v>
      </c>
      <c r="E60" s="93">
        <v>0.94992743290396775</v>
      </c>
      <c r="F60" s="93">
        <v>0.94077385886562981</v>
      </c>
      <c r="G60" s="93">
        <v>0.9434625708951615</v>
      </c>
      <c r="H60" s="93">
        <v>0.93841138507097088</v>
      </c>
      <c r="I60" s="93">
        <v>0.92914239244273322</v>
      </c>
      <c r="J60" s="93">
        <v>0.90955169285389481</v>
      </c>
      <c r="K60" s="93">
        <v>0.92484432155591012</v>
      </c>
      <c r="L60" s="93">
        <v>0.87516435040630847</v>
      </c>
      <c r="M60" s="93">
        <v>0.96460885004578423</v>
      </c>
      <c r="N60" s="93">
        <v>0.95631927078150281</v>
      </c>
      <c r="O60" s="93">
        <v>0.96431243523117649</v>
      </c>
      <c r="P60" s="101">
        <f>AVERAGE(C60:O60)</f>
        <v>0.93496564327277309</v>
      </c>
      <c r="R60" s="7">
        <v>0.91787009415372067</v>
      </c>
      <c r="S60" s="24">
        <v>2024</v>
      </c>
      <c r="T60" s="8" t="e">
        <f>AVERAGE(W60:AI60)</f>
        <v>#DIV/0!</v>
      </c>
      <c r="U60" s="8">
        <f>MAX(W60:AI60)</f>
        <v>0</v>
      </c>
      <c r="V60" s="8">
        <f>MIN(W60:AI60)</f>
        <v>0</v>
      </c>
      <c r="W60" s="30"/>
      <c r="X60" s="5"/>
      <c r="Y60" s="30"/>
      <c r="Z60" s="5"/>
      <c r="AA60" s="30"/>
      <c r="AB60" s="5"/>
      <c r="AC60" s="30"/>
      <c r="AD60" s="5"/>
      <c r="AE60" s="30"/>
      <c r="AF60" s="5"/>
      <c r="AG60" s="30"/>
      <c r="AH60" s="5"/>
      <c r="AI60" s="30"/>
    </row>
    <row r="61" spans="1:36">
      <c r="A61" s="1"/>
      <c r="B61" s="43">
        <v>2025</v>
      </c>
      <c r="C61" s="94">
        <v>0.94827006090375499</v>
      </c>
      <c r="D61" s="94">
        <v>0.93584658003853449</v>
      </c>
      <c r="E61" s="94">
        <v>0.9646530049609352</v>
      </c>
      <c r="F61" s="94">
        <v>0.94401058488719503</v>
      </c>
      <c r="G61" s="94">
        <v>0.96793651733991881</v>
      </c>
      <c r="H61" s="94">
        <v>0.96069192018203309</v>
      </c>
      <c r="I61" s="94">
        <v>0.95726105099150238</v>
      </c>
      <c r="J61" s="94">
        <v>0.9861490533576408</v>
      </c>
      <c r="K61" s="45">
        <v>0.96542803705003066</v>
      </c>
      <c r="L61" s="45">
        <v>0.96</v>
      </c>
      <c r="M61" s="45">
        <v>0.96</v>
      </c>
      <c r="N61" s="45">
        <v>0.96</v>
      </c>
      <c r="O61" s="45">
        <v>0.96</v>
      </c>
      <c r="P61" s="101">
        <f>AVERAGE(C61:O61)</f>
        <v>0.95924975459319595</v>
      </c>
      <c r="R61">
        <v>0.93823076923076931</v>
      </c>
      <c r="S61" s="24" t="s">
        <v>23</v>
      </c>
      <c r="T61" s="8">
        <f>AVERAGE(W61:AI61)</f>
        <v>0.93496564327277309</v>
      </c>
      <c r="U61" s="8">
        <f>MAX(C60:O60)</f>
        <v>0.96460885004578423</v>
      </c>
      <c r="V61" s="8">
        <f>MIN(C60:O60)</f>
        <v>0.87516435040630847</v>
      </c>
      <c r="W61" s="8">
        <f t="shared" ref="W61:AI61" si="131">C60-W60</f>
        <v>0.92963575403110643</v>
      </c>
      <c r="X61" s="8">
        <f t="shared" si="131"/>
        <v>0.9283990474619026</v>
      </c>
      <c r="Y61" s="8">
        <f t="shared" si="131"/>
        <v>0.94992743290396775</v>
      </c>
      <c r="Z61" s="8">
        <f t="shared" si="131"/>
        <v>0.94077385886562981</v>
      </c>
      <c r="AA61" s="8">
        <f t="shared" si="131"/>
        <v>0.9434625708951615</v>
      </c>
      <c r="AB61" s="8">
        <f t="shared" si="131"/>
        <v>0.93841138507097088</v>
      </c>
      <c r="AC61" s="8">
        <f t="shared" si="131"/>
        <v>0.92914239244273322</v>
      </c>
      <c r="AD61" s="8">
        <f t="shared" si="131"/>
        <v>0.90955169285389481</v>
      </c>
      <c r="AE61" s="8">
        <f t="shared" si="131"/>
        <v>0.92484432155591012</v>
      </c>
      <c r="AF61" s="8">
        <f t="shared" si="131"/>
        <v>0.87516435040630847</v>
      </c>
      <c r="AG61" s="8">
        <f t="shared" si="131"/>
        <v>0.96460885004578423</v>
      </c>
      <c r="AH61" s="8">
        <f t="shared" si="131"/>
        <v>0.95631927078150281</v>
      </c>
      <c r="AI61" s="8">
        <f t="shared" si="131"/>
        <v>0.96431243523117649</v>
      </c>
    </row>
    <row r="62" spans="1:36">
      <c r="A62" s="1"/>
      <c r="B62" s="46" t="s">
        <v>24</v>
      </c>
      <c r="C62" s="94">
        <f>C61-C60</f>
        <v>1.8634306872648554E-2</v>
      </c>
      <c r="D62" s="94">
        <f t="shared" ref="D62:F62" si="132">D61-D60</f>
        <v>7.4475325766318878E-3</v>
      </c>
      <c r="E62" s="94">
        <f t="shared" si="132"/>
        <v>1.4725572056967451E-2</v>
      </c>
      <c r="F62" s="94">
        <f t="shared" si="132"/>
        <v>3.2367260215652172E-3</v>
      </c>
      <c r="G62" s="94">
        <f>G61-G60</f>
        <v>2.4473946444757311E-2</v>
      </c>
      <c r="H62" s="94">
        <f t="shared" ref="H62:O62" si="133">H61-H60</f>
        <v>2.2280535111062205E-2</v>
      </c>
      <c r="I62" s="94">
        <f t="shared" si="133"/>
        <v>2.811865854876916E-2</v>
      </c>
      <c r="J62" s="94">
        <f t="shared" si="133"/>
        <v>7.6597360503745993E-2</v>
      </c>
      <c r="K62" s="94">
        <f t="shared" si="133"/>
        <v>4.0583715494120542E-2</v>
      </c>
      <c r="L62" s="94">
        <f t="shared" si="133"/>
        <v>8.4835649593691498E-2</v>
      </c>
      <c r="M62" s="94">
        <f t="shared" si="133"/>
        <v>-4.6088500457842629E-3</v>
      </c>
      <c r="N62" s="94">
        <f t="shared" si="133"/>
        <v>3.6807292184971585E-3</v>
      </c>
      <c r="O62" s="94">
        <f t="shared" si="133"/>
        <v>-4.3124352311765257E-3</v>
      </c>
      <c r="P62" s="101">
        <f>(AVERAGE(C61:O61)-AVERAGE(C60:O60))</f>
        <v>2.4284111320422852E-2</v>
      </c>
      <c r="R62">
        <v>2.036067507704864E-2</v>
      </c>
      <c r="S62" s="24" t="s">
        <v>25</v>
      </c>
      <c r="T62" s="8">
        <f>AVERAGE(W62:AI62)</f>
        <v>2.8897234333391717E-3</v>
      </c>
      <c r="U62" s="8">
        <f>MAX(C61:O61)</f>
        <v>0.9861490533576408</v>
      </c>
      <c r="V62" s="8">
        <f>MIN(C61:O61)</f>
        <v>0.93584658003853449</v>
      </c>
      <c r="X62" s="8">
        <f t="shared" ref="X62:AI62" si="134">D60-C60</f>
        <v>-1.236706569203827E-3</v>
      </c>
      <c r="Y62" s="8">
        <f t="shared" si="134"/>
        <v>2.1528385442065145E-2</v>
      </c>
      <c r="Z62" s="8">
        <f t="shared" si="134"/>
        <v>-9.1535740383379416E-3</v>
      </c>
      <c r="AA62" s="8">
        <f t="shared" si="134"/>
        <v>2.6887120295316924E-3</v>
      </c>
      <c r="AB62" s="8">
        <f t="shared" si="134"/>
        <v>-5.0511858241906182E-3</v>
      </c>
      <c r="AC62" s="8">
        <f t="shared" si="134"/>
        <v>-9.26899262823766E-3</v>
      </c>
      <c r="AD62" s="8">
        <f t="shared" si="134"/>
        <v>-1.9590699588838412E-2</v>
      </c>
      <c r="AE62" s="8">
        <f t="shared" si="134"/>
        <v>1.529262870201531E-2</v>
      </c>
      <c r="AF62" s="8">
        <f t="shared" si="134"/>
        <v>-4.9679971149601654E-2</v>
      </c>
      <c r="AG62" s="8">
        <f t="shared" si="134"/>
        <v>8.9444499639475761E-2</v>
      </c>
      <c r="AH62" s="8">
        <f t="shared" si="134"/>
        <v>-8.2895792642814214E-3</v>
      </c>
      <c r="AI62" s="8">
        <f t="shared" si="134"/>
        <v>7.9931644496736842E-3</v>
      </c>
    </row>
    <row r="63" spans="1:36">
      <c r="A63" s="1"/>
      <c r="B63" s="43" t="s">
        <v>26</v>
      </c>
      <c r="C63" s="93">
        <f>C62/3%*1%</f>
        <v>6.2114356242161852E-3</v>
      </c>
      <c r="D63" s="93">
        <f t="shared" ref="D63:O63" si="135">D62/3%*1%</f>
        <v>2.4825108588772959E-3</v>
      </c>
      <c r="E63" s="93">
        <f t="shared" si="135"/>
        <v>4.9085240189891506E-3</v>
      </c>
      <c r="F63" s="93">
        <f t="shared" si="135"/>
        <v>1.0789086738550724E-3</v>
      </c>
      <c r="G63" s="93">
        <f t="shared" si="135"/>
        <v>8.1579821482524375E-3</v>
      </c>
      <c r="H63" s="93">
        <f t="shared" si="135"/>
        <v>7.4268450370207351E-3</v>
      </c>
      <c r="I63" s="93">
        <f t="shared" si="135"/>
        <v>9.3728861829230539E-3</v>
      </c>
      <c r="J63" s="93">
        <f t="shared" si="135"/>
        <v>2.5532453501248664E-2</v>
      </c>
      <c r="K63" s="93">
        <f t="shared" si="135"/>
        <v>1.3527905164706849E-2</v>
      </c>
      <c r="L63" s="93">
        <f t="shared" si="135"/>
        <v>2.8278549864563837E-2</v>
      </c>
      <c r="M63" s="93">
        <f t="shared" si="135"/>
        <v>-1.5362833485947545E-3</v>
      </c>
      <c r="N63" s="93">
        <f t="shared" si="135"/>
        <v>1.2269097394990529E-3</v>
      </c>
      <c r="O63" s="93">
        <f t="shared" si="135"/>
        <v>-1.4374784103921754E-3</v>
      </c>
      <c r="P63" s="102">
        <f>P62/3%*1%</f>
        <v>8.0947037734742846E-3</v>
      </c>
      <c r="R63">
        <v>6.7868916923495472E-3</v>
      </c>
      <c r="S63" s="25"/>
      <c r="T63" s="8" t="e">
        <f>(T60-C60)</f>
        <v>#DIV/0!</v>
      </c>
    </row>
    <row r="64" spans="1:36" ht="15" thickBot="1">
      <c r="A64" s="1"/>
      <c r="B64" s="49" t="s">
        <v>27</v>
      </c>
      <c r="C64" s="115">
        <f>C59*C63</f>
        <v>0.50080249935421872</v>
      </c>
      <c r="D64" s="115">
        <f t="shared" ref="D64:O64" si="136">D59*D63</f>
        <v>0.3041212190030041</v>
      </c>
      <c r="E64" s="115">
        <f t="shared" si="136"/>
        <v>0.45484374658545357</v>
      </c>
      <c r="F64" s="115">
        <f t="shared" si="136"/>
        <v>0.11037424743232459</v>
      </c>
      <c r="G64" s="115">
        <f t="shared" si="136"/>
        <v>1.0548285042420715</v>
      </c>
      <c r="H64" s="115">
        <f t="shared" si="136"/>
        <v>0.87612837396382626</v>
      </c>
      <c r="I64" s="115">
        <f t="shared" si="136"/>
        <v>1.1299209531670262</v>
      </c>
      <c r="J64" s="115">
        <f t="shared" si="136"/>
        <v>2.652924358023609</v>
      </c>
      <c r="K64" s="115">
        <f t="shared" si="136"/>
        <v>1.6598739637095303</v>
      </c>
      <c r="L64" s="115">
        <f>L59*L63</f>
        <v>3.0207489224071202</v>
      </c>
      <c r="M64" s="115">
        <f t="shared" si="136"/>
        <v>-0.16410764667939895</v>
      </c>
      <c r="N64" s="115">
        <f t="shared" si="136"/>
        <v>0.18822722150776938</v>
      </c>
      <c r="O64" s="115">
        <f t="shared" si="136"/>
        <v>-0.15368497711990595</v>
      </c>
      <c r="P64" s="103">
        <f>SUM(C64:O64)</f>
        <v>11.635001385596651</v>
      </c>
      <c r="Q64" s="31"/>
      <c r="R64">
        <v>11.01830404459786</v>
      </c>
      <c r="S64" s="25"/>
    </row>
    <row r="65" spans="1:36">
      <c r="A65" s="1"/>
      <c r="B65" s="42" t="s">
        <v>37</v>
      </c>
      <c r="C65" s="99">
        <v>59.09950598999999</v>
      </c>
      <c r="D65" s="99">
        <v>59.719425979999976</v>
      </c>
      <c r="E65" s="99">
        <v>58.254078079999992</v>
      </c>
      <c r="F65" s="99">
        <v>56.409517553165969</v>
      </c>
      <c r="G65" s="99">
        <v>54.97821394999999</v>
      </c>
      <c r="H65" s="99">
        <v>57.525917609999993</v>
      </c>
      <c r="I65" s="99">
        <v>58.668022530000002</v>
      </c>
      <c r="J65" s="99">
        <v>59.44695518999999</v>
      </c>
      <c r="K65" s="99">
        <v>59.500000002632049</v>
      </c>
      <c r="L65" s="99">
        <v>47.771626735638762</v>
      </c>
      <c r="M65" s="99">
        <v>47.161676317513617</v>
      </c>
      <c r="N65" s="99">
        <v>45.404361105597751</v>
      </c>
      <c r="O65" s="99">
        <v>46.90526793282789</v>
      </c>
      <c r="P65" s="100">
        <f t="shared" si="123"/>
        <v>710.84456897737596</v>
      </c>
      <c r="R65">
        <v>577</v>
      </c>
      <c r="S65" s="25"/>
    </row>
    <row r="66" spans="1:36">
      <c r="A66" s="1"/>
      <c r="B66" s="43">
        <v>2024</v>
      </c>
      <c r="C66" s="93"/>
      <c r="D66" s="93"/>
      <c r="E66" s="93">
        <v>0.8502664624670806</v>
      </c>
      <c r="F66" s="93">
        <v>0.89917809452651931</v>
      </c>
      <c r="G66" s="93">
        <v>0.91767974253008666</v>
      </c>
      <c r="H66" s="93">
        <v>0.89058448715792715</v>
      </c>
      <c r="I66" s="93">
        <v>0.94092019870272381</v>
      </c>
      <c r="J66" s="93">
        <v>0.9514905504891773</v>
      </c>
      <c r="K66" s="93">
        <v>0.95490944368218866</v>
      </c>
      <c r="L66" s="93">
        <v>0.95274002275123382</v>
      </c>
      <c r="M66" s="93">
        <v>0.96766423695506854</v>
      </c>
      <c r="N66" s="93">
        <v>0.96427702970074569</v>
      </c>
      <c r="O66" s="93">
        <v>0.95963102142481616</v>
      </c>
      <c r="P66" s="101">
        <f>AVERAGE(E66:O66)</f>
        <v>0.9317582991261425</v>
      </c>
      <c r="R66">
        <v>0.92241963128533111</v>
      </c>
      <c r="S66" s="24">
        <v>2024</v>
      </c>
      <c r="T66" s="8" t="e">
        <f>AVERAGE(W66:AI66)</f>
        <v>#DIV/0!</v>
      </c>
      <c r="U66" s="8">
        <f>MAX(W66:AI66)</f>
        <v>0</v>
      </c>
      <c r="V66" s="8">
        <f>MIN(W66:AI66)</f>
        <v>0</v>
      </c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1:36">
      <c r="A67" s="1"/>
      <c r="B67" s="43">
        <v>2025</v>
      </c>
      <c r="C67" s="94">
        <v>0.93537782880433507</v>
      </c>
      <c r="D67" s="94">
        <v>0.97176110086008616</v>
      </c>
      <c r="E67" s="94">
        <v>0.97298707212576885</v>
      </c>
      <c r="F67" s="94">
        <v>0.97502460957534687</v>
      </c>
      <c r="G67" s="94">
        <v>0.98580190192680373</v>
      </c>
      <c r="H67" s="94">
        <v>0.98031105941443264</v>
      </c>
      <c r="I67" s="94">
        <v>0.9664415015843103</v>
      </c>
      <c r="J67" s="94">
        <v>0.9399649441924196</v>
      </c>
      <c r="K67" s="45">
        <v>0.94376012515115215</v>
      </c>
      <c r="L67" s="45">
        <f t="shared" ref="L67:O67" si="137">K67+0.1%</f>
        <v>0.94476012515115215</v>
      </c>
      <c r="M67" s="45">
        <f t="shared" si="137"/>
        <v>0.94576012515115215</v>
      </c>
      <c r="N67" s="45">
        <f t="shared" si="137"/>
        <v>0.94676012515115215</v>
      </c>
      <c r="O67" s="45">
        <f t="shared" si="137"/>
        <v>0.94776012515115216</v>
      </c>
      <c r="P67" s="101">
        <f>AVERAGE(C67:O67)</f>
        <v>0.9581900495568666</v>
      </c>
      <c r="R67">
        <v>0.94923076923076921</v>
      </c>
      <c r="S67" s="24" t="s">
        <v>23</v>
      </c>
      <c r="T67" s="8">
        <f>AVERAGE(W67:AI67)</f>
        <v>0.93501631958610487</v>
      </c>
      <c r="U67" s="8">
        <f>MAX(C66:O66)</f>
        <v>0.96766423695506854</v>
      </c>
      <c r="V67" s="8">
        <f>MIN(C66:O66)</f>
        <v>0.8502664624670806</v>
      </c>
      <c r="W67" s="8"/>
      <c r="X67" s="8"/>
      <c r="Y67" s="8">
        <f t="shared" ref="Y67" si="138">E66-Y66</f>
        <v>0.8502664624670806</v>
      </c>
      <c r="Z67" s="8"/>
      <c r="AA67" s="8">
        <f t="shared" ref="AA67:AI67" si="139">G66-AA66</f>
        <v>0.91767974253008666</v>
      </c>
      <c r="AB67" s="8">
        <f t="shared" si="139"/>
        <v>0.89058448715792715</v>
      </c>
      <c r="AC67" s="8">
        <f t="shared" si="139"/>
        <v>0.94092019870272381</v>
      </c>
      <c r="AD67" s="8">
        <f t="shared" si="139"/>
        <v>0.9514905504891773</v>
      </c>
      <c r="AE67" s="8">
        <f t="shared" si="139"/>
        <v>0.95490944368218866</v>
      </c>
      <c r="AF67" s="8">
        <f t="shared" si="139"/>
        <v>0.95274002275123382</v>
      </c>
      <c r="AG67" s="8">
        <f t="shared" si="139"/>
        <v>0.96766423695506854</v>
      </c>
      <c r="AH67" s="8">
        <f t="shared" si="139"/>
        <v>0.96427702970074569</v>
      </c>
      <c r="AI67" s="8">
        <f t="shared" si="139"/>
        <v>0.95963102142481616</v>
      </c>
    </row>
    <row r="68" spans="1:36">
      <c r="A68" s="1"/>
      <c r="B68" s="46" t="s">
        <v>24</v>
      </c>
      <c r="C68" s="94">
        <f>C67-C66</f>
        <v>0.93537782880433507</v>
      </c>
      <c r="D68" s="94">
        <f t="shared" ref="D68:F68" si="140">D67-D66</f>
        <v>0.97176110086008616</v>
      </c>
      <c r="E68" s="94">
        <f t="shared" si="140"/>
        <v>0.12272060965868825</v>
      </c>
      <c r="F68" s="94">
        <f t="shared" si="140"/>
        <v>7.5846515048827556E-2</v>
      </c>
      <c r="G68" s="94">
        <f>G67-G66</f>
        <v>6.8122159396717064E-2</v>
      </c>
      <c r="H68" s="94">
        <f t="shared" ref="H68:O68" si="141">H67-H66</f>
        <v>8.9726572256505488E-2</v>
      </c>
      <c r="I68" s="94">
        <f t="shared" si="141"/>
        <v>2.5521302881586494E-2</v>
      </c>
      <c r="J68" s="94">
        <f t="shared" si="141"/>
        <v>-1.1525606296757696E-2</v>
      </c>
      <c r="K68" s="94">
        <f t="shared" si="141"/>
        <v>-1.1149318531036512E-2</v>
      </c>
      <c r="L68" s="94">
        <f t="shared" si="141"/>
        <v>-7.9798976000816646E-3</v>
      </c>
      <c r="M68" s="94">
        <f t="shared" si="141"/>
        <v>-2.1904111803916382E-2</v>
      </c>
      <c r="N68" s="94">
        <f t="shared" si="141"/>
        <v>-1.7516904549593537E-2</v>
      </c>
      <c r="O68" s="94">
        <f t="shared" si="141"/>
        <v>-1.1870896273664E-2</v>
      </c>
      <c r="P68" s="101">
        <f>(AVERAGE(C67:O67)-AVERAGE(E66:O66))</f>
        <v>2.6431750430724099E-2</v>
      </c>
      <c r="R68">
        <v>2.6811137945438102E-2</v>
      </c>
      <c r="S68" s="24" t="s">
        <v>25</v>
      </c>
      <c r="T68" s="8">
        <f>AVERAGE(W68:AI68)</f>
        <v>7.9969251785401346E-2</v>
      </c>
      <c r="U68" s="8">
        <f>MAX(C67:O67)</f>
        <v>0.98580190192680373</v>
      </c>
      <c r="V68" s="8">
        <f>MIN(C67:O67)</f>
        <v>0.93537782880433507</v>
      </c>
      <c r="X68" s="8">
        <f t="shared" ref="X68:AI68" si="142">D66-C66</f>
        <v>0</v>
      </c>
      <c r="Y68" s="8">
        <f t="shared" si="142"/>
        <v>0.8502664624670806</v>
      </c>
      <c r="Z68" s="8">
        <f t="shared" si="142"/>
        <v>4.8911632059438714E-2</v>
      </c>
      <c r="AA68" s="8">
        <f t="shared" si="142"/>
        <v>1.850164800356735E-2</v>
      </c>
      <c r="AB68" s="8">
        <f t="shared" si="142"/>
        <v>-2.709525537215951E-2</v>
      </c>
      <c r="AC68" s="8">
        <f t="shared" si="142"/>
        <v>5.0335711544796657E-2</v>
      </c>
      <c r="AD68" s="8">
        <f t="shared" si="142"/>
        <v>1.0570351786453491E-2</v>
      </c>
      <c r="AE68" s="8">
        <f t="shared" si="142"/>
        <v>3.4188931930113631E-3</v>
      </c>
      <c r="AF68" s="8">
        <f t="shared" si="142"/>
        <v>-2.1694209309548462E-3</v>
      </c>
      <c r="AG68" s="8">
        <f t="shared" si="142"/>
        <v>1.4924214203834718E-2</v>
      </c>
      <c r="AH68" s="8">
        <f t="shared" si="142"/>
        <v>-3.3872072543228438E-3</v>
      </c>
      <c r="AI68" s="8">
        <f t="shared" si="142"/>
        <v>-4.6460082759295362E-3</v>
      </c>
    </row>
    <row r="69" spans="1:36">
      <c r="A69" s="1"/>
      <c r="B69" s="43" t="s">
        <v>26</v>
      </c>
      <c r="C69" s="93"/>
      <c r="D69" s="93"/>
      <c r="E69" s="93">
        <f t="shared" ref="E69:O69" si="143">E68/3%*1%</f>
        <v>4.0906869886229415E-2</v>
      </c>
      <c r="F69" s="93">
        <f t="shared" si="143"/>
        <v>2.5282171682942521E-2</v>
      </c>
      <c r="G69" s="93">
        <f t="shared" si="143"/>
        <v>2.2707386465572355E-2</v>
      </c>
      <c r="H69" s="93">
        <f t="shared" si="143"/>
        <v>2.9908857418835165E-2</v>
      </c>
      <c r="I69" s="93">
        <f t="shared" si="143"/>
        <v>8.5071009605288319E-3</v>
      </c>
      <c r="J69" s="93">
        <f t="shared" si="143"/>
        <v>-3.8418687655858985E-3</v>
      </c>
      <c r="K69" s="93">
        <f t="shared" si="143"/>
        <v>-3.7164395103455039E-3</v>
      </c>
      <c r="L69" s="93">
        <f t="shared" si="143"/>
        <v>-2.6599658666938888E-3</v>
      </c>
      <c r="M69" s="93">
        <f t="shared" si="143"/>
        <v>-7.3013706013054618E-3</v>
      </c>
      <c r="N69" s="93">
        <f t="shared" si="143"/>
        <v>-5.8389681831978457E-3</v>
      </c>
      <c r="O69" s="93">
        <f t="shared" si="143"/>
        <v>-3.9569654245546673E-3</v>
      </c>
      <c r="P69" s="102">
        <f>P68/3%*1%</f>
        <v>8.8105834769080342E-3</v>
      </c>
      <c r="R69">
        <v>8.9370459818127017E-3</v>
      </c>
      <c r="S69" s="25"/>
      <c r="T69" s="8" t="e">
        <f>(T66-C66)</f>
        <v>#DIV/0!</v>
      </c>
    </row>
    <row r="70" spans="1:36" ht="15" thickBot="1">
      <c r="A70" s="86"/>
      <c r="B70" s="52" t="s">
        <v>27</v>
      </c>
      <c r="C70" s="116">
        <f>C65*C69</f>
        <v>0</v>
      </c>
      <c r="D70" s="116">
        <f t="shared" ref="D70:O70" si="144">D65*D69</f>
        <v>0</v>
      </c>
      <c r="E70" s="116">
        <f t="shared" si="144"/>
        <v>2.3829919923608087</v>
      </c>
      <c r="F70" s="116">
        <f t="shared" si="144"/>
        <v>1.4261551073311018</v>
      </c>
      <c r="G70" s="116">
        <f t="shared" si="144"/>
        <v>1.248411551349571</v>
      </c>
      <c r="H70" s="116">
        <f t="shared" si="144"/>
        <v>1.7205344676851488</v>
      </c>
      <c r="I70" s="116">
        <f t="shared" si="144"/>
        <v>0.49909479081729019</v>
      </c>
      <c r="J70" s="116">
        <f t="shared" si="144"/>
        <v>-0.22838740035364549</v>
      </c>
      <c r="K70" s="116">
        <f t="shared" si="144"/>
        <v>-0.22112815087533932</v>
      </c>
      <c r="L70" s="116">
        <f t="shared" si="144"/>
        <v>-0.1270708965132403</v>
      </c>
      <c r="M70" s="116">
        <f t="shared" si="144"/>
        <v>-0.34434487697297794</v>
      </c>
      <c r="N70" s="116">
        <f t="shared" si="144"/>
        <v>-0.26511461987401103</v>
      </c>
      <c r="O70" s="116">
        <f t="shared" si="144"/>
        <v>-0.18560252343967273</v>
      </c>
      <c r="P70" s="104">
        <f>SUM(C70:O70)</f>
        <v>5.9055394415150335</v>
      </c>
      <c r="Q70" s="31"/>
      <c r="R70">
        <v>5.0253029549346744</v>
      </c>
      <c r="S70" s="25"/>
    </row>
    <row r="71" spans="1:36" ht="15" thickBot="1">
      <c r="A71" s="82" t="s">
        <v>20</v>
      </c>
      <c r="B71" s="88" t="s">
        <v>38</v>
      </c>
      <c r="C71" s="107">
        <f>C72</f>
        <v>33.678142323298999</v>
      </c>
      <c r="D71" s="107">
        <f t="shared" ref="D71:O71" si="145">D72</f>
        <v>38.816506463930288</v>
      </c>
      <c r="E71" s="107">
        <f t="shared" si="145"/>
        <v>38.260569052491697</v>
      </c>
      <c r="F71" s="107">
        <f t="shared" si="145"/>
        <v>44.169327319222539</v>
      </c>
      <c r="G71" s="107">
        <f t="shared" si="145"/>
        <v>43.462151999649677</v>
      </c>
      <c r="H71" s="107">
        <f t="shared" si="145"/>
        <v>40.39878875223706</v>
      </c>
      <c r="I71" s="107">
        <f t="shared" si="145"/>
        <v>41.642122412669572</v>
      </c>
      <c r="J71" s="107">
        <f t="shared" si="145"/>
        <v>41.874645465699992</v>
      </c>
      <c r="K71" s="107">
        <f t="shared" si="145"/>
        <v>38.678060570108201</v>
      </c>
      <c r="L71" s="107">
        <f t="shared" si="145"/>
        <v>34.181736028833122</v>
      </c>
      <c r="M71" s="107">
        <f t="shared" si="145"/>
        <v>29.907810335836164</v>
      </c>
      <c r="N71" s="107">
        <f t="shared" si="145"/>
        <v>32.122129303474857</v>
      </c>
      <c r="O71" s="107">
        <f t="shared" si="145"/>
        <v>34.094710392550382</v>
      </c>
      <c r="P71" s="106">
        <f>SUM(C71:O71)</f>
        <v>491.2867004200026</v>
      </c>
      <c r="S71" s="25"/>
      <c r="AJ71" s="189">
        <f>P77</f>
        <v>3.0843091438991568</v>
      </c>
    </row>
    <row r="72" spans="1:36">
      <c r="A72" s="89"/>
      <c r="B72" s="42" t="s">
        <v>39</v>
      </c>
      <c r="C72" s="99">
        <v>33.678142323298999</v>
      </c>
      <c r="D72" s="99">
        <v>38.816506463930288</v>
      </c>
      <c r="E72" s="99">
        <v>38.260569052491697</v>
      </c>
      <c r="F72" s="99">
        <v>44.169327319222539</v>
      </c>
      <c r="G72" s="99">
        <v>43.462151999649677</v>
      </c>
      <c r="H72" s="99">
        <v>40.39878875223706</v>
      </c>
      <c r="I72" s="99">
        <v>41.642122412669572</v>
      </c>
      <c r="J72" s="99">
        <v>41.874645465699992</v>
      </c>
      <c r="K72" s="99">
        <v>38.678060570108201</v>
      </c>
      <c r="L72" s="99">
        <v>34.181736028833122</v>
      </c>
      <c r="M72" s="99">
        <v>29.907810335836164</v>
      </c>
      <c r="N72" s="99">
        <v>32.122129303474857</v>
      </c>
      <c r="O72" s="99">
        <v>34.094710392550382</v>
      </c>
      <c r="P72" s="100">
        <f>SUM(C72:O72)</f>
        <v>491.2867004200026</v>
      </c>
      <c r="R72">
        <v>417.44377008629726</v>
      </c>
      <c r="S72" s="25"/>
    </row>
    <row r="73" spans="1:36">
      <c r="A73" s="4"/>
      <c r="B73" s="43">
        <v>2024</v>
      </c>
      <c r="C73" s="93">
        <v>0.89162690053737359</v>
      </c>
      <c r="D73" s="93">
        <v>0.97229992137638088</v>
      </c>
      <c r="E73" s="93">
        <v>0.97060557895923172</v>
      </c>
      <c r="F73" s="93">
        <v>0.96009622275905615</v>
      </c>
      <c r="G73" s="93">
        <v>0.97472072811499633</v>
      </c>
      <c r="H73" s="93">
        <v>0.9606285577008723</v>
      </c>
      <c r="I73" s="93">
        <v>0.95695284739123787</v>
      </c>
      <c r="J73" s="93">
        <v>0.91197754559217825</v>
      </c>
      <c r="K73" s="93">
        <v>0.92835875230405396</v>
      </c>
      <c r="L73" s="93">
        <v>0.7395530073036406</v>
      </c>
      <c r="M73" s="93">
        <v>0.65292086847981912</v>
      </c>
      <c r="N73" s="93">
        <v>0.6327605117694084</v>
      </c>
      <c r="O73" s="93">
        <v>0.79629547964222591</v>
      </c>
      <c r="P73" s="101">
        <f>AVERAGE(C73:O73)</f>
        <v>0.87298437861003642</v>
      </c>
      <c r="R73" s="32">
        <v>0.93884074396406669</v>
      </c>
      <c r="S73" s="24">
        <v>2024</v>
      </c>
      <c r="T73" s="8" t="e">
        <f>AVERAGE(W73:AI73)</f>
        <v>#DIV/0!</v>
      </c>
      <c r="U73" s="8">
        <f>MAX(W73:AI73)</f>
        <v>0</v>
      </c>
      <c r="V73" s="8">
        <f>MIN(W73:AI73)</f>
        <v>0</v>
      </c>
      <c r="W73" s="30"/>
      <c r="X73" s="5"/>
      <c r="Y73" s="30"/>
      <c r="Z73" s="5"/>
      <c r="AA73" s="30"/>
      <c r="AB73" s="5"/>
      <c r="AC73" s="30"/>
      <c r="AD73" s="5"/>
      <c r="AE73" s="30"/>
      <c r="AF73" s="5"/>
      <c r="AG73" s="30"/>
      <c r="AH73" s="5"/>
      <c r="AI73" s="30"/>
    </row>
    <row r="74" spans="1:36">
      <c r="A74" s="4"/>
      <c r="B74" s="43">
        <v>2025</v>
      </c>
      <c r="C74" s="94">
        <v>0.74314175069155641</v>
      </c>
      <c r="D74" s="94">
        <v>0.89329294857555719</v>
      </c>
      <c r="E74" s="94">
        <v>0.91971253398632447</v>
      </c>
      <c r="F74" s="94">
        <v>0.92980544409740262</v>
      </c>
      <c r="G74" s="94">
        <v>0.88968345884575639</v>
      </c>
      <c r="H74" s="94">
        <v>0.91987597063374604</v>
      </c>
      <c r="I74" s="94">
        <v>0.92452530141556077</v>
      </c>
      <c r="J74" s="94">
        <v>0.91251268164880683</v>
      </c>
      <c r="K74" s="45">
        <v>0.92665829594682259</v>
      </c>
      <c r="L74" s="45">
        <v>0.91500000000000004</v>
      </c>
      <c r="M74" s="45">
        <f>L74+0.2%</f>
        <v>0.91700000000000004</v>
      </c>
      <c r="N74" s="45">
        <f t="shared" ref="N74:O74" si="146">M74+0.2%</f>
        <v>0.91900000000000004</v>
      </c>
      <c r="O74" s="45">
        <f t="shared" si="146"/>
        <v>0.92100000000000004</v>
      </c>
      <c r="P74" s="101">
        <f>AVERAGE(C74:O74)</f>
        <v>0.9024006450647335</v>
      </c>
      <c r="R74" s="32">
        <v>0.94599999999999984</v>
      </c>
      <c r="S74" s="24" t="s">
        <v>23</v>
      </c>
      <c r="T74" s="8">
        <f>AVERAGE(W74:AI74)</f>
        <v>0.87298437861003642</v>
      </c>
      <c r="U74" s="8">
        <f>MAX(C73:O73)</f>
        <v>0.97472072811499633</v>
      </c>
      <c r="V74" s="8">
        <f>MIN(C73:O73)</f>
        <v>0.6327605117694084</v>
      </c>
      <c r="W74" s="8">
        <f t="shared" ref="W74:AI74" si="147">C73-W73</f>
        <v>0.89162690053737359</v>
      </c>
      <c r="X74" s="8">
        <f t="shared" si="147"/>
        <v>0.97229992137638088</v>
      </c>
      <c r="Y74" s="8">
        <f t="shared" si="147"/>
        <v>0.97060557895923172</v>
      </c>
      <c r="Z74" s="8">
        <f t="shared" si="147"/>
        <v>0.96009622275905615</v>
      </c>
      <c r="AA74" s="8">
        <f t="shared" si="147"/>
        <v>0.97472072811499633</v>
      </c>
      <c r="AB74" s="8">
        <f t="shared" si="147"/>
        <v>0.9606285577008723</v>
      </c>
      <c r="AC74" s="8">
        <f t="shared" si="147"/>
        <v>0.95695284739123787</v>
      </c>
      <c r="AD74" s="8">
        <f t="shared" si="147"/>
        <v>0.91197754559217825</v>
      </c>
      <c r="AE74" s="8">
        <f t="shared" si="147"/>
        <v>0.92835875230405396</v>
      </c>
      <c r="AF74" s="8">
        <f t="shared" si="147"/>
        <v>0.7395530073036406</v>
      </c>
      <c r="AG74" s="8">
        <f t="shared" si="147"/>
        <v>0.65292086847981912</v>
      </c>
      <c r="AH74" s="8">
        <f t="shared" si="147"/>
        <v>0.6327605117694084</v>
      </c>
      <c r="AI74" s="8">
        <f t="shared" si="147"/>
        <v>0.79629547964222591</v>
      </c>
    </row>
    <row r="75" spans="1:36">
      <c r="A75" s="4"/>
      <c r="B75" s="46" t="s">
        <v>24</v>
      </c>
      <c r="C75" s="94">
        <f t="shared" ref="C75:O75" si="148">C74-C73</f>
        <v>-0.14848514984581718</v>
      </c>
      <c r="D75" s="94">
        <f t="shared" si="148"/>
        <v>-7.9006972800823694E-2</v>
      </c>
      <c r="E75" s="94">
        <f t="shared" si="148"/>
        <v>-5.0893044972907253E-2</v>
      </c>
      <c r="F75" s="94">
        <f t="shared" si="148"/>
        <v>-3.0290778661653528E-2</v>
      </c>
      <c r="G75" s="94">
        <f t="shared" si="148"/>
        <v>-8.5037269269239935E-2</v>
      </c>
      <c r="H75" s="94">
        <f t="shared" si="148"/>
        <v>-4.0752587067126256E-2</v>
      </c>
      <c r="I75" s="94">
        <f t="shared" si="148"/>
        <v>-3.2427545975677097E-2</v>
      </c>
      <c r="J75" s="94">
        <f t="shared" si="148"/>
        <v>5.3513605662858232E-4</v>
      </c>
      <c r="K75" s="94">
        <f t="shared" si="148"/>
        <v>-1.7004563572313725E-3</v>
      </c>
      <c r="L75" s="94">
        <f t="shared" si="148"/>
        <v>0.17544699269635944</v>
      </c>
      <c r="M75" s="94">
        <f t="shared" si="148"/>
        <v>0.26407913152018092</v>
      </c>
      <c r="N75" s="94">
        <f t="shared" si="148"/>
        <v>0.28623948823059164</v>
      </c>
      <c r="O75" s="94">
        <f t="shared" si="148"/>
        <v>0.12470452035777413</v>
      </c>
      <c r="P75" s="101">
        <f>(AVERAGE(C74:O74)-AVERAGE(C73:O73))</f>
        <v>2.9416266454697082E-2</v>
      </c>
      <c r="R75" s="15">
        <v>7.1592560359331481E-3</v>
      </c>
      <c r="S75" s="24" t="s">
        <v>25</v>
      </c>
      <c r="T75" s="8">
        <f>AVERAGE(W75:AI75)</f>
        <v>-7.9442850745956393E-3</v>
      </c>
      <c r="U75" s="8">
        <f>MAX(C74:O74)</f>
        <v>0.92980544409740262</v>
      </c>
      <c r="V75" s="8">
        <f>MIN(C74:O74)</f>
        <v>0.74314175069155641</v>
      </c>
      <c r="X75" s="8">
        <f t="shared" ref="X75:AI75" si="149">D73-C73</f>
        <v>8.0673020839007292E-2</v>
      </c>
      <c r="Y75" s="8">
        <f t="shared" si="149"/>
        <v>-1.6943424171491639E-3</v>
      </c>
      <c r="Z75" s="8">
        <f t="shared" si="149"/>
        <v>-1.0509356200175568E-2</v>
      </c>
      <c r="AA75" s="8">
        <f t="shared" si="149"/>
        <v>1.4624505355940176E-2</v>
      </c>
      <c r="AB75" s="8">
        <f t="shared" si="149"/>
        <v>-1.4092170414124028E-2</v>
      </c>
      <c r="AC75" s="8">
        <f t="shared" si="149"/>
        <v>-3.6757103096344279E-3</v>
      </c>
      <c r="AD75" s="8">
        <f t="shared" si="149"/>
        <v>-4.4975301799059619E-2</v>
      </c>
      <c r="AE75" s="8">
        <f t="shared" si="149"/>
        <v>1.6381206711875707E-2</v>
      </c>
      <c r="AF75" s="8">
        <f t="shared" si="149"/>
        <v>-0.18880574500041336</v>
      </c>
      <c r="AG75" s="8">
        <f t="shared" si="149"/>
        <v>-8.6632138823821481E-2</v>
      </c>
      <c r="AH75" s="8">
        <f t="shared" si="149"/>
        <v>-2.0160356710410721E-2</v>
      </c>
      <c r="AI75" s="8">
        <f t="shared" si="149"/>
        <v>0.16353496787281752</v>
      </c>
    </row>
    <row r="76" spans="1:36">
      <c r="A76" s="4"/>
      <c r="B76" s="43" t="s">
        <v>26</v>
      </c>
      <c r="C76" s="93">
        <f t="shared" ref="C76:O76" si="150">C75/3%*1%</f>
        <v>-4.9495049948605728E-2</v>
      </c>
      <c r="D76" s="93">
        <f t="shared" si="150"/>
        <v>-2.6335657600274565E-2</v>
      </c>
      <c r="E76" s="93">
        <f t="shared" si="150"/>
        <v>-1.6964348324302419E-2</v>
      </c>
      <c r="F76" s="93">
        <f t="shared" si="150"/>
        <v>-1.0096926220551177E-2</v>
      </c>
      <c r="G76" s="93">
        <f t="shared" si="150"/>
        <v>-2.8345756423079981E-2</v>
      </c>
      <c r="H76" s="93">
        <f t="shared" si="150"/>
        <v>-1.3584195689042088E-2</v>
      </c>
      <c r="I76" s="93">
        <f t="shared" si="150"/>
        <v>-1.0809181991892368E-2</v>
      </c>
      <c r="J76" s="93">
        <f t="shared" si="150"/>
        <v>1.7837868554286079E-4</v>
      </c>
      <c r="K76" s="93">
        <f t="shared" si="150"/>
        <v>-5.6681878574379085E-4</v>
      </c>
      <c r="L76" s="93">
        <f t="shared" si="150"/>
        <v>5.8482330898786482E-2</v>
      </c>
      <c r="M76" s="93">
        <f t="shared" si="150"/>
        <v>8.8026377173393636E-2</v>
      </c>
      <c r="N76" s="93">
        <f t="shared" si="150"/>
        <v>9.5413162743530566E-2</v>
      </c>
      <c r="O76" s="93">
        <f t="shared" si="150"/>
        <v>4.1568173452591381E-2</v>
      </c>
      <c r="P76" s="102">
        <f>P75/3%*1%</f>
        <v>9.8054221515656952E-3</v>
      </c>
      <c r="R76">
        <v>2.3864186786443828E-3</v>
      </c>
      <c r="S76" s="25"/>
      <c r="T76" s="8" t="e">
        <f>(T73-C73)</f>
        <v>#DIV/0!</v>
      </c>
    </row>
    <row r="77" spans="1:36" ht="15" thickBot="1">
      <c r="A77" s="90"/>
      <c r="B77" s="52" t="s">
        <v>27</v>
      </c>
      <c r="C77" s="116">
        <f>C72*C76</f>
        <v>-1.6669013364679366</v>
      </c>
      <c r="D77" s="116">
        <f t="shared" ref="D77:O77" si="151">D72*D76</f>
        <v>-1.0222582234729125</v>
      </c>
      <c r="E77" s="116">
        <f t="shared" si="151"/>
        <v>-0.6490656204924945</v>
      </c>
      <c r="F77" s="116">
        <f t="shared" si="151"/>
        <v>-0.44597443915356549</v>
      </c>
      <c r="G77" s="116">
        <f t="shared" si="151"/>
        <v>-1.2319675742049483</v>
      </c>
      <c r="H77" s="116">
        <f t="shared" si="151"/>
        <v>-0.54878505201066063</v>
      </c>
      <c r="I77" s="116">
        <f t="shared" si="151"/>
        <v>-0.4501172796872055</v>
      </c>
      <c r="J77" s="116">
        <f t="shared" si="151"/>
        <v>7.4695442157448801E-3</v>
      </c>
      <c r="K77" s="116">
        <f t="shared" si="151"/>
        <v>-2.1923451327273524E-2</v>
      </c>
      <c r="L77" s="116">
        <f t="shared" si="151"/>
        <v>1.9990275971331903</v>
      </c>
      <c r="M77" s="116">
        <f t="shared" si="151"/>
        <v>2.6326761930526348</v>
      </c>
      <c r="N77" s="116">
        <f t="shared" si="151"/>
        <v>3.0648739509011786</v>
      </c>
      <c r="O77" s="116">
        <f t="shared" si="151"/>
        <v>1.4172548354134042</v>
      </c>
      <c r="P77" s="104">
        <f>SUM(C77:O77)</f>
        <v>3.0843091438991568</v>
      </c>
      <c r="Q77" s="31"/>
      <c r="R77">
        <v>0.74204063198667081</v>
      </c>
      <c r="S77" s="25"/>
    </row>
    <row r="78" spans="1:36" ht="15" thickBot="1">
      <c r="A78" s="82" t="s">
        <v>20</v>
      </c>
      <c r="B78" s="88" t="s">
        <v>40</v>
      </c>
      <c r="C78" s="107">
        <f>C79+C85+C91+C97+C103</f>
        <v>273.1341934309599</v>
      </c>
      <c r="D78" s="107">
        <f t="shared" ref="D78:O78" si="152">D79+D85+D91+D97+D103</f>
        <v>371.17253463999998</v>
      </c>
      <c r="E78" s="107">
        <f t="shared" si="152"/>
        <v>324.82603067572001</v>
      </c>
      <c r="F78" s="107">
        <f t="shared" si="152"/>
        <v>243.0741660999999</v>
      </c>
      <c r="G78" s="107">
        <f t="shared" si="152"/>
        <v>239.25610136247994</v>
      </c>
      <c r="H78" s="107">
        <f t="shared" si="152"/>
        <v>269.81030409523987</v>
      </c>
      <c r="I78" s="107">
        <f t="shared" si="152"/>
        <v>225.25054651999989</v>
      </c>
      <c r="J78" s="107">
        <f t="shared" si="152"/>
        <v>263.64377166999992</v>
      </c>
      <c r="K78" s="107">
        <f t="shared" si="152"/>
        <v>291.82895419706199</v>
      </c>
      <c r="L78" s="107">
        <f t="shared" si="152"/>
        <v>336.46954406937351</v>
      </c>
      <c r="M78" s="107">
        <f t="shared" si="152"/>
        <v>309.54921435763191</v>
      </c>
      <c r="N78" s="107">
        <f t="shared" si="152"/>
        <v>287.3646097741713</v>
      </c>
      <c r="O78" s="107">
        <f t="shared" si="152"/>
        <v>381.48749867579949</v>
      </c>
      <c r="P78" s="106">
        <f>SUM(C78:O78)</f>
        <v>3816.8674695684381</v>
      </c>
      <c r="S78" s="25"/>
      <c r="AJ78" s="189">
        <f>P84+P90+P96+P102+P108</f>
        <v>46.620101721537871</v>
      </c>
    </row>
    <row r="79" spans="1:36">
      <c r="A79" s="87"/>
      <c r="B79" s="42" t="s">
        <v>41</v>
      </c>
      <c r="C79" s="99">
        <v>103.02890231999999</v>
      </c>
      <c r="D79" s="99">
        <v>148.45107688000002</v>
      </c>
      <c r="E79" s="99">
        <v>158.9519042</v>
      </c>
      <c r="F79" s="99">
        <v>92.9865675799999</v>
      </c>
      <c r="G79" s="99">
        <v>69.876400820000015</v>
      </c>
      <c r="H79" s="99">
        <v>107.34838843999999</v>
      </c>
      <c r="I79" s="99">
        <v>115.96531714</v>
      </c>
      <c r="J79" s="99">
        <v>115.83278226</v>
      </c>
      <c r="K79" s="99">
        <v>115.173763947062</v>
      </c>
      <c r="L79" s="99">
        <v>151.55598412743456</v>
      </c>
      <c r="M79" s="99">
        <v>108.83149591545261</v>
      </c>
      <c r="N79" s="99">
        <v>115.60635460537341</v>
      </c>
      <c r="O79" s="99">
        <v>140.80402685698201</v>
      </c>
      <c r="P79" s="100">
        <f>SUM(C79:O79)</f>
        <v>1544.4129650923046</v>
      </c>
      <c r="R79">
        <v>1481.7309736425404</v>
      </c>
      <c r="S79" s="25"/>
    </row>
    <row r="80" spans="1:36">
      <c r="A80" s="1"/>
      <c r="B80" s="43">
        <v>2024</v>
      </c>
      <c r="C80" s="93">
        <v>0.88943328774083097</v>
      </c>
      <c r="D80" s="93">
        <v>0.84324247809373043</v>
      </c>
      <c r="E80" s="93">
        <v>0.93274191427174857</v>
      </c>
      <c r="F80" s="93">
        <v>0.93451055741744982</v>
      </c>
      <c r="G80" s="93">
        <v>0.96895890741534507</v>
      </c>
      <c r="H80" s="93">
        <v>0.93078824751550127</v>
      </c>
      <c r="I80" s="93">
        <v>0.74854678402874664</v>
      </c>
      <c r="J80" s="93">
        <v>0.82293082016829011</v>
      </c>
      <c r="K80" s="93">
        <v>0.90570413192420796</v>
      </c>
      <c r="L80" s="93">
        <v>0.93252889514381065</v>
      </c>
      <c r="M80" s="93">
        <v>0.95743007066345254</v>
      </c>
      <c r="N80" s="93">
        <v>0.94304296642820851</v>
      </c>
      <c r="O80" s="93">
        <v>0.95204181895686435</v>
      </c>
      <c r="P80" s="101">
        <f>AVERAGE(C80:O80)</f>
        <v>0.90476160613601442</v>
      </c>
      <c r="R80" s="7">
        <v>0.89962715358859724</v>
      </c>
      <c r="S80" s="24">
        <v>2024</v>
      </c>
      <c r="T80" s="8" t="e">
        <f>AVERAGE(W80:AI80)</f>
        <v>#DIV/0!</v>
      </c>
      <c r="U80" s="8">
        <f>MAX(W80:AI80)</f>
        <v>0</v>
      </c>
      <c r="V80" s="8">
        <f>MIN(W80:AI80)</f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>
      <c r="A81" s="1"/>
      <c r="B81" s="43">
        <v>2025</v>
      </c>
      <c r="C81" s="94">
        <v>0.92741062148865194</v>
      </c>
      <c r="D81" s="94">
        <v>0.9577925770966067</v>
      </c>
      <c r="E81" s="94">
        <v>0.97049862850244339</v>
      </c>
      <c r="F81" s="94">
        <v>0.97725948946837438</v>
      </c>
      <c r="G81" s="94">
        <v>0.97669620716879413</v>
      </c>
      <c r="H81" s="94">
        <v>0.96846494856955045</v>
      </c>
      <c r="I81" s="94">
        <v>0.9509440840940524</v>
      </c>
      <c r="J81" s="94">
        <v>0.96413672526951077</v>
      </c>
      <c r="K81" s="45">
        <v>0.96559092745941499</v>
      </c>
      <c r="L81" s="45">
        <v>0.96199999999999997</v>
      </c>
      <c r="M81" s="45">
        <v>0.96199999999999997</v>
      </c>
      <c r="N81" s="45">
        <v>0.96199999999999997</v>
      </c>
      <c r="O81" s="45">
        <v>0.96199999999999997</v>
      </c>
      <c r="P81" s="101">
        <f>AVERAGE(C81:O81)</f>
        <v>0.96206109300903075</v>
      </c>
      <c r="R81">
        <v>0.91353846153846152</v>
      </c>
      <c r="S81" s="24" t="s">
        <v>23</v>
      </c>
      <c r="T81" s="8">
        <f>AVERAGE(W81:AI81)</f>
        <v>0.90476160613601442</v>
      </c>
      <c r="U81" s="8">
        <f>MAX(C80:O80)</f>
        <v>0.96895890741534507</v>
      </c>
      <c r="V81" s="8">
        <f>MIN(C80:O80)</f>
        <v>0.74854678402874664</v>
      </c>
      <c r="W81" s="8">
        <f t="shared" ref="W81:AI81" si="153">C80-W80</f>
        <v>0.88943328774083097</v>
      </c>
      <c r="X81" s="8">
        <f t="shared" si="153"/>
        <v>0.84324247809373043</v>
      </c>
      <c r="Y81" s="8">
        <f t="shared" si="153"/>
        <v>0.93274191427174857</v>
      </c>
      <c r="Z81" s="8">
        <f t="shared" si="153"/>
        <v>0.93451055741744982</v>
      </c>
      <c r="AA81" s="8">
        <f t="shared" si="153"/>
        <v>0.96895890741534507</v>
      </c>
      <c r="AB81" s="8">
        <f t="shared" si="153"/>
        <v>0.93078824751550127</v>
      </c>
      <c r="AC81" s="8">
        <f t="shared" si="153"/>
        <v>0.74854678402874664</v>
      </c>
      <c r="AD81" s="8">
        <f t="shared" si="153"/>
        <v>0.82293082016829011</v>
      </c>
      <c r="AE81" s="8">
        <f t="shared" si="153"/>
        <v>0.90570413192420796</v>
      </c>
      <c r="AF81" s="8">
        <f t="shared" si="153"/>
        <v>0.93252889514381065</v>
      </c>
      <c r="AG81" s="8">
        <f t="shared" si="153"/>
        <v>0.95743007066345254</v>
      </c>
      <c r="AH81" s="8">
        <f t="shared" si="153"/>
        <v>0.94304296642820851</v>
      </c>
      <c r="AI81" s="8">
        <f t="shared" si="153"/>
        <v>0.95204181895686435</v>
      </c>
    </row>
    <row r="82" spans="1:35">
      <c r="A82" s="1"/>
      <c r="B82" s="46" t="s">
        <v>24</v>
      </c>
      <c r="C82" s="94">
        <f>C81-C80</f>
        <v>3.7977333747820974E-2</v>
      </c>
      <c r="D82" s="94">
        <f t="shared" ref="D82:F82" si="154">D81-D80</f>
        <v>0.11455009900287627</v>
      </c>
      <c r="E82" s="94">
        <f t="shared" si="154"/>
        <v>3.7756714230694821E-2</v>
      </c>
      <c r="F82" s="94">
        <f t="shared" si="154"/>
        <v>4.274893205092456E-2</v>
      </c>
      <c r="G82" s="94">
        <f>G81-G80</f>
        <v>7.7372997534490562E-3</v>
      </c>
      <c r="H82" s="94">
        <f t="shared" ref="H82:O82" si="155">H81-H80</f>
        <v>3.7676701054049189E-2</v>
      </c>
      <c r="I82" s="94">
        <f t="shared" si="155"/>
        <v>0.20239730006530576</v>
      </c>
      <c r="J82" s="94">
        <f t="shared" si="155"/>
        <v>0.14120590510122066</v>
      </c>
      <c r="K82" s="94">
        <f t="shared" si="155"/>
        <v>5.9886795535207038E-2</v>
      </c>
      <c r="L82" s="94">
        <f t="shared" si="155"/>
        <v>2.9471104856189312E-2</v>
      </c>
      <c r="M82" s="94">
        <f t="shared" si="155"/>
        <v>4.5699293365474292E-3</v>
      </c>
      <c r="N82" s="94">
        <f t="shared" si="155"/>
        <v>1.895703357179146E-2</v>
      </c>
      <c r="O82" s="94">
        <f t="shared" si="155"/>
        <v>9.9581810431356166E-3</v>
      </c>
      <c r="P82" s="101">
        <f>(AVERAGE(C81:O81)-AVERAGE(C80:O80))</f>
        <v>5.7299486873016336E-2</v>
      </c>
      <c r="R82">
        <v>1.3911307949864282E-2</v>
      </c>
      <c r="S82" s="24" t="s">
        <v>25</v>
      </c>
      <c r="T82" s="8">
        <f>AVERAGE(W82:AI82)</f>
        <v>5.2173776013361151E-3</v>
      </c>
      <c r="U82" s="8">
        <f>MAX(C81:O81)</f>
        <v>0.97725948946837438</v>
      </c>
      <c r="V82" s="8">
        <f>MIN(C81:O81)</f>
        <v>0.92741062148865194</v>
      </c>
      <c r="X82" s="8">
        <f t="shared" ref="X82:AI82" si="156">D80-C80</f>
        <v>-4.6190809647100539E-2</v>
      </c>
      <c r="Y82" s="8">
        <f t="shared" si="156"/>
        <v>8.9499436178018144E-2</v>
      </c>
      <c r="Z82" s="8">
        <f t="shared" si="156"/>
        <v>1.768643145701243E-3</v>
      </c>
      <c r="AA82" s="8">
        <f t="shared" si="156"/>
        <v>3.4448349997895256E-2</v>
      </c>
      <c r="AB82" s="8">
        <f t="shared" si="156"/>
        <v>-3.8170659899843806E-2</v>
      </c>
      <c r="AC82" s="8">
        <f t="shared" si="156"/>
        <v>-0.18224146348675463</v>
      </c>
      <c r="AD82" s="8">
        <f t="shared" si="156"/>
        <v>7.4384036139543475E-2</v>
      </c>
      <c r="AE82" s="8">
        <f t="shared" si="156"/>
        <v>8.2773311755917844E-2</v>
      </c>
      <c r="AF82" s="8">
        <f t="shared" si="156"/>
        <v>2.6824763219602699E-2</v>
      </c>
      <c r="AG82" s="8">
        <f t="shared" si="156"/>
        <v>2.4901175519641883E-2</v>
      </c>
      <c r="AH82" s="8">
        <f t="shared" si="156"/>
        <v>-1.438710423524403E-2</v>
      </c>
      <c r="AI82" s="8">
        <f t="shared" si="156"/>
        <v>8.998852528655843E-3</v>
      </c>
    </row>
    <row r="83" spans="1:35">
      <c r="A83" s="1"/>
      <c r="B83" s="43" t="s">
        <v>26</v>
      </c>
      <c r="C83" s="93">
        <f t="shared" ref="C83:P83" si="157">C82/3%*1%</f>
        <v>1.2659111249273658E-2</v>
      </c>
      <c r="D83" s="93">
        <f t="shared" si="157"/>
        <v>3.818336633429209E-2</v>
      </c>
      <c r="E83" s="93">
        <f t="shared" si="157"/>
        <v>1.2585571410231609E-2</v>
      </c>
      <c r="F83" s="93">
        <f t="shared" si="157"/>
        <v>1.4249644016974854E-2</v>
      </c>
      <c r="G83" s="93">
        <f t="shared" si="157"/>
        <v>2.5790999178163521E-3</v>
      </c>
      <c r="H83" s="93">
        <f t="shared" si="157"/>
        <v>1.2558900351349732E-2</v>
      </c>
      <c r="I83" s="93">
        <f t="shared" si="157"/>
        <v>6.7465766688435264E-2</v>
      </c>
      <c r="J83" s="93">
        <f t="shared" si="157"/>
        <v>4.706863503374023E-2</v>
      </c>
      <c r="K83" s="93">
        <f t="shared" si="157"/>
        <v>1.9962265178402348E-2</v>
      </c>
      <c r="L83" s="93">
        <f t="shared" si="157"/>
        <v>9.8237016187297712E-3</v>
      </c>
      <c r="M83" s="93">
        <f t="shared" si="157"/>
        <v>1.5233097788491432E-3</v>
      </c>
      <c r="N83" s="93">
        <f t="shared" si="157"/>
        <v>6.3190111905971538E-3</v>
      </c>
      <c r="O83" s="93">
        <f t="shared" si="157"/>
        <v>3.3193936810452058E-3</v>
      </c>
      <c r="P83" s="102">
        <f t="shared" si="157"/>
        <v>1.9099828957672114E-2</v>
      </c>
      <c r="R83">
        <v>4.6371026499547607E-3</v>
      </c>
      <c r="S83" s="25"/>
      <c r="T83" s="8" t="e">
        <f>(T80-C80)</f>
        <v>#DIV/0!</v>
      </c>
    </row>
    <row r="84" spans="1:35" ht="15" thickBot="1">
      <c r="A84" s="1"/>
      <c r="B84" s="49" t="s">
        <v>27</v>
      </c>
      <c r="C84" s="115">
        <f>C79*C83</f>
        <v>1.3042543363594288</v>
      </c>
      <c r="D84" s="115">
        <f t="shared" ref="D84:O84" si="158">D79*D83</f>
        <v>5.6683618512291991</v>
      </c>
      <c r="E84" s="115">
        <f t="shared" si="158"/>
        <v>2.0005005411013936</v>
      </c>
      <c r="F84" s="115">
        <f t="shared" si="158"/>
        <v>1.3250254863753734</v>
      </c>
      <c r="G84" s="115">
        <f t="shared" si="158"/>
        <v>0.18021821961216453</v>
      </c>
      <c r="H84" s="115">
        <f t="shared" si="158"/>
        <v>1.3481777132959434</v>
      </c>
      <c r="I84" s="115">
        <f t="shared" si="158"/>
        <v>7.8236890301176425</v>
      </c>
      <c r="J84" s="115">
        <f t="shared" si="158"/>
        <v>5.4520909531386401</v>
      </c>
      <c r="K84" s="115">
        <f t="shared" si="158"/>
        <v>2.2991292175059677</v>
      </c>
      <c r="L84" s="115">
        <f t="shared" si="158"/>
        <v>1.4888407666008623</v>
      </c>
      <c r="M84" s="115">
        <f t="shared" si="158"/>
        <v>0.16578408197478955</v>
      </c>
      <c r="N84" s="115">
        <f t="shared" si="158"/>
        <v>0.73051784845549739</v>
      </c>
      <c r="O84" s="115">
        <f t="shared" si="158"/>
        <v>0.4673839970147855</v>
      </c>
      <c r="P84" s="103">
        <f>SUM(C84:O84)</f>
        <v>30.253974042781689</v>
      </c>
      <c r="Q84" s="31"/>
      <c r="R84">
        <v>6.5465870522922307</v>
      </c>
      <c r="S84" s="25"/>
    </row>
    <row r="85" spans="1:35">
      <c r="A85" s="1"/>
      <c r="B85" s="42" t="s">
        <v>42</v>
      </c>
      <c r="C85" s="99">
        <v>117.59378812</v>
      </c>
      <c r="D85" s="99">
        <v>158.12261848</v>
      </c>
      <c r="E85" s="99">
        <v>106.74957416000001</v>
      </c>
      <c r="F85" s="99">
        <v>99.247148559999999</v>
      </c>
      <c r="G85" s="99">
        <v>109.51632216</v>
      </c>
      <c r="H85" s="99">
        <v>75.8746229999999</v>
      </c>
      <c r="I85" s="99">
        <v>75.335077159999997</v>
      </c>
      <c r="J85" s="99">
        <v>105.56047212</v>
      </c>
      <c r="K85" s="99">
        <v>124.3</v>
      </c>
      <c r="L85" s="99">
        <v>125.31858240193898</v>
      </c>
      <c r="M85" s="99">
        <v>137.90161608217932</v>
      </c>
      <c r="N85" s="99">
        <v>120.55702712879788</v>
      </c>
      <c r="O85" s="99">
        <v>183.08849427881751</v>
      </c>
      <c r="P85" s="100">
        <f>SUM(C85:O85)</f>
        <v>1539.1653436517336</v>
      </c>
      <c r="R85" s="2">
        <v>1574.055762241657</v>
      </c>
      <c r="S85"/>
    </row>
    <row r="86" spans="1:35">
      <c r="A86" s="1"/>
      <c r="B86" s="43">
        <v>2024</v>
      </c>
      <c r="C86" s="93">
        <v>0.79368824810825134</v>
      </c>
      <c r="D86" s="93">
        <v>0.90829521225115561</v>
      </c>
      <c r="E86" s="93">
        <v>0.94799388402298557</v>
      </c>
      <c r="F86" s="93">
        <v>0.93732657200045078</v>
      </c>
      <c r="G86" s="93">
        <v>0.95220652763676572</v>
      </c>
      <c r="H86" s="93">
        <v>0.95050108934023958</v>
      </c>
      <c r="I86" s="93">
        <v>0.91576066852921079</v>
      </c>
      <c r="J86" s="93">
        <v>0.92348624027947734</v>
      </c>
      <c r="K86" s="93">
        <v>0.93416204668853076</v>
      </c>
      <c r="L86" s="93">
        <v>0.91991566984539364</v>
      </c>
      <c r="M86" s="93">
        <v>0.90150787760291884</v>
      </c>
      <c r="N86" s="93">
        <v>0.83280220469088762</v>
      </c>
      <c r="O86" s="93">
        <v>0.93063323468527237</v>
      </c>
      <c r="P86" s="101">
        <f>AVERAGE(C86:O86)</f>
        <v>0.9114061135139645</v>
      </c>
      <c r="R86" s="6">
        <v>0.92390118261070397</v>
      </c>
      <c r="S86"/>
      <c r="T86" s="8" t="e">
        <f>AVERAGE(W86:AI86)</f>
        <v>#DIV/0!</v>
      </c>
      <c r="U86" s="8">
        <f>MAX(W86:AI86)</f>
        <v>0</v>
      </c>
      <c r="V86" s="8">
        <f>MIN(W86:AI86)</f>
        <v>0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>
      <c r="A87" s="1"/>
      <c r="B87" s="43">
        <v>2025</v>
      </c>
      <c r="C87" s="94">
        <v>0.89123192093080927</v>
      </c>
      <c r="D87" s="94">
        <v>0.95544864548106057</v>
      </c>
      <c r="E87" s="94">
        <v>0.93109865389616575</v>
      </c>
      <c r="F87" s="94">
        <v>0.94019046455688915</v>
      </c>
      <c r="G87" s="94">
        <v>0.94673389221488968</v>
      </c>
      <c r="H87" s="94">
        <v>0.93372887173817642</v>
      </c>
      <c r="I87" s="94">
        <v>0.92567406230868898</v>
      </c>
      <c r="J87" s="94">
        <v>0.93832106116706748</v>
      </c>
      <c r="K87" s="45">
        <v>0.94645984310688858</v>
      </c>
      <c r="L87" s="45">
        <v>0.93400000000000005</v>
      </c>
      <c r="M87" s="45">
        <v>0.93400000000000005</v>
      </c>
      <c r="N87" s="45">
        <v>0.93500000000000005</v>
      </c>
      <c r="O87" s="45">
        <v>0.93500000000000005</v>
      </c>
      <c r="P87" s="101">
        <f>AVERAGE(C87:O87)</f>
        <v>0.93437595503081805</v>
      </c>
      <c r="R87" s="6">
        <v>0.93246153846153823</v>
      </c>
      <c r="S87"/>
      <c r="T87" s="8">
        <f>AVERAGE(W87:AI87)</f>
        <v>0.9114061135139645</v>
      </c>
      <c r="U87" s="8">
        <f>MAX(C86:O86)</f>
        <v>0.95220652763676572</v>
      </c>
      <c r="V87" s="8">
        <f>MIN(C86:O86)</f>
        <v>0.79368824810825134</v>
      </c>
      <c r="W87" s="8">
        <f t="shared" ref="W87:AI87" si="159">C86-W86</f>
        <v>0.79368824810825134</v>
      </c>
      <c r="X87" s="8">
        <f t="shared" si="159"/>
        <v>0.90829521225115561</v>
      </c>
      <c r="Y87" s="8">
        <f t="shared" si="159"/>
        <v>0.94799388402298557</v>
      </c>
      <c r="Z87" s="8">
        <f t="shared" si="159"/>
        <v>0.93732657200045078</v>
      </c>
      <c r="AA87" s="8">
        <f t="shared" si="159"/>
        <v>0.95220652763676572</v>
      </c>
      <c r="AB87" s="8">
        <f t="shared" si="159"/>
        <v>0.95050108934023958</v>
      </c>
      <c r="AC87" s="8">
        <f t="shared" si="159"/>
        <v>0.91576066852921079</v>
      </c>
      <c r="AD87" s="8">
        <f t="shared" si="159"/>
        <v>0.92348624027947734</v>
      </c>
      <c r="AE87" s="8">
        <f t="shared" si="159"/>
        <v>0.93416204668853076</v>
      </c>
      <c r="AF87" s="8">
        <f t="shared" si="159"/>
        <v>0.91991566984539364</v>
      </c>
      <c r="AG87" s="8">
        <f t="shared" si="159"/>
        <v>0.90150787760291884</v>
      </c>
      <c r="AH87" s="8">
        <f t="shared" si="159"/>
        <v>0.83280220469088762</v>
      </c>
      <c r="AI87" s="8">
        <f t="shared" si="159"/>
        <v>0.93063323468527237</v>
      </c>
    </row>
    <row r="88" spans="1:35">
      <c r="A88" s="1"/>
      <c r="B88" s="46" t="s">
        <v>24</v>
      </c>
      <c r="C88" s="94">
        <f>C87-C86</f>
        <v>9.7543672822557936E-2</v>
      </c>
      <c r="D88" s="94">
        <f t="shared" ref="D88:F88" si="160">D87-D86</f>
        <v>4.7153433229904951E-2</v>
      </c>
      <c r="E88" s="94">
        <f t="shared" si="160"/>
        <v>-1.6895230126819816E-2</v>
      </c>
      <c r="F88" s="94">
        <f t="shared" si="160"/>
        <v>2.8638925564383744E-3</v>
      </c>
      <c r="G88" s="94">
        <f>G87-G86</f>
        <v>-5.4726354218760376E-3</v>
      </c>
      <c r="H88" s="94">
        <f t="shared" ref="H88:O88" si="161">H87-H86</f>
        <v>-1.6772217602063155E-2</v>
      </c>
      <c r="I88" s="94">
        <f t="shared" si="161"/>
        <v>9.9133937794781968E-3</v>
      </c>
      <c r="J88" s="94">
        <f t="shared" si="161"/>
        <v>1.4834820887590139E-2</v>
      </c>
      <c r="K88" s="94">
        <f t="shared" si="161"/>
        <v>1.229779641835782E-2</v>
      </c>
      <c r="L88" s="94">
        <f t="shared" si="161"/>
        <v>1.4084330154606417E-2</v>
      </c>
      <c r="M88" s="94">
        <f t="shared" si="161"/>
        <v>3.2492122397081213E-2</v>
      </c>
      <c r="N88" s="94">
        <f t="shared" si="161"/>
        <v>0.10219779530911244</v>
      </c>
      <c r="O88" s="94">
        <f t="shared" si="161"/>
        <v>4.366765314727683E-3</v>
      </c>
      <c r="P88" s="101">
        <f>(AVERAGE(C87:O87)-AVERAGE(C86:O86))</f>
        <v>2.2969841516853551E-2</v>
      </c>
      <c r="R88" s="9">
        <v>8.5603558508342559E-3</v>
      </c>
      <c r="S88"/>
      <c r="T88" s="8">
        <f>AVERAGE(W88:AI88)</f>
        <v>1.1412082214751753E-2</v>
      </c>
      <c r="U88" s="8">
        <f>MAX(C87:O87)</f>
        <v>0.95544864548106057</v>
      </c>
      <c r="V88" s="8">
        <f>MIN(C87:O87)</f>
        <v>0.89123192093080927</v>
      </c>
      <c r="X88" s="8">
        <f t="shared" ref="X88:AI88" si="162">D86-C86</f>
        <v>0.11460696414290428</v>
      </c>
      <c r="Y88" s="8">
        <f t="shared" si="162"/>
        <v>3.9698671771829952E-2</v>
      </c>
      <c r="Z88" s="8">
        <f t="shared" si="162"/>
        <v>-1.0667312022534792E-2</v>
      </c>
      <c r="AA88" s="8">
        <f t="shared" si="162"/>
        <v>1.4879955636314945E-2</v>
      </c>
      <c r="AB88" s="8">
        <f t="shared" si="162"/>
        <v>-1.7054382965261405E-3</v>
      </c>
      <c r="AC88" s="8">
        <f t="shared" si="162"/>
        <v>-3.4740420811028794E-2</v>
      </c>
      <c r="AD88" s="8">
        <f t="shared" si="162"/>
        <v>7.7255717502665577E-3</v>
      </c>
      <c r="AE88" s="8">
        <f t="shared" si="162"/>
        <v>1.0675806409053412E-2</v>
      </c>
      <c r="AF88" s="8">
        <f t="shared" si="162"/>
        <v>-1.4246376843137121E-2</v>
      </c>
      <c r="AG88" s="8">
        <f t="shared" si="162"/>
        <v>-1.8407792242474796E-2</v>
      </c>
      <c r="AH88" s="8">
        <f t="shared" si="162"/>
        <v>-6.8705672912031224E-2</v>
      </c>
      <c r="AI88" s="8">
        <f t="shared" si="162"/>
        <v>9.7831029994384755E-2</v>
      </c>
    </row>
    <row r="89" spans="1:35">
      <c r="A89" s="1"/>
      <c r="B89" s="43" t="s">
        <v>26</v>
      </c>
      <c r="C89" s="93">
        <f t="shared" ref="C89:P89" si="163">C88/3%*1%</f>
        <v>3.2514557607519312E-2</v>
      </c>
      <c r="D89" s="93">
        <f t="shared" si="163"/>
        <v>1.5717811076634985E-2</v>
      </c>
      <c r="E89" s="93">
        <f t="shared" si="163"/>
        <v>-5.6317433756066064E-3</v>
      </c>
      <c r="F89" s="93">
        <f t="shared" si="163"/>
        <v>9.5463085214612486E-4</v>
      </c>
      <c r="G89" s="93">
        <f t="shared" si="163"/>
        <v>-1.8242118072920128E-3</v>
      </c>
      <c r="H89" s="93">
        <f t="shared" si="163"/>
        <v>-5.590739200687719E-3</v>
      </c>
      <c r="I89" s="93">
        <f t="shared" si="163"/>
        <v>3.3044645931593992E-3</v>
      </c>
      <c r="J89" s="93">
        <f t="shared" si="163"/>
        <v>4.9449402958633799E-3</v>
      </c>
      <c r="K89" s="93">
        <f t="shared" si="163"/>
        <v>4.0992654727859401E-3</v>
      </c>
      <c r="L89" s="93">
        <f t="shared" si="163"/>
        <v>4.6947767182021396E-3</v>
      </c>
      <c r="M89" s="93">
        <f t="shared" si="163"/>
        <v>1.0830707465693739E-2</v>
      </c>
      <c r="N89" s="93">
        <f t="shared" si="163"/>
        <v>3.4065931769704148E-2</v>
      </c>
      <c r="O89" s="93">
        <f t="shared" si="163"/>
        <v>1.455588438242561E-3</v>
      </c>
      <c r="P89" s="102">
        <f t="shared" si="163"/>
        <v>7.6566138389511842E-3</v>
      </c>
      <c r="R89" s="10">
        <v>2.8534519502780853E-3</v>
      </c>
      <c r="S89"/>
      <c r="T89" s="8" t="e">
        <f>(T86-C86)</f>
        <v>#DIV/0!</v>
      </c>
    </row>
    <row r="90" spans="1:35" ht="15" thickBot="1">
      <c r="A90" s="1"/>
      <c r="B90" s="49" t="s">
        <v>27</v>
      </c>
      <c r="C90" s="115">
        <f>C85*C89</f>
        <v>3.8235099981141603</v>
      </c>
      <c r="D90" s="115">
        <f t="shared" ref="D90:O90" si="164">D85*D89</f>
        <v>2.4853414442114716</v>
      </c>
      <c r="E90" s="115">
        <f t="shared" si="164"/>
        <v>-0.60118620712440618</v>
      </c>
      <c r="F90" s="115">
        <f t="shared" si="164"/>
        <v>9.4744390002905854E-2</v>
      </c>
      <c r="G90" s="115">
        <f t="shared" si="164"/>
        <v>-0.1997809679754679</v>
      </c>
      <c r="H90" s="115">
        <f t="shared" si="164"/>
        <v>-0.42419522914350144</v>
      </c>
      <c r="I90" s="115">
        <f t="shared" si="164"/>
        <v>0.24894209509815135</v>
      </c>
      <c r="J90" s="115">
        <f t="shared" si="164"/>
        <v>0.52199023223655083</v>
      </c>
      <c r="K90" s="115">
        <f t="shared" si="164"/>
        <v>0.50953869826729237</v>
      </c>
      <c r="L90" s="115">
        <f t="shared" si="164"/>
        <v>0.58834276301871946</v>
      </c>
      <c r="M90" s="115">
        <f t="shared" si="164"/>
        <v>1.4935720628324913</v>
      </c>
      <c r="N90" s="115">
        <f t="shared" si="164"/>
        <v>4.106887460528001</v>
      </c>
      <c r="O90" s="115">
        <f t="shared" si="164"/>
        <v>0.26650149544748603</v>
      </c>
      <c r="P90" s="103">
        <f>SUM(C90:O90)</f>
        <v>12.914208235513854</v>
      </c>
      <c r="Q90" s="31"/>
      <c r="R90" s="11">
        <v>2.7172562224772174</v>
      </c>
      <c r="S90" s="31" t="s">
        <v>43</v>
      </c>
    </row>
    <row r="91" spans="1:35">
      <c r="A91" s="1"/>
      <c r="B91" s="42" t="s">
        <v>44</v>
      </c>
      <c r="C91" s="99">
        <v>26.634010159999999</v>
      </c>
      <c r="D91" s="99">
        <v>31.703247220000002</v>
      </c>
      <c r="E91" s="99">
        <v>25.060531000000001</v>
      </c>
      <c r="F91" s="99">
        <v>21.513682400000004</v>
      </c>
      <c r="G91" s="99">
        <v>29.074440159999899</v>
      </c>
      <c r="H91" s="99">
        <v>39.870185530000001</v>
      </c>
      <c r="I91" s="99">
        <v>23.0153498899999</v>
      </c>
      <c r="J91" s="99">
        <v>25.92998528</v>
      </c>
      <c r="K91" s="99">
        <v>24.9</v>
      </c>
      <c r="L91" s="99">
        <v>25.2</v>
      </c>
      <c r="M91" s="99">
        <v>29.8</v>
      </c>
      <c r="N91" s="99">
        <v>27.5</v>
      </c>
      <c r="O91" s="99">
        <v>26</v>
      </c>
      <c r="P91" s="100">
        <f>SUM(C91:O91)</f>
        <v>356.20143163999984</v>
      </c>
      <c r="R91" s="2">
        <v>370.94320000000005</v>
      </c>
      <c r="S91"/>
    </row>
    <row r="92" spans="1:35">
      <c r="A92" s="4"/>
      <c r="B92" s="43">
        <v>2024</v>
      </c>
      <c r="C92" s="93">
        <v>0.80309539111683537</v>
      </c>
      <c r="D92" s="93">
        <v>0.8785775011251048</v>
      </c>
      <c r="E92" s="93">
        <v>0.89516216487405131</v>
      </c>
      <c r="F92" s="93">
        <v>0.90246110394164625</v>
      </c>
      <c r="G92" s="93">
        <v>0.90260569252120892</v>
      </c>
      <c r="H92" s="93">
        <v>0.89907116105915008</v>
      </c>
      <c r="I92" s="93">
        <v>0.91043339180264016</v>
      </c>
      <c r="J92" s="93">
        <v>0.90270935717909906</v>
      </c>
      <c r="K92" s="93">
        <v>0.89415534529462048</v>
      </c>
      <c r="L92" s="93">
        <v>0.88206305239816196</v>
      </c>
      <c r="M92" s="93">
        <v>0.90003402299264801</v>
      </c>
      <c r="N92" s="93">
        <v>0.90525638742345826</v>
      </c>
      <c r="O92" s="93">
        <v>0.90295509758821468</v>
      </c>
      <c r="P92" s="101">
        <f>AVERAGE(C92:O92)</f>
        <v>0.89065997456283397</v>
      </c>
      <c r="R92" s="6">
        <v>0.88848332206117753</v>
      </c>
      <c r="S92"/>
      <c r="T92" s="8" t="e">
        <f>AVERAGE(W92:AI92)</f>
        <v>#DIV/0!</v>
      </c>
      <c r="U92" s="8">
        <f>MAX(W92:AI92)</f>
        <v>0</v>
      </c>
      <c r="V92" s="8">
        <f>MIN(W92:AI92)</f>
        <v>0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spans="1:35">
      <c r="A93" s="4"/>
      <c r="B93" s="43">
        <v>2025</v>
      </c>
      <c r="C93" s="94">
        <v>0.8752143946299199</v>
      </c>
      <c r="D93" s="94">
        <v>0.92147917224998177</v>
      </c>
      <c r="E93" s="94">
        <v>0.91892155351836846</v>
      </c>
      <c r="F93" s="94">
        <v>0.91668826391437619</v>
      </c>
      <c r="G93" s="94">
        <v>0.91987532167422092</v>
      </c>
      <c r="H93" s="94">
        <v>0.90925246974393914</v>
      </c>
      <c r="I93" s="94">
        <v>0.91038844551469522</v>
      </c>
      <c r="J93" s="94">
        <v>0.90119728287815892</v>
      </c>
      <c r="K93" s="45">
        <v>0.89839704325762715</v>
      </c>
      <c r="L93" s="45">
        <f t="shared" ref="L93:O93" si="165">K93+0.2%</f>
        <v>0.90039704325762715</v>
      </c>
      <c r="M93" s="45">
        <f t="shared" si="165"/>
        <v>0.90239704325762715</v>
      </c>
      <c r="N93" s="45">
        <f t="shared" si="165"/>
        <v>0.90439704325762715</v>
      </c>
      <c r="O93" s="45">
        <f t="shared" si="165"/>
        <v>0.90639704325762716</v>
      </c>
      <c r="P93" s="101">
        <f>AVERAGE(C93:O93)</f>
        <v>0.90653862464706125</v>
      </c>
      <c r="R93" s="6">
        <v>0.90446153846153854</v>
      </c>
      <c r="S93"/>
      <c r="T93" s="8">
        <f>AVERAGE(W93:AI93)</f>
        <v>0.89065997456283397</v>
      </c>
      <c r="U93" s="8">
        <f>MAX(C92:O92)</f>
        <v>0.91043339180264016</v>
      </c>
      <c r="V93" s="8">
        <f>MIN(C92:O92)</f>
        <v>0.80309539111683537</v>
      </c>
      <c r="W93" s="8">
        <f t="shared" ref="W93:AI93" si="166">C92-W92</f>
        <v>0.80309539111683537</v>
      </c>
      <c r="X93" s="8">
        <f t="shared" si="166"/>
        <v>0.8785775011251048</v>
      </c>
      <c r="Y93" s="8">
        <f t="shared" si="166"/>
        <v>0.89516216487405131</v>
      </c>
      <c r="Z93" s="8">
        <f t="shared" si="166"/>
        <v>0.90246110394164625</v>
      </c>
      <c r="AA93" s="8">
        <f t="shared" si="166"/>
        <v>0.90260569252120892</v>
      </c>
      <c r="AB93" s="8">
        <f t="shared" si="166"/>
        <v>0.89907116105915008</v>
      </c>
      <c r="AC93" s="8">
        <f t="shared" si="166"/>
        <v>0.91043339180264016</v>
      </c>
      <c r="AD93" s="8">
        <f t="shared" si="166"/>
        <v>0.90270935717909906</v>
      </c>
      <c r="AE93" s="8">
        <f t="shared" si="166"/>
        <v>0.89415534529462048</v>
      </c>
      <c r="AF93" s="8">
        <f t="shared" si="166"/>
        <v>0.88206305239816196</v>
      </c>
      <c r="AG93" s="8">
        <f t="shared" si="166"/>
        <v>0.90003402299264801</v>
      </c>
      <c r="AH93" s="8">
        <f t="shared" si="166"/>
        <v>0.90525638742345826</v>
      </c>
      <c r="AI93" s="8">
        <f t="shared" si="166"/>
        <v>0.90295509758821468</v>
      </c>
    </row>
    <row r="94" spans="1:35">
      <c r="A94" s="4"/>
      <c r="B94" s="46" t="s">
        <v>24</v>
      </c>
      <c r="C94" s="94">
        <f>C93-C92</f>
        <v>7.2119003513084534E-2</v>
      </c>
      <c r="D94" s="94">
        <f t="shared" ref="D94:F94" si="167">D93-D92</f>
        <v>4.2901671124876972E-2</v>
      </c>
      <c r="E94" s="94">
        <f t="shared" si="167"/>
        <v>2.3759388644317148E-2</v>
      </c>
      <c r="F94" s="94">
        <f t="shared" si="167"/>
        <v>1.4227159972729941E-2</v>
      </c>
      <c r="G94" s="94">
        <f>G93-G92</f>
        <v>1.7269629153012001E-2</v>
      </c>
      <c r="H94" s="94">
        <f t="shared" ref="H94:O94" si="168">H93-H92</f>
        <v>1.0181308684789059E-2</v>
      </c>
      <c r="I94" s="94">
        <f t="shared" si="168"/>
        <v>-4.4946287944935825E-5</v>
      </c>
      <c r="J94" s="94">
        <f t="shared" si="168"/>
        <v>-1.5120743009401361E-3</v>
      </c>
      <c r="K94" s="94">
        <f t="shared" si="168"/>
        <v>4.2416979630066631E-3</v>
      </c>
      <c r="L94" s="94">
        <f t="shared" si="168"/>
        <v>1.8333990859465188E-2</v>
      </c>
      <c r="M94" s="94">
        <f t="shared" si="168"/>
        <v>2.3630202649791432E-3</v>
      </c>
      <c r="N94" s="94">
        <f t="shared" si="168"/>
        <v>-8.5934416583111073E-4</v>
      </c>
      <c r="O94" s="94">
        <f t="shared" si="168"/>
        <v>3.4419456694124717E-3</v>
      </c>
      <c r="P94" s="101">
        <f>(AVERAGE(C93:O93)-AVERAGE(C92:O92))</f>
        <v>1.5878650084227286E-2</v>
      </c>
      <c r="R94" s="9">
        <v>1.5978216400361012E-2</v>
      </c>
      <c r="S94"/>
      <c r="T94" s="8">
        <f>AVERAGE(W94:AI94)</f>
        <v>8.3216422059482764E-3</v>
      </c>
      <c r="U94" s="8">
        <f>MAX(C93:O93)</f>
        <v>0.92147917224998177</v>
      </c>
      <c r="V94" s="8">
        <f>MIN(C93:O93)</f>
        <v>0.8752143946299199</v>
      </c>
      <c r="X94" s="8">
        <f t="shared" ref="X94:AI94" si="169">D92-C92</f>
        <v>7.5482110008269432E-2</v>
      </c>
      <c r="Y94" s="8">
        <f t="shared" si="169"/>
        <v>1.6584663748946515E-2</v>
      </c>
      <c r="Z94" s="8">
        <f t="shared" si="169"/>
        <v>7.2989390675949339E-3</v>
      </c>
      <c r="AA94" s="8">
        <f t="shared" si="169"/>
        <v>1.4458857956267668E-4</v>
      </c>
      <c r="AB94" s="8">
        <f t="shared" si="169"/>
        <v>-3.5345314620588431E-3</v>
      </c>
      <c r="AC94" s="8">
        <f t="shared" si="169"/>
        <v>1.1362230743490076E-2</v>
      </c>
      <c r="AD94" s="8">
        <f t="shared" si="169"/>
        <v>-7.7240346235410984E-3</v>
      </c>
      <c r="AE94" s="8">
        <f t="shared" si="169"/>
        <v>-8.554011884478574E-3</v>
      </c>
      <c r="AF94" s="8">
        <f t="shared" si="169"/>
        <v>-1.2092292896458523E-2</v>
      </c>
      <c r="AG94" s="8">
        <f t="shared" si="169"/>
        <v>1.7970970594486047E-2</v>
      </c>
      <c r="AH94" s="8">
        <f t="shared" si="169"/>
        <v>5.2223644308102557E-3</v>
      </c>
      <c r="AI94" s="8">
        <f t="shared" si="169"/>
        <v>-2.3012898352435807E-3</v>
      </c>
    </row>
    <row r="95" spans="1:35">
      <c r="A95" s="4"/>
      <c r="B95" s="43" t="s">
        <v>26</v>
      </c>
      <c r="C95" s="93">
        <f t="shared" ref="C95:P95" si="170">C94/3%*1%</f>
        <v>2.4039667837694845E-2</v>
      </c>
      <c r="D95" s="93">
        <f t="shared" si="170"/>
        <v>1.430055704162566E-2</v>
      </c>
      <c r="E95" s="93">
        <f t="shared" si="170"/>
        <v>7.9197962147723837E-3</v>
      </c>
      <c r="F95" s="93">
        <f t="shared" si="170"/>
        <v>4.7423866575766471E-3</v>
      </c>
      <c r="G95" s="93">
        <f t="shared" si="170"/>
        <v>5.7565430510040008E-3</v>
      </c>
      <c r="H95" s="93">
        <f t="shared" si="170"/>
        <v>3.3937695615963532E-3</v>
      </c>
      <c r="I95" s="93">
        <f t="shared" si="170"/>
        <v>-1.4982095981645276E-5</v>
      </c>
      <c r="J95" s="93">
        <f t="shared" si="170"/>
        <v>-5.0402476698004539E-4</v>
      </c>
      <c r="K95" s="93">
        <f t="shared" si="170"/>
        <v>1.413899321002221E-3</v>
      </c>
      <c r="L95" s="93">
        <f t="shared" si="170"/>
        <v>6.1113302864883971E-3</v>
      </c>
      <c r="M95" s="93">
        <f t="shared" si="170"/>
        <v>7.8767342165971454E-4</v>
      </c>
      <c r="N95" s="93">
        <f t="shared" si="170"/>
        <v>-2.8644805527703693E-4</v>
      </c>
      <c r="O95" s="93">
        <f t="shared" si="170"/>
        <v>1.1473152231374906E-3</v>
      </c>
      <c r="P95" s="102">
        <f t="shared" si="170"/>
        <v>5.2928833614090953E-3</v>
      </c>
      <c r="R95" s="10">
        <v>5.3260721334536711E-3</v>
      </c>
      <c r="S95"/>
      <c r="T95" s="8" t="e">
        <f>(T92-C92)</f>
        <v>#DIV/0!</v>
      </c>
    </row>
    <row r="96" spans="1:35" ht="15" thickBot="1">
      <c r="A96" s="4"/>
      <c r="B96" s="49" t="s">
        <v>27</v>
      </c>
      <c r="C96" s="115">
        <f>C91*C95</f>
        <v>0.6402727574321897</v>
      </c>
      <c r="D96" s="115">
        <f t="shared" ref="D96:O96" si="171">D91*D95</f>
        <v>0.45337409527437011</v>
      </c>
      <c r="E96" s="115">
        <f t="shared" si="171"/>
        <v>0.19847429855398599</v>
      </c>
      <c r="F96" s="115">
        <f t="shared" si="171"/>
        <v>0.10202620036910155</v>
      </c>
      <c r="G96" s="115">
        <f t="shared" si="171"/>
        <v>0.16736826646487907</v>
      </c>
      <c r="H96" s="115">
        <f t="shared" si="171"/>
        <v>0.13531022206691337</v>
      </c>
      <c r="I96" s="115">
        <f t="shared" si="171"/>
        <v>-3.4481818110312755E-4</v>
      </c>
      <c r="J96" s="115">
        <f t="shared" si="171"/>
        <v>-1.3069354788548006E-2</v>
      </c>
      <c r="K96" s="115">
        <f t="shared" si="171"/>
        <v>3.5206093092955304E-2</v>
      </c>
      <c r="L96" s="115">
        <f t="shared" si="171"/>
        <v>0.15400552321950761</v>
      </c>
      <c r="M96" s="115">
        <f t="shared" si="171"/>
        <v>2.3472667965459493E-2</v>
      </c>
      <c r="N96" s="115">
        <f t="shared" si="171"/>
        <v>-7.8773215201185156E-3</v>
      </c>
      <c r="O96" s="115">
        <f t="shared" si="171"/>
        <v>2.9830195801574755E-2</v>
      </c>
      <c r="P96" s="103">
        <f>SUM(C96:O96)</f>
        <v>1.9180488257511672</v>
      </c>
      <c r="Q96" s="31"/>
      <c r="R96" s="11">
        <v>1.9070921007658244</v>
      </c>
      <c r="S96" s="31" t="s">
        <v>43</v>
      </c>
    </row>
    <row r="97" spans="1:36">
      <c r="A97" s="4"/>
      <c r="B97" s="42" t="s">
        <v>45</v>
      </c>
      <c r="C97" s="99">
        <v>11.455190249999978</v>
      </c>
      <c r="D97" s="99">
        <v>16.794977539999984</v>
      </c>
      <c r="E97" s="99">
        <v>22.628371790000077</v>
      </c>
      <c r="F97" s="99">
        <v>14.216102359999999</v>
      </c>
      <c r="G97" s="99">
        <v>9.0012280400000062</v>
      </c>
      <c r="H97" s="99">
        <v>32.777864310000076</v>
      </c>
      <c r="I97" s="99">
        <v>2.4343079400000001</v>
      </c>
      <c r="J97" s="99">
        <v>2.8311005100000002</v>
      </c>
      <c r="K97" s="99">
        <v>12.455190249999999</v>
      </c>
      <c r="L97" s="99">
        <v>16.394977539999999</v>
      </c>
      <c r="M97" s="99">
        <v>14.216102359999999</v>
      </c>
      <c r="N97" s="99">
        <v>10.001228039999999</v>
      </c>
      <c r="O97" s="99">
        <v>16.794977539999984</v>
      </c>
      <c r="P97" s="100">
        <f>SUM(C97:O97)</f>
        <v>182.0016184700001</v>
      </c>
      <c r="R97" s="2">
        <v>161.85320000000002</v>
      </c>
      <c r="S97"/>
    </row>
    <row r="98" spans="1:36">
      <c r="A98" s="4"/>
      <c r="B98" s="43">
        <v>2024</v>
      </c>
      <c r="C98" s="93">
        <v>0.94744499528569359</v>
      </c>
      <c r="D98" s="93">
        <v>0.95856516971462125</v>
      </c>
      <c r="E98" s="93">
        <v>0.95016778653946909</v>
      </c>
      <c r="F98" s="93">
        <v>0.94805091966084387</v>
      </c>
      <c r="G98" s="93">
        <v>0.95991768107419195</v>
      </c>
      <c r="H98" s="93">
        <v>0.70447059743959606</v>
      </c>
      <c r="I98" s="93">
        <v>0.94346672073305238</v>
      </c>
      <c r="J98" s="93">
        <v>0.9142632041862907</v>
      </c>
      <c r="K98" s="93">
        <v>0.90024378734842259</v>
      </c>
      <c r="L98" s="93">
        <v>0.87489640656665746</v>
      </c>
      <c r="M98" s="93">
        <v>0.91021067309212533</v>
      </c>
      <c r="N98" s="93">
        <v>0.92322777708495574</v>
      </c>
      <c r="O98" s="93">
        <v>0.92994281507121646</v>
      </c>
      <c r="P98" s="101">
        <f>AVERAGE(C98:O98)</f>
        <v>0.91268219490747193</v>
      </c>
      <c r="R98" s="6">
        <v>0.91813002739047522</v>
      </c>
      <c r="S98"/>
      <c r="T98" s="8" t="e">
        <f>AVERAGE(W98:AI98)</f>
        <v>#DIV/0!</v>
      </c>
      <c r="U98" s="8">
        <f>MAX(W98:AI98)</f>
        <v>0</v>
      </c>
      <c r="V98" s="8">
        <f>MIN(W98:AI98)</f>
        <v>0</v>
      </c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6">
      <c r="A99" s="4"/>
      <c r="B99" s="43">
        <v>2025</v>
      </c>
      <c r="C99" s="94">
        <v>0.88728987208299737</v>
      </c>
      <c r="D99" s="94">
        <v>0.93072464803827748</v>
      </c>
      <c r="E99" s="94">
        <v>0.9133911655281326</v>
      </c>
      <c r="F99" s="94">
        <v>0.94847572679655978</v>
      </c>
      <c r="G99" s="94">
        <v>0.96015433214863377</v>
      </c>
      <c r="H99" s="94">
        <v>0.94672984786039038</v>
      </c>
      <c r="I99" s="94">
        <v>0.91397291721356144</v>
      </c>
      <c r="J99" s="94">
        <v>0.94542566887801827</v>
      </c>
      <c r="K99" s="45">
        <v>0.95182175865905172</v>
      </c>
      <c r="L99" s="45">
        <v>0.93899999999999995</v>
      </c>
      <c r="M99" s="45">
        <v>0.94</v>
      </c>
      <c r="N99" s="45">
        <v>0.94</v>
      </c>
      <c r="O99" s="45">
        <v>0.94</v>
      </c>
      <c r="P99" s="101">
        <f>AVERAGE(C99:O99)</f>
        <v>0.93515276440043238</v>
      </c>
      <c r="R99" s="6">
        <v>0.94061538461538474</v>
      </c>
      <c r="S99"/>
      <c r="T99" s="8">
        <f>AVERAGE(W99:AI99)</f>
        <v>0.91268219490747193</v>
      </c>
      <c r="U99" s="8">
        <f>MAX(C98:O98)</f>
        <v>0.95991768107419195</v>
      </c>
      <c r="V99" s="8">
        <f>MIN(C98:O98)</f>
        <v>0.70447059743959606</v>
      </c>
      <c r="W99" s="8">
        <f>C98-W98</f>
        <v>0.94744499528569359</v>
      </c>
      <c r="X99" s="8">
        <f t="shared" ref="X99:AI99" si="172">D98-X98</f>
        <v>0.95856516971462125</v>
      </c>
      <c r="Y99" s="8">
        <f t="shared" si="172"/>
        <v>0.95016778653946909</v>
      </c>
      <c r="Z99" s="8">
        <f t="shared" si="172"/>
        <v>0.94805091966084387</v>
      </c>
      <c r="AA99" s="8">
        <f t="shared" si="172"/>
        <v>0.95991768107419195</v>
      </c>
      <c r="AB99" s="8">
        <f t="shared" si="172"/>
        <v>0.70447059743959606</v>
      </c>
      <c r="AC99" s="8">
        <f t="shared" si="172"/>
        <v>0.94346672073305238</v>
      </c>
      <c r="AD99" s="8">
        <f t="shared" si="172"/>
        <v>0.9142632041862907</v>
      </c>
      <c r="AE99" s="8">
        <f t="shared" si="172"/>
        <v>0.90024378734842259</v>
      </c>
      <c r="AF99" s="8">
        <f t="shared" si="172"/>
        <v>0.87489640656665746</v>
      </c>
      <c r="AG99" s="8">
        <f t="shared" si="172"/>
        <v>0.91021067309212533</v>
      </c>
      <c r="AH99" s="8">
        <f t="shared" si="172"/>
        <v>0.92322777708495574</v>
      </c>
      <c r="AI99" s="8">
        <f t="shared" si="172"/>
        <v>0.92994281507121646</v>
      </c>
    </row>
    <row r="100" spans="1:36">
      <c r="A100" s="4"/>
      <c r="B100" s="46" t="s">
        <v>24</v>
      </c>
      <c r="C100" s="94">
        <f>C99-C98</f>
        <v>-6.0155123202696226E-2</v>
      </c>
      <c r="D100" s="94">
        <f t="shared" ref="D100:F100" si="173">D99-D98</f>
        <v>-2.7840521676343766E-2</v>
      </c>
      <c r="E100" s="94">
        <f t="shared" si="173"/>
        <v>-3.6776621011336497E-2</v>
      </c>
      <c r="F100" s="94">
        <f t="shared" si="173"/>
        <v>4.2480713571591E-4</v>
      </c>
      <c r="G100" s="94">
        <f>G99-G98</f>
        <v>2.3665107444181821E-4</v>
      </c>
      <c r="H100" s="94">
        <f t="shared" ref="H100:O100" si="174">H99-H98</f>
        <v>0.24225925042079433</v>
      </c>
      <c r="I100" s="94">
        <f t="shared" si="174"/>
        <v>-2.9493803519490935E-2</v>
      </c>
      <c r="J100" s="94">
        <f t="shared" si="174"/>
        <v>3.1162464691727565E-2</v>
      </c>
      <c r="K100" s="94">
        <f t="shared" si="174"/>
        <v>5.1577971310629134E-2</v>
      </c>
      <c r="L100" s="94">
        <f t="shared" si="174"/>
        <v>6.4103593433342487E-2</v>
      </c>
      <c r="M100" s="94">
        <f t="shared" si="174"/>
        <v>2.9789326907874614E-2</v>
      </c>
      <c r="N100" s="94">
        <f t="shared" si="174"/>
        <v>1.677222291504421E-2</v>
      </c>
      <c r="O100" s="94">
        <f t="shared" si="174"/>
        <v>1.0057184928783491E-2</v>
      </c>
      <c r="P100" s="101">
        <f>(AVERAGE(C99:O99)-AVERAGE(C98:O98))</f>
        <v>2.2470569492960446E-2</v>
      </c>
      <c r="R100" s="9">
        <v>2.2485357224909519E-2</v>
      </c>
      <c r="S100"/>
      <c r="T100" s="8">
        <f>AVERAGE(W100:AI100)</f>
        <v>-1.4585150178730948E-3</v>
      </c>
      <c r="U100" s="8">
        <f>MAX(C99:O99)</f>
        <v>0.96015433214863377</v>
      </c>
      <c r="V100" s="8">
        <f>MIN(C99:O99)</f>
        <v>0.88728987208299737</v>
      </c>
      <c r="X100" s="8">
        <f>D98-C98</f>
        <v>1.1120174428927654E-2</v>
      </c>
      <c r="Y100" s="8">
        <f t="shared" ref="Y100:AI100" si="175">E98-D98</f>
        <v>-8.397383175152151E-3</v>
      </c>
      <c r="Z100" s="8">
        <f t="shared" si="175"/>
        <v>-2.1168668786252232E-3</v>
      </c>
      <c r="AA100" s="8">
        <f t="shared" si="175"/>
        <v>1.1866761413348081E-2</v>
      </c>
      <c r="AB100" s="8">
        <f t="shared" si="175"/>
        <v>-0.2554470836345959</v>
      </c>
      <c r="AC100" s="8">
        <f t="shared" si="175"/>
        <v>0.23899612329345632</v>
      </c>
      <c r="AD100" s="8">
        <f t="shared" si="175"/>
        <v>-2.9203516546761676E-2</v>
      </c>
      <c r="AE100" s="8">
        <f t="shared" si="175"/>
        <v>-1.4019416837868115E-2</v>
      </c>
      <c r="AF100" s="8">
        <f t="shared" si="175"/>
        <v>-2.5347380781765128E-2</v>
      </c>
      <c r="AG100" s="8">
        <f t="shared" si="175"/>
        <v>3.5314266525467874E-2</v>
      </c>
      <c r="AH100" s="8">
        <f t="shared" si="175"/>
        <v>1.3017103992830403E-2</v>
      </c>
      <c r="AI100" s="8">
        <f t="shared" si="175"/>
        <v>6.715037986260719E-3</v>
      </c>
    </row>
    <row r="101" spans="1:36">
      <c r="A101" s="4"/>
      <c r="B101" s="43" t="s">
        <v>26</v>
      </c>
      <c r="C101" s="93">
        <f t="shared" ref="C101:P101" si="176">C100/3%*1%</f>
        <v>-2.005170773423208E-2</v>
      </c>
      <c r="D101" s="93">
        <f t="shared" si="176"/>
        <v>-9.2801738921145897E-3</v>
      </c>
      <c r="E101" s="93">
        <f t="shared" si="176"/>
        <v>-1.2258873670445501E-2</v>
      </c>
      <c r="F101" s="93">
        <f t="shared" si="176"/>
        <v>1.4160237857197E-4</v>
      </c>
      <c r="G101" s="93">
        <f t="shared" si="176"/>
        <v>7.8883691480606088E-5</v>
      </c>
      <c r="H101" s="93">
        <f t="shared" si="176"/>
        <v>8.0753083473598122E-2</v>
      </c>
      <c r="I101" s="93">
        <f t="shared" si="176"/>
        <v>-9.8312678398303124E-3</v>
      </c>
      <c r="J101" s="93">
        <f t="shared" si="176"/>
        <v>1.0387488230575857E-2</v>
      </c>
      <c r="K101" s="93">
        <f t="shared" si="176"/>
        <v>1.7192657103543046E-2</v>
      </c>
      <c r="L101" s="93">
        <f t="shared" si="176"/>
        <v>2.1367864477780829E-2</v>
      </c>
      <c r="M101" s="93">
        <f t="shared" si="176"/>
        <v>9.9297756359582046E-3</v>
      </c>
      <c r="N101" s="93">
        <f t="shared" si="176"/>
        <v>5.590740971681404E-3</v>
      </c>
      <c r="O101" s="93">
        <f t="shared" si="176"/>
        <v>3.3523949762611638E-3</v>
      </c>
      <c r="P101" s="102">
        <f t="shared" si="176"/>
        <v>7.4901898309868153E-3</v>
      </c>
      <c r="R101" s="10">
        <v>7.4951190749698408E-3</v>
      </c>
      <c r="S101"/>
      <c r="T101" s="8" t="e">
        <f>(T98-C98)</f>
        <v>#DIV/0!</v>
      </c>
    </row>
    <row r="102" spans="1:36" ht="15" thickBot="1">
      <c r="A102" s="4"/>
      <c r="B102" s="49" t="s">
        <v>27</v>
      </c>
      <c r="C102" s="115">
        <f t="shared" ref="C102:O102" si="177">C97*C101</f>
        <v>-0.22969612693302446</v>
      </c>
      <c r="D102" s="115">
        <f t="shared" si="177"/>
        <v>-0.15586031208535878</v>
      </c>
      <c r="E102" s="115">
        <f t="shared" si="177"/>
        <v>-0.2773983511414837</v>
      </c>
      <c r="F102" s="115">
        <f t="shared" si="177"/>
        <v>2.0130339081985962E-3</v>
      </c>
      <c r="G102" s="115">
        <f t="shared" si="177"/>
        <v>7.1005009565394109E-4</v>
      </c>
      <c r="H102" s="115">
        <f t="shared" si="177"/>
        <v>2.646913612711709</v>
      </c>
      <c r="I102" s="115">
        <f t="shared" si="177"/>
        <v>-2.3932333362765578E-2</v>
      </c>
      <c r="J102" s="115">
        <f t="shared" si="177"/>
        <v>2.9408023227202307E-2</v>
      </c>
      <c r="K102" s="115">
        <f t="shared" si="177"/>
        <v>0.21413781512764257</v>
      </c>
      <c r="L102" s="115">
        <f t="shared" si="177"/>
        <v>0.35032565819098049</v>
      </c>
      <c r="M102" s="115">
        <f t="shared" si="177"/>
        <v>0.14116270685261592</v>
      </c>
      <c r="N102" s="115">
        <f t="shared" si="177"/>
        <v>5.5914275370356897E-2</v>
      </c>
      <c r="O102" s="115">
        <f t="shared" si="177"/>
        <v>5.6303398331515021E-2</v>
      </c>
      <c r="P102" s="103">
        <f>SUM(C102:O102)</f>
        <v>2.8100014502932424</v>
      </c>
      <c r="Q102" s="31"/>
      <c r="R102" s="11">
        <v>1.2954355715714938</v>
      </c>
      <c r="S102" s="31" t="s">
        <v>43</v>
      </c>
    </row>
    <row r="103" spans="1:36">
      <c r="A103" s="1"/>
      <c r="B103" s="42" t="s">
        <v>29</v>
      </c>
      <c r="C103" s="99">
        <v>14.422302580959901</v>
      </c>
      <c r="D103" s="99">
        <v>16.100614520000001</v>
      </c>
      <c r="E103" s="99">
        <v>11.435649525719899</v>
      </c>
      <c r="F103" s="99">
        <v>15.1106652</v>
      </c>
      <c r="G103" s="99">
        <v>21.787710182480001</v>
      </c>
      <c r="H103" s="99">
        <v>13.939242815239901</v>
      </c>
      <c r="I103" s="99">
        <v>8.5004943899999894</v>
      </c>
      <c r="J103" s="99">
        <v>13.489431499999901</v>
      </c>
      <c r="K103" s="99">
        <v>15</v>
      </c>
      <c r="L103" s="99">
        <v>18</v>
      </c>
      <c r="M103" s="99">
        <v>18.8</v>
      </c>
      <c r="N103" s="99">
        <v>13.7</v>
      </c>
      <c r="O103" s="99">
        <v>14.8</v>
      </c>
      <c r="P103" s="100">
        <f>SUM(C103:O103)</f>
        <v>195.08611071439958</v>
      </c>
      <c r="R103" s="2">
        <v>218.45250000000001</v>
      </c>
      <c r="S103"/>
    </row>
    <row r="104" spans="1:36">
      <c r="A104" s="4"/>
      <c r="B104" s="43">
        <v>2024</v>
      </c>
      <c r="C104" s="93">
        <v>0.94908827375651539</v>
      </c>
      <c r="D104" s="93">
        <v>0.9490590964638238</v>
      </c>
      <c r="E104" s="93">
        <v>0.94782941472067617</v>
      </c>
      <c r="F104" s="93">
        <v>0.95458591795585435</v>
      </c>
      <c r="G104" s="93">
        <v>0.95120932858050822</v>
      </c>
      <c r="H104" s="93">
        <v>0.93482932889600356</v>
      </c>
      <c r="I104" s="93">
        <v>0.93811221512826493</v>
      </c>
      <c r="J104" s="93">
        <v>0.92565481396016702</v>
      </c>
      <c r="K104" s="93">
        <v>0.92317066861005914</v>
      </c>
      <c r="L104" s="93">
        <v>0.90504381648405263</v>
      </c>
      <c r="M104" s="93">
        <v>0.91528192339683534</v>
      </c>
      <c r="N104" s="93">
        <v>0.90830440695256498</v>
      </c>
      <c r="O104" s="93">
        <v>0.91173490894917975</v>
      </c>
      <c r="P104" s="101">
        <f>AVERAGE(C104:O104)</f>
        <v>0.93183877798880799</v>
      </c>
      <c r="R104" s="6">
        <v>0.9351439415917302</v>
      </c>
      <c r="S104"/>
      <c r="T104" s="8" t="e">
        <f>AVERAGE(W104:AI104)</f>
        <v>#DIV/0!</v>
      </c>
      <c r="U104" s="8">
        <f>MAX(W104:AI104)</f>
        <v>0</v>
      </c>
      <c r="V104" s="8">
        <f>MIN(W104:AI104)</f>
        <v>0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1:36">
      <c r="A105" s="4"/>
      <c r="B105" s="43">
        <v>2025</v>
      </c>
      <c r="C105" s="94">
        <v>0.90139603273286706</v>
      </c>
      <c r="D105" s="94">
        <v>0.91978671759067099</v>
      </c>
      <c r="E105" s="94">
        <v>0.90077176496687539</v>
      </c>
      <c r="F105" s="94">
        <v>0.90752885729512045</v>
      </c>
      <c r="G105" s="94">
        <v>0.924881194714824</v>
      </c>
      <c r="H105" s="94">
        <v>0.92621366508135305</v>
      </c>
      <c r="I105" s="94">
        <v>0.91399530294775544</v>
      </c>
      <c r="J105" s="94">
        <v>0.89823647066327683</v>
      </c>
      <c r="K105" s="45">
        <v>0.90885506892344081</v>
      </c>
      <c r="L105" s="45">
        <v>0.91</v>
      </c>
      <c r="M105" s="45">
        <v>0.91100000000000003</v>
      </c>
      <c r="N105" s="45">
        <v>0.91200000000000003</v>
      </c>
      <c r="O105" s="45">
        <v>0.91200000000000003</v>
      </c>
      <c r="P105" s="101">
        <f>AVERAGE(C105:O105)</f>
        <v>0.91128192883970649</v>
      </c>
      <c r="R105" s="6">
        <v>0.95161538461538464</v>
      </c>
      <c r="S105"/>
      <c r="T105" s="8">
        <f>AVERAGE(W105:AI105)</f>
        <v>0.93183877798880799</v>
      </c>
      <c r="U105" s="8">
        <f>MAX(C104:O104)</f>
        <v>0.95458591795585435</v>
      </c>
      <c r="V105" s="8">
        <f>MIN(C104:O104)</f>
        <v>0.90504381648405263</v>
      </c>
      <c r="W105" s="8">
        <f t="shared" ref="W105" si="178">C104-W104</f>
        <v>0.94908827375651539</v>
      </c>
      <c r="X105" s="8">
        <f t="shared" ref="X105" si="179">D104-X104</f>
        <v>0.9490590964638238</v>
      </c>
      <c r="Y105" s="8">
        <f t="shared" ref="Y105" si="180">E104-Y104</f>
        <v>0.94782941472067617</v>
      </c>
      <c r="Z105" s="8">
        <f t="shared" ref="Z105" si="181">F104-Z104</f>
        <v>0.95458591795585435</v>
      </c>
      <c r="AA105" s="8">
        <f t="shared" ref="AA105" si="182">G104-AA104</f>
        <v>0.95120932858050822</v>
      </c>
      <c r="AB105" s="8">
        <f t="shared" ref="AB105" si="183">H104-AB104</f>
        <v>0.93482932889600356</v>
      </c>
      <c r="AC105" s="8">
        <f t="shared" ref="AC105" si="184">I104-AC104</f>
        <v>0.93811221512826493</v>
      </c>
      <c r="AD105" s="8">
        <f t="shared" ref="AD105" si="185">J104-AD104</f>
        <v>0.92565481396016702</v>
      </c>
      <c r="AE105" s="8">
        <f t="shared" ref="AE105" si="186">K104-AE104</f>
        <v>0.92317066861005914</v>
      </c>
      <c r="AF105" s="8">
        <f t="shared" ref="AF105" si="187">L104-AF104</f>
        <v>0.90504381648405263</v>
      </c>
      <c r="AG105" s="8">
        <f t="shared" ref="AG105" si="188">M104-AG104</f>
        <v>0.91528192339683534</v>
      </c>
      <c r="AH105" s="8">
        <f t="shared" ref="AH105" si="189">N104-AH104</f>
        <v>0.90830440695256498</v>
      </c>
      <c r="AI105" s="8">
        <f t="shared" ref="AI105" si="190">O104-AI104</f>
        <v>0.91173490894917975</v>
      </c>
    </row>
    <row r="106" spans="1:36">
      <c r="A106" s="4"/>
      <c r="B106" s="46" t="s">
        <v>24</v>
      </c>
      <c r="C106" s="94">
        <f>C105-C104</f>
        <v>-4.769224102364833E-2</v>
      </c>
      <c r="D106" s="94">
        <f t="shared" ref="D106:F106" si="191">D105-D104</f>
        <v>-2.9272378873152816E-2</v>
      </c>
      <c r="E106" s="94">
        <f t="shared" si="191"/>
        <v>-4.7057649753800779E-2</v>
      </c>
      <c r="F106" s="94">
        <f t="shared" si="191"/>
        <v>-4.7057060660733896E-2</v>
      </c>
      <c r="G106" s="94">
        <f>G105-G104</f>
        <v>-2.6328133865684222E-2</v>
      </c>
      <c r="H106" s="94">
        <f t="shared" ref="H106:O106" si="192">H105-H104</f>
        <v>-8.6156638146505093E-3</v>
      </c>
      <c r="I106" s="94">
        <f t="shared" si="192"/>
        <v>-2.4116912180509487E-2</v>
      </c>
      <c r="J106" s="94">
        <f t="shared" si="192"/>
        <v>-2.7418343296890191E-2</v>
      </c>
      <c r="K106" s="94">
        <f t="shared" si="192"/>
        <v>-1.431559968661833E-2</v>
      </c>
      <c r="L106" s="94">
        <f t="shared" si="192"/>
        <v>4.9561835159473988E-3</v>
      </c>
      <c r="M106" s="94">
        <f t="shared" si="192"/>
        <v>-4.2819233968353076E-3</v>
      </c>
      <c r="N106" s="94">
        <f t="shared" si="192"/>
        <v>3.6955930474350529E-3</v>
      </c>
      <c r="O106" s="94">
        <f t="shared" si="192"/>
        <v>2.650910508202875E-4</v>
      </c>
      <c r="P106" s="101">
        <f>(AVERAGE(C105:O105)-AVERAGE(C104:O104))</f>
        <v>-2.0556849149101497E-2</v>
      </c>
      <c r="R106" s="9">
        <v>1.6471443023654442E-2</v>
      </c>
      <c r="S106"/>
      <c r="T106" s="8">
        <f>AVERAGE(W106:AI106)</f>
        <v>-3.1127804006113036E-3</v>
      </c>
      <c r="U106" s="8">
        <f>MAX(C105:O105)</f>
        <v>0.92621366508135305</v>
      </c>
      <c r="V106" s="8">
        <f>MIN(C105:O105)</f>
        <v>0.89823647066327683</v>
      </c>
      <c r="X106" s="8">
        <f t="shared" ref="X106" si="193">D104-C104</f>
        <v>-2.9177292691584533E-5</v>
      </c>
      <c r="Y106" s="8">
        <f t="shared" ref="Y106" si="194">E104-D104</f>
        <v>-1.229681743147637E-3</v>
      </c>
      <c r="Z106" s="8">
        <f t="shared" ref="Z106" si="195">F104-E104</f>
        <v>6.7565032351781795E-3</v>
      </c>
      <c r="AA106" s="8">
        <f t="shared" ref="AA106" si="196">G104-F104</f>
        <v>-3.3765893753461285E-3</v>
      </c>
      <c r="AB106" s="8">
        <f t="shared" ref="AB106" si="197">H104-G104</f>
        <v>-1.6379999684504654E-2</v>
      </c>
      <c r="AC106" s="8">
        <f t="shared" ref="AC106" si="198">I104-H104</f>
        <v>3.2828862322613617E-3</v>
      </c>
      <c r="AD106" s="8">
        <f t="shared" ref="AD106" si="199">J104-I104</f>
        <v>-1.2457401168097904E-2</v>
      </c>
      <c r="AE106" s="8">
        <f t="shared" ref="AE106" si="200">K104-J104</f>
        <v>-2.4841453501078803E-3</v>
      </c>
      <c r="AF106" s="8">
        <f t="shared" ref="AF106" si="201">L104-K104</f>
        <v>-1.812685212600651E-2</v>
      </c>
      <c r="AG106" s="8">
        <f t="shared" ref="AG106" si="202">M104-L104</f>
        <v>1.0238106912782707E-2</v>
      </c>
      <c r="AH106" s="8">
        <f t="shared" ref="AH106" si="203">N104-M104</f>
        <v>-6.9775164442703597E-3</v>
      </c>
      <c r="AI106" s="8">
        <f t="shared" ref="AI106" si="204">O104-N104</f>
        <v>3.4305019966147654E-3</v>
      </c>
    </row>
    <row r="107" spans="1:36">
      <c r="A107" s="4"/>
      <c r="B107" s="43" t="s">
        <v>26</v>
      </c>
      <c r="C107" s="93">
        <f t="shared" ref="C107:P107" si="205">C106/3%*1%</f>
        <v>-1.5897413674549443E-2</v>
      </c>
      <c r="D107" s="93">
        <f t="shared" si="205"/>
        <v>-9.757459624384273E-3</v>
      </c>
      <c r="E107" s="93">
        <f t="shared" si="205"/>
        <v>-1.5685883251266929E-2</v>
      </c>
      <c r="F107" s="93">
        <f t="shared" si="205"/>
        <v>-1.5685686886911299E-2</v>
      </c>
      <c r="G107" s="93">
        <f t="shared" si="205"/>
        <v>-8.7760446218947408E-3</v>
      </c>
      <c r="H107" s="93">
        <f t="shared" si="205"/>
        <v>-2.8718879382168367E-3</v>
      </c>
      <c r="I107" s="93">
        <f t="shared" si="205"/>
        <v>-8.0389707268364967E-3</v>
      </c>
      <c r="J107" s="93">
        <f t="shared" si="205"/>
        <v>-9.1394477656300648E-3</v>
      </c>
      <c r="K107" s="93">
        <f t="shared" si="205"/>
        <v>-4.7718665622061103E-3</v>
      </c>
      <c r="L107" s="93">
        <f t="shared" si="205"/>
        <v>1.6520611719824663E-3</v>
      </c>
      <c r="M107" s="93">
        <f t="shared" si="205"/>
        <v>-1.4273077989451028E-3</v>
      </c>
      <c r="N107" s="93">
        <f t="shared" si="205"/>
        <v>1.2318643491450176E-3</v>
      </c>
      <c r="O107" s="93">
        <f t="shared" si="205"/>
        <v>8.83636836067625E-5</v>
      </c>
      <c r="P107" s="102">
        <f t="shared" si="205"/>
        <v>-6.8522830497004996E-3</v>
      </c>
      <c r="R107" s="10">
        <v>5.4904810078848145E-3</v>
      </c>
      <c r="S107"/>
      <c r="T107" s="8" t="e">
        <f>(T104-C104)</f>
        <v>#DIV/0!</v>
      </c>
    </row>
    <row r="108" spans="1:36" ht="15" thickBot="1">
      <c r="A108" s="90"/>
      <c r="B108" s="52" t="s">
        <v>27</v>
      </c>
      <c r="C108" s="116">
        <f>C103*C107</f>
        <v>-0.22927731026904166</v>
      </c>
      <c r="D108" s="116">
        <f t="shared" ref="D108:O108" si="206">D103*D107</f>
        <v>-0.15710109610667516</v>
      </c>
      <c r="E108" s="116">
        <f t="shared" si="206"/>
        <v>-0.17937826336284837</v>
      </c>
      <c r="F108" s="116">
        <f t="shared" si="206"/>
        <v>-0.23702116298014689</v>
      </c>
      <c r="G108" s="116">
        <f t="shared" si="206"/>
        <v>-0.1912099167703549</v>
      </c>
      <c r="H108" s="116">
        <f t="shared" si="206"/>
        <v>-4.0031943308963175E-2</v>
      </c>
      <c r="I108" s="116">
        <f t="shared" si="206"/>
        <v>-6.8335225564847779E-2</v>
      </c>
      <c r="J108" s="116">
        <f t="shared" si="206"/>
        <v>-0.12328595458229391</v>
      </c>
      <c r="K108" s="116">
        <f t="shared" si="206"/>
        <v>-7.157799843309165E-2</v>
      </c>
      <c r="L108" s="116">
        <f t="shared" si="206"/>
        <v>2.9737101095684393E-2</v>
      </c>
      <c r="M108" s="116">
        <f t="shared" si="206"/>
        <v>-2.6833386620167935E-2</v>
      </c>
      <c r="N108" s="116">
        <f t="shared" si="206"/>
        <v>1.687654158328674E-2</v>
      </c>
      <c r="O108" s="116">
        <f t="shared" si="206"/>
        <v>1.3077825173800851E-3</v>
      </c>
      <c r="P108" s="104">
        <f>SUM(C108:O108)</f>
        <v>-1.27613083280208</v>
      </c>
      <c r="Q108" s="31"/>
      <c r="S108" s="25"/>
    </row>
    <row r="109" spans="1:36" ht="15" thickBot="1">
      <c r="A109" s="82" t="s">
        <v>20</v>
      </c>
      <c r="B109" s="88" t="s">
        <v>46</v>
      </c>
      <c r="C109" s="107">
        <f>C110+C116+C122+C128</f>
        <v>336.26301590780753</v>
      </c>
      <c r="D109" s="107">
        <f t="shared" ref="D109:O109" si="207">D110+D116+D122+D128</f>
        <v>361.33423505383178</v>
      </c>
      <c r="E109" s="107">
        <f t="shared" si="207"/>
        <v>281.55065066504619</v>
      </c>
      <c r="F109" s="107">
        <f t="shared" si="207"/>
        <v>217.68251275998855</v>
      </c>
      <c r="G109" s="107">
        <f t="shared" si="207"/>
        <v>259.54878583999374</v>
      </c>
      <c r="H109" s="107">
        <f t="shared" si="207"/>
        <v>299.94433140001638</v>
      </c>
      <c r="I109" s="107">
        <f t="shared" si="207"/>
        <v>310.70441809992963</v>
      </c>
      <c r="J109" s="107">
        <f t="shared" si="207"/>
        <v>347.51954411014026</v>
      </c>
      <c r="K109" s="107">
        <f t="shared" si="207"/>
        <v>334.35301359125003</v>
      </c>
      <c r="L109" s="107">
        <f t="shared" si="207"/>
        <v>358.61792657849634</v>
      </c>
      <c r="M109" s="107">
        <f t="shared" si="207"/>
        <v>382.36491229461905</v>
      </c>
      <c r="N109" s="107">
        <f t="shared" si="207"/>
        <v>390.19377495120199</v>
      </c>
      <c r="O109" s="107">
        <f t="shared" si="207"/>
        <v>396.83136720544877</v>
      </c>
      <c r="P109" s="106">
        <f>SUM(C109:O109)</f>
        <v>4276.9084884577705</v>
      </c>
      <c r="S109" s="25"/>
      <c r="AJ109" s="189">
        <f>P115+P121+P127+P133</f>
        <v>9.8649540464211309</v>
      </c>
    </row>
    <row r="110" spans="1:36">
      <c r="A110" s="87"/>
      <c r="B110" s="42" t="s">
        <v>47</v>
      </c>
      <c r="C110" s="99">
        <v>248.18005664780753</v>
      </c>
      <c r="D110" s="99">
        <v>218.24040905383183</v>
      </c>
      <c r="E110" s="99">
        <v>164.27570455504508</v>
      </c>
      <c r="F110" s="99">
        <v>115.59748327998742</v>
      </c>
      <c r="G110" s="99">
        <v>147.29169088999416</v>
      </c>
      <c r="H110" s="99">
        <v>190.41204597001607</v>
      </c>
      <c r="I110" s="99">
        <v>198.98328127992875</v>
      </c>
      <c r="J110" s="99">
        <v>238.16910734014076</v>
      </c>
      <c r="K110" s="99">
        <v>220</v>
      </c>
      <c r="L110" s="99">
        <v>247.48917262140299</v>
      </c>
      <c r="M110" s="99">
        <v>270.32627591987199</v>
      </c>
      <c r="N110" s="99">
        <v>278.22584952657098</v>
      </c>
      <c r="O110" s="99">
        <v>284.87</v>
      </c>
      <c r="P110" s="100">
        <f>SUM(C110:O110)</f>
        <v>2822.0610770845974</v>
      </c>
      <c r="R110" s="2">
        <v>2267.0133862794341</v>
      </c>
      <c r="S110" s="25"/>
    </row>
    <row r="111" spans="1:36">
      <c r="A111" s="1"/>
      <c r="B111" s="43">
        <v>2024</v>
      </c>
      <c r="C111" s="93">
        <v>0.90956980277148458</v>
      </c>
      <c r="D111" s="93">
        <v>0.92198695997181035</v>
      </c>
      <c r="E111" s="93">
        <v>0.93862562750077483</v>
      </c>
      <c r="F111" s="93">
        <v>0.94035502731495013</v>
      </c>
      <c r="G111" s="93">
        <v>0.95846450874032119</v>
      </c>
      <c r="H111" s="93">
        <v>0.94468642281210202</v>
      </c>
      <c r="I111" s="93">
        <v>0.94526812611543853</v>
      </c>
      <c r="J111" s="93">
        <v>0.9408155031877673</v>
      </c>
      <c r="K111" s="93">
        <v>0.94696184846285569</v>
      </c>
      <c r="L111" s="93">
        <v>0.94344570012414419</v>
      </c>
      <c r="M111" s="93">
        <v>0.93730548651184253</v>
      </c>
      <c r="N111" s="93">
        <v>0.94653785544844804</v>
      </c>
      <c r="O111" s="93">
        <v>0.9383274870434124</v>
      </c>
      <c r="P111" s="101">
        <f>AVERAGE(C111:O111)</f>
        <v>0.9394115658465656</v>
      </c>
      <c r="R111" s="6">
        <v>0.94162562986018483</v>
      </c>
      <c r="S111" s="24">
        <v>2024</v>
      </c>
      <c r="T111" s="8" t="e">
        <f>AVERAGE(W111:AI111)</f>
        <v>#DIV/0!</v>
      </c>
      <c r="U111" s="8">
        <f>MAX(W111:AI111)</f>
        <v>0</v>
      </c>
      <c r="V111" s="8">
        <f>MIN(W111:AI111)</f>
        <v>0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1:36">
      <c r="A112" s="1"/>
      <c r="B112" s="43">
        <v>2025</v>
      </c>
      <c r="C112" s="94">
        <v>0.92575833373332961</v>
      </c>
      <c r="D112" s="94">
        <v>0.94966046235972634</v>
      </c>
      <c r="E112" s="94">
        <v>0.95110529839712377</v>
      </c>
      <c r="F112" s="94">
        <v>0.95287444873353533</v>
      </c>
      <c r="G112" s="94">
        <v>0.95473527113193535</v>
      </c>
      <c r="H112" s="94">
        <v>0.94918529495845072</v>
      </c>
      <c r="I112" s="94">
        <v>0.93847735704559765</v>
      </c>
      <c r="J112" s="94">
        <v>0.94141345317893932</v>
      </c>
      <c r="K112" s="45">
        <v>0.95484080812734906</v>
      </c>
      <c r="L112" s="45">
        <v>0.94599999999999995</v>
      </c>
      <c r="M112" s="45">
        <v>0.95</v>
      </c>
      <c r="N112" s="45">
        <v>0.95</v>
      </c>
      <c r="O112" s="45">
        <v>0.95</v>
      </c>
      <c r="P112" s="101">
        <f>AVERAGE(C112:O112)</f>
        <v>0.94723467135892192</v>
      </c>
      <c r="R112" s="6">
        <v>0.94702918403887315</v>
      </c>
      <c r="S112" s="24" t="s">
        <v>23</v>
      </c>
      <c r="T112" s="8">
        <f>AVERAGE(W112:AI112)</f>
        <v>0.9394115658465656</v>
      </c>
      <c r="U112" s="8">
        <f>MAX(C111:O111)</f>
        <v>0.95846450874032119</v>
      </c>
      <c r="V112" s="8">
        <f>MIN(C111:O111)</f>
        <v>0.90956980277148458</v>
      </c>
      <c r="W112" s="8">
        <f t="shared" ref="W112:AI112" si="208">C111-W111</f>
        <v>0.90956980277148458</v>
      </c>
      <c r="X112" s="8">
        <f t="shared" si="208"/>
        <v>0.92198695997181035</v>
      </c>
      <c r="Y112" s="8">
        <f t="shared" si="208"/>
        <v>0.93862562750077483</v>
      </c>
      <c r="Z112" s="8">
        <f t="shared" si="208"/>
        <v>0.94035502731495013</v>
      </c>
      <c r="AA112" s="8">
        <f t="shared" si="208"/>
        <v>0.95846450874032119</v>
      </c>
      <c r="AB112" s="8">
        <f t="shared" si="208"/>
        <v>0.94468642281210202</v>
      </c>
      <c r="AC112" s="8">
        <f t="shared" si="208"/>
        <v>0.94526812611543853</v>
      </c>
      <c r="AD112" s="8">
        <f t="shared" si="208"/>
        <v>0.9408155031877673</v>
      </c>
      <c r="AE112" s="8">
        <f t="shared" si="208"/>
        <v>0.94696184846285569</v>
      </c>
      <c r="AF112" s="8">
        <f t="shared" si="208"/>
        <v>0.94344570012414419</v>
      </c>
      <c r="AG112" s="8">
        <f t="shared" si="208"/>
        <v>0.93730548651184253</v>
      </c>
      <c r="AH112" s="8">
        <f t="shared" si="208"/>
        <v>0.94653785544844804</v>
      </c>
      <c r="AI112" s="8">
        <f t="shared" si="208"/>
        <v>0.9383274870434124</v>
      </c>
    </row>
    <row r="113" spans="1:35">
      <c r="A113" s="1"/>
      <c r="B113" s="46" t="s">
        <v>24</v>
      </c>
      <c r="C113" s="94">
        <v>2.9055824729254942E-2</v>
      </c>
      <c r="D113" s="94">
        <v>1.8638667528935948E-2</v>
      </c>
      <c r="E113" s="94">
        <v>4.0000000000000036E-3</v>
      </c>
      <c r="F113" s="94">
        <v>4.2706001858279219E-3</v>
      </c>
      <c r="G113" s="94">
        <v>-1.1838881239587096E-2</v>
      </c>
      <c r="H113" s="94">
        <v>3.9392046886609355E-3</v>
      </c>
      <c r="I113" s="94">
        <v>4.3575013853429656E-3</v>
      </c>
      <c r="J113" s="94">
        <v>9.1844968122409831E-3</v>
      </c>
      <c r="K113" s="94">
        <v>3.0000000000000027E-3</v>
      </c>
      <c r="L113" s="94">
        <v>5.6387902322729833E-3</v>
      </c>
      <c r="M113" s="94">
        <v>3.0000000000000027E-3</v>
      </c>
      <c r="N113" s="94">
        <v>0</v>
      </c>
      <c r="O113" s="94">
        <v>-3.0000000000000027E-3</v>
      </c>
      <c r="P113" s="101">
        <f>(AVERAGE(C112:O112)-AVERAGE(C111:O111))</f>
        <v>7.8231055123563209E-3</v>
      </c>
      <c r="R113" s="9">
        <v>5.403554178688319E-3</v>
      </c>
      <c r="S113" s="24" t="s">
        <v>25</v>
      </c>
      <c r="T113" s="8">
        <f>AVERAGE(W113:AI113)</f>
        <v>2.3964736893273184E-3</v>
      </c>
      <c r="U113" s="8">
        <f>MAX(C112:O112)</f>
        <v>0.95484080812734906</v>
      </c>
      <c r="V113" s="8">
        <f>MIN(C112:O112)</f>
        <v>0.92575833373332961</v>
      </c>
      <c r="X113" s="8">
        <f t="shared" ref="X113:AI113" si="209">D111-C111</f>
        <v>1.2417157200325768E-2</v>
      </c>
      <c r="Y113" s="8">
        <f t="shared" si="209"/>
        <v>1.6638667528964479E-2</v>
      </c>
      <c r="Z113" s="8">
        <f t="shared" si="209"/>
        <v>1.7293998141753031E-3</v>
      </c>
      <c r="AA113" s="8">
        <f t="shared" si="209"/>
        <v>1.8109481425371055E-2</v>
      </c>
      <c r="AB113" s="8">
        <f t="shared" si="209"/>
        <v>-1.3778085928219164E-2</v>
      </c>
      <c r="AC113" s="8">
        <f t="shared" si="209"/>
        <v>5.8170330333651155E-4</v>
      </c>
      <c r="AD113" s="8">
        <f t="shared" si="209"/>
        <v>-4.4526229276712348E-3</v>
      </c>
      <c r="AE113" s="8">
        <f t="shared" si="209"/>
        <v>6.146345275088394E-3</v>
      </c>
      <c r="AF113" s="8">
        <f t="shared" si="209"/>
        <v>-3.5161483387115E-3</v>
      </c>
      <c r="AG113" s="8">
        <f t="shared" si="209"/>
        <v>-6.1402136123016593E-3</v>
      </c>
      <c r="AH113" s="8">
        <f t="shared" si="209"/>
        <v>9.2323689366055062E-3</v>
      </c>
      <c r="AI113" s="8">
        <f t="shared" si="209"/>
        <v>-8.2103684050356396E-3</v>
      </c>
    </row>
    <row r="114" spans="1:35">
      <c r="A114" s="1"/>
      <c r="B114" s="43" t="s">
        <v>26</v>
      </c>
      <c r="C114" s="93">
        <f t="shared" ref="C114:O114" si="210">C113/3%*1%</f>
        <v>9.6852749097516479E-3</v>
      </c>
      <c r="D114" s="93">
        <f t="shared" si="210"/>
        <v>6.2128891763119833E-3</v>
      </c>
      <c r="E114" s="93">
        <f t="shared" si="210"/>
        <v>1.3333333333333348E-3</v>
      </c>
      <c r="F114" s="93">
        <f t="shared" si="210"/>
        <v>1.4235333952759741E-3</v>
      </c>
      <c r="G114" s="93">
        <f t="shared" si="210"/>
        <v>-3.9462937465290322E-3</v>
      </c>
      <c r="H114" s="93">
        <f t="shared" si="210"/>
        <v>1.3130682295536453E-3</v>
      </c>
      <c r="I114" s="93">
        <f t="shared" si="210"/>
        <v>1.4525004617809887E-3</v>
      </c>
      <c r="J114" s="93">
        <f t="shared" si="210"/>
        <v>3.0614989374136616E-3</v>
      </c>
      <c r="K114" s="93">
        <f t="shared" si="210"/>
        <v>1.0000000000000009E-3</v>
      </c>
      <c r="L114" s="93">
        <f t="shared" si="210"/>
        <v>1.8795967440909944E-3</v>
      </c>
      <c r="M114" s="93">
        <f t="shared" si="210"/>
        <v>1.0000000000000009E-3</v>
      </c>
      <c r="N114" s="93">
        <f t="shared" si="210"/>
        <v>0</v>
      </c>
      <c r="O114" s="93">
        <f t="shared" si="210"/>
        <v>-1.0000000000000009E-3</v>
      </c>
      <c r="P114" s="102">
        <f t="shared" ref="P114" si="211">P113/3%*1%</f>
        <v>2.6077018374521073E-3</v>
      </c>
      <c r="R114" s="10">
        <v>1.8011847262294398E-3</v>
      </c>
      <c r="S114" s="25"/>
      <c r="T114" s="8" t="e">
        <f>(T111-C111)</f>
        <v>#DIV/0!</v>
      </c>
    </row>
    <row r="115" spans="1:35" ht="15" thickBot="1">
      <c r="A115" s="1"/>
      <c r="B115" s="49" t="s">
        <v>27</v>
      </c>
      <c r="C115" s="115">
        <f>C110*C114</f>
        <v>2.4036920757517528</v>
      </c>
      <c r="D115" s="115">
        <f t="shared" ref="D115:O115" si="212">D110*D114</f>
        <v>1.3559034752444514</v>
      </c>
      <c r="E115" s="115">
        <f t="shared" si="212"/>
        <v>0.21903427274006035</v>
      </c>
      <c r="F115" s="115">
        <f t="shared" si="212"/>
        <v>0.16455687785891812</v>
      </c>
      <c r="G115" s="115">
        <f t="shared" si="212"/>
        <v>-0.58125627867487117</v>
      </c>
      <c r="H115" s="115">
        <f t="shared" si="212"/>
        <v>0.25002400808753633</v>
      </c>
      <c r="I115" s="115">
        <f t="shared" si="212"/>
        <v>0.28902330794579284</v>
      </c>
      <c r="J115" s="115">
        <f t="shared" si="212"/>
        <v>0.72915446904660119</v>
      </c>
      <c r="K115" s="115">
        <f t="shared" si="212"/>
        <v>0.2200000000000002</v>
      </c>
      <c r="L115" s="115">
        <f t="shared" si="212"/>
        <v>0.46517984305696314</v>
      </c>
      <c r="M115" s="115">
        <f t="shared" si="212"/>
        <v>0.27032627591987224</v>
      </c>
      <c r="N115" s="115">
        <f t="shared" si="212"/>
        <v>0</v>
      </c>
      <c r="O115" s="115">
        <f t="shared" si="212"/>
        <v>-0.28487000000000023</v>
      </c>
      <c r="P115" s="103">
        <f>SUM(C115:O115)</f>
        <v>5.5007683269770773</v>
      </c>
      <c r="Q115" s="31"/>
      <c r="R115" s="11">
        <v>3.7064401917644849</v>
      </c>
      <c r="S115" s="25"/>
    </row>
    <row r="116" spans="1:35">
      <c r="A116" s="1"/>
      <c r="B116" s="42" t="s">
        <v>48</v>
      </c>
      <c r="C116" s="99">
        <v>78.018183600000057</v>
      </c>
      <c r="D116" s="99">
        <v>126.29976468000011</v>
      </c>
      <c r="E116" s="99">
        <v>99.982433760001385</v>
      </c>
      <c r="F116" s="99">
        <v>86.964806180001176</v>
      </c>
      <c r="G116" s="99">
        <v>98.130582259999954</v>
      </c>
      <c r="H116" s="99">
        <v>95.377128350000334</v>
      </c>
      <c r="I116" s="99">
        <v>93.900456860000716</v>
      </c>
      <c r="J116" s="99">
        <v>93.216499679999558</v>
      </c>
      <c r="K116" s="99">
        <v>97.830092399999998</v>
      </c>
      <c r="L116" s="99">
        <v>95.38392249584335</v>
      </c>
      <c r="M116" s="99">
        <v>96.293804913497084</v>
      </c>
      <c r="N116" s="99">
        <v>96.315129525178335</v>
      </c>
      <c r="O116" s="99">
        <v>96.434507794200101</v>
      </c>
      <c r="P116" s="100">
        <f>SUM(C116:O116)</f>
        <v>1254.1473124987219</v>
      </c>
      <c r="R116" s="2">
        <v>907.58949339799995</v>
      </c>
      <c r="S116" s="25"/>
    </row>
    <row r="117" spans="1:35">
      <c r="A117" s="1"/>
      <c r="B117" s="43">
        <v>2024</v>
      </c>
      <c r="C117" s="93">
        <v>0.53189929489366539</v>
      </c>
      <c r="D117" s="93">
        <v>0.37984084120177353</v>
      </c>
      <c r="E117" s="93"/>
      <c r="F117" s="93"/>
      <c r="G117" s="93"/>
      <c r="H117" s="93">
        <v>0.84869382221373624</v>
      </c>
      <c r="I117" s="93">
        <v>0.95075214468009261</v>
      </c>
      <c r="J117" s="93">
        <v>0.97600496925452762</v>
      </c>
      <c r="K117" s="93">
        <v>0.97022066912184735</v>
      </c>
      <c r="L117" s="93">
        <v>0.99265013848347183</v>
      </c>
      <c r="M117" s="93">
        <v>0.96807145138888906</v>
      </c>
      <c r="N117" s="93">
        <v>0.97739874823208162</v>
      </c>
      <c r="O117" s="93">
        <v>0.99448218198218197</v>
      </c>
      <c r="P117" s="101">
        <f>AVERAGE(C117:O117)</f>
        <v>0.85900142614522679</v>
      </c>
      <c r="R117" s="17">
        <v>0.97423422712858454</v>
      </c>
      <c r="S117" s="24">
        <v>2024</v>
      </c>
      <c r="T117" s="8" t="e">
        <f>AVERAGE(W117:AI117)</f>
        <v>#DIV/0!</v>
      </c>
      <c r="U117" s="8">
        <f>MAX(W117:AI117)</f>
        <v>0</v>
      </c>
      <c r="V117" s="8">
        <f>MIN(W117:AI117)</f>
        <v>0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 spans="1:35">
      <c r="A118" s="1"/>
      <c r="B118" s="43">
        <v>2025</v>
      </c>
      <c r="C118" s="94">
        <v>0.97666981000314335</v>
      </c>
      <c r="D118" s="94">
        <v>0.99562713271473147</v>
      </c>
      <c r="E118" s="94">
        <v>0.99176473076923066</v>
      </c>
      <c r="F118" s="94">
        <v>0.96857401340710381</v>
      </c>
      <c r="G118" s="94">
        <v>0.98760628983047771</v>
      </c>
      <c r="H118" s="94">
        <v>0.94656583684932327</v>
      </c>
      <c r="I118" s="94">
        <v>1</v>
      </c>
      <c r="J118" s="94">
        <v>0.99111232675578786</v>
      </c>
      <c r="K118" s="45">
        <v>0.95552377517817055</v>
      </c>
      <c r="L118" s="45">
        <v>0.97799999999999998</v>
      </c>
      <c r="M118" s="45">
        <v>0.97799999999999998</v>
      </c>
      <c r="N118" s="45">
        <v>0.97799999999999998</v>
      </c>
      <c r="O118" s="45">
        <v>0.97799999999999998</v>
      </c>
      <c r="P118" s="101">
        <f>AVERAGE(C118:O118)</f>
        <v>0.97888030119292047</v>
      </c>
      <c r="R118" s="17">
        <v>0.97738461538461519</v>
      </c>
      <c r="S118" s="24" t="s">
        <v>23</v>
      </c>
      <c r="T118" s="8">
        <f>AVERAGE(W118:AI118)</f>
        <v>0.66077032780402056</v>
      </c>
      <c r="U118" s="8">
        <f>MAX(C117:O117)</f>
        <v>0.99448218198218197</v>
      </c>
      <c r="V118" s="8">
        <f>MIN(C117:O117)</f>
        <v>0.37984084120177353</v>
      </c>
      <c r="W118" s="8">
        <f t="shared" ref="W118:AI118" si="213">C117-W117</f>
        <v>0.53189929489366539</v>
      </c>
      <c r="X118" s="8">
        <f t="shared" si="213"/>
        <v>0.37984084120177353</v>
      </c>
      <c r="Y118" s="8">
        <f t="shared" si="213"/>
        <v>0</v>
      </c>
      <c r="Z118" s="8">
        <f t="shared" si="213"/>
        <v>0</v>
      </c>
      <c r="AA118" s="8">
        <f t="shared" si="213"/>
        <v>0</v>
      </c>
      <c r="AB118" s="8">
        <f t="shared" si="213"/>
        <v>0.84869382221373624</v>
      </c>
      <c r="AC118" s="8">
        <f t="shared" si="213"/>
        <v>0.95075214468009261</v>
      </c>
      <c r="AD118" s="8">
        <f t="shared" si="213"/>
        <v>0.97600496925452762</v>
      </c>
      <c r="AE118" s="8">
        <f t="shared" si="213"/>
        <v>0.97022066912184735</v>
      </c>
      <c r="AF118" s="8">
        <f t="shared" si="213"/>
        <v>0.99265013848347183</v>
      </c>
      <c r="AG118" s="8">
        <f t="shared" si="213"/>
        <v>0.96807145138888906</v>
      </c>
      <c r="AH118" s="8">
        <f t="shared" si="213"/>
        <v>0.97739874823208162</v>
      </c>
      <c r="AI118" s="8">
        <f t="shared" si="213"/>
        <v>0.99448218198218197</v>
      </c>
    </row>
    <row r="119" spans="1:35">
      <c r="A119" s="1"/>
      <c r="B119" s="46" t="s">
        <v>24</v>
      </c>
      <c r="C119" s="94">
        <f>C118-C117</f>
        <v>0.44477051510947796</v>
      </c>
      <c r="D119" s="94">
        <f t="shared" ref="D119:F119" si="214">D118-D117</f>
        <v>0.61578629151295794</v>
      </c>
      <c r="E119" s="94">
        <f t="shared" si="214"/>
        <v>0.99176473076923066</v>
      </c>
      <c r="F119" s="94">
        <f t="shared" si="214"/>
        <v>0.96857401340710381</v>
      </c>
      <c r="G119" s="94">
        <f>G118-G117</f>
        <v>0.98760628983047771</v>
      </c>
      <c r="H119" s="94">
        <f t="shared" ref="H119:O119" si="215">H118-H117</f>
        <v>9.7872014635587035E-2</v>
      </c>
      <c r="I119" s="94">
        <f t="shared" si="215"/>
        <v>4.9247855319907385E-2</v>
      </c>
      <c r="J119" s="94">
        <f t="shared" si="215"/>
        <v>1.5107357501260243E-2</v>
      </c>
      <c r="K119" s="94">
        <f t="shared" si="215"/>
        <v>-1.4696893943676792E-2</v>
      </c>
      <c r="L119" s="94">
        <f t="shared" si="215"/>
        <v>-1.4650138483471853E-2</v>
      </c>
      <c r="M119" s="94">
        <f t="shared" si="215"/>
        <v>9.9285486111109211E-3</v>
      </c>
      <c r="N119" s="94">
        <f t="shared" si="215"/>
        <v>6.0125176791836488E-4</v>
      </c>
      <c r="O119" s="94">
        <f t="shared" si="215"/>
        <v>-1.6482181982181987E-2</v>
      </c>
      <c r="P119" s="101">
        <f>(AVERAGE(C118:O118)-AVERAGE(C117:O117))</f>
        <v>0.11987887504769368</v>
      </c>
      <c r="R119" s="9">
        <v>3.1503882560306451E-3</v>
      </c>
      <c r="S119" s="24" t="s">
        <v>25</v>
      </c>
      <c r="T119" s="8">
        <f>AVERAGE(W119:AI119)</f>
        <v>3.8548573924043046E-2</v>
      </c>
      <c r="U119" s="8">
        <f>MAX(C118:O118)</f>
        <v>1</v>
      </c>
      <c r="V119" s="8">
        <f>MIN(C118:O118)</f>
        <v>0.94656583684932327</v>
      </c>
      <c r="X119" s="8">
        <f t="shared" ref="X119:AI119" si="216">D117-C117</f>
        <v>-0.15205845369189186</v>
      </c>
      <c r="Y119" s="8">
        <f t="shared" si="216"/>
        <v>-0.37984084120177353</v>
      </c>
      <c r="Z119" s="8">
        <f t="shared" si="216"/>
        <v>0</v>
      </c>
      <c r="AA119" s="8">
        <f t="shared" si="216"/>
        <v>0</v>
      </c>
      <c r="AB119" s="8">
        <f t="shared" si="216"/>
        <v>0.84869382221373624</v>
      </c>
      <c r="AC119" s="8">
        <f t="shared" si="216"/>
        <v>0.10205832246635638</v>
      </c>
      <c r="AD119" s="8">
        <f t="shared" si="216"/>
        <v>2.5252824574435007E-2</v>
      </c>
      <c r="AE119" s="8">
        <f t="shared" si="216"/>
        <v>-5.7843001326802757E-3</v>
      </c>
      <c r="AF119" s="8">
        <f t="shared" si="216"/>
        <v>2.2429469361624488E-2</v>
      </c>
      <c r="AG119" s="8">
        <f t="shared" si="216"/>
        <v>-2.4578687094582774E-2</v>
      </c>
      <c r="AH119" s="8">
        <f t="shared" si="216"/>
        <v>9.3272968431925563E-3</v>
      </c>
      <c r="AI119" s="8">
        <f t="shared" si="216"/>
        <v>1.7083433750100352E-2</v>
      </c>
    </row>
    <row r="120" spans="1:35">
      <c r="A120" s="1"/>
      <c r="B120" s="43" t="s">
        <v>26</v>
      </c>
      <c r="C120" s="93">
        <f>C119/3%*1%</f>
        <v>0.14825683836982598</v>
      </c>
      <c r="D120" s="93">
        <f t="shared" ref="D120:N120" si="217">D119/3%*1%</f>
        <v>0.20526209717098598</v>
      </c>
      <c r="E120" s="93">
        <f t="shared" si="217"/>
        <v>0.33058824358974354</v>
      </c>
      <c r="F120" s="93">
        <f t="shared" si="217"/>
        <v>0.32285800446903457</v>
      </c>
      <c r="G120" s="93">
        <f t="shared" si="217"/>
        <v>0.32920209661015926</v>
      </c>
      <c r="H120" s="93">
        <f t="shared" si="217"/>
        <v>3.2624004878529012E-2</v>
      </c>
      <c r="I120" s="93">
        <f t="shared" si="217"/>
        <v>1.6415951773302462E-2</v>
      </c>
      <c r="J120" s="93">
        <f t="shared" si="217"/>
        <v>5.0357858337534145E-3</v>
      </c>
      <c r="K120" s="93">
        <f t="shared" si="217"/>
        <v>-4.8989646478922646E-3</v>
      </c>
      <c r="L120" s="93">
        <f t="shared" si="217"/>
        <v>-4.8833794944906179E-3</v>
      </c>
      <c r="M120" s="93">
        <f t="shared" si="217"/>
        <v>3.309516203703641E-3</v>
      </c>
      <c r="N120" s="93">
        <f t="shared" si="217"/>
        <v>2.0041725597278831E-4</v>
      </c>
      <c r="O120" s="93">
        <f>O119/3%*1%</f>
        <v>-5.494060660727329E-3</v>
      </c>
      <c r="P120" s="102">
        <f t="shared" ref="P120" si="218">P119/3%*1%</f>
        <v>3.9959625015897893E-2</v>
      </c>
      <c r="R120" s="10">
        <v>1.0501294186768817E-3</v>
      </c>
      <c r="S120" s="25"/>
      <c r="T120" s="8" t="e">
        <f>(T117-C117)</f>
        <v>#DIV/0!</v>
      </c>
    </row>
    <row r="121" spans="1:35" ht="15" thickBot="1">
      <c r="A121" s="1"/>
      <c r="B121" s="49" t="s">
        <v>27</v>
      </c>
      <c r="C121" s="115"/>
      <c r="D121" s="115"/>
      <c r="E121" s="115"/>
      <c r="F121" s="115"/>
      <c r="G121" s="115"/>
      <c r="H121" s="115">
        <f t="shared" ref="H121:O121" si="219">H116*H120</f>
        <v>3.1115839005904986</v>
      </c>
      <c r="I121" s="115">
        <f t="shared" si="219"/>
        <v>1.5414653713048401</v>
      </c>
      <c r="J121" s="115">
        <f t="shared" si="219"/>
        <v>0.46941832856062149</v>
      </c>
      <c r="K121" s="115">
        <f t="shared" si="219"/>
        <v>-0.47926616416763368</v>
      </c>
      <c r="L121" s="115">
        <f t="shared" si="219"/>
        <v>-0.46579589122028375</v>
      </c>
      <c r="M121" s="115">
        <f t="shared" si="219"/>
        <v>0.31868590767749588</v>
      </c>
      <c r="N121" s="115">
        <f t="shared" si="219"/>
        <v>1.9303213968099926E-2</v>
      </c>
      <c r="O121" s="115">
        <f t="shared" si="219"/>
        <v>-0.52981703560871773</v>
      </c>
      <c r="P121" s="103">
        <f>SUM(C121:O121)</f>
        <v>3.9855776311049209</v>
      </c>
      <c r="Q121" s="31"/>
      <c r="R121" s="11">
        <v>0.60396588036291132</v>
      </c>
      <c r="S121" s="25"/>
    </row>
    <row r="122" spans="1:35">
      <c r="A122" s="1"/>
      <c r="B122" s="42" t="s">
        <v>49</v>
      </c>
      <c r="C122" s="99">
        <v>8.9738315999999507</v>
      </c>
      <c r="D122" s="99">
        <v>15.368581189999844</v>
      </c>
      <c r="E122" s="99">
        <v>16.09750360999973</v>
      </c>
      <c r="F122" s="99">
        <v>13.880184479999977</v>
      </c>
      <c r="G122" s="99">
        <v>12.898649949999658</v>
      </c>
      <c r="H122" s="99">
        <v>12.791521259999943</v>
      </c>
      <c r="I122" s="99">
        <v>16.568832640000153</v>
      </c>
      <c r="J122" s="99">
        <v>14.97010302999996</v>
      </c>
      <c r="K122" s="99">
        <v>15.278089730000005</v>
      </c>
      <c r="L122" s="99">
        <v>14.5</v>
      </c>
      <c r="M122" s="99">
        <v>14.5</v>
      </c>
      <c r="N122" s="99">
        <v>14.407964438202683</v>
      </c>
      <c r="O122" s="99">
        <v>14.282027949998705</v>
      </c>
      <c r="P122" s="100">
        <f>SUM(C122:O122)</f>
        <v>184.51728987820061</v>
      </c>
      <c r="R122" s="2">
        <v>151.06214703930988</v>
      </c>
      <c r="S122" s="25"/>
    </row>
    <row r="123" spans="1:35">
      <c r="A123" s="1"/>
      <c r="B123" s="43">
        <v>2024</v>
      </c>
      <c r="C123" s="93">
        <v>0.97200825878804542</v>
      </c>
      <c r="D123" s="93">
        <v>0.94929182659636768</v>
      </c>
      <c r="E123" s="93">
        <v>0.96948003387914206</v>
      </c>
      <c r="F123" s="93">
        <v>0.95836914912467197</v>
      </c>
      <c r="G123" s="93">
        <v>0.97338664260017294</v>
      </c>
      <c r="H123" s="93">
        <v>0.95187741122883762</v>
      </c>
      <c r="I123" s="93">
        <v>0.92625761228548942</v>
      </c>
      <c r="J123" s="93">
        <v>0.95952975551419339</v>
      </c>
      <c r="K123" s="93">
        <v>0.97728152032894844</v>
      </c>
      <c r="L123" s="93">
        <v>0.97617493081868767</v>
      </c>
      <c r="M123" s="93">
        <v>0.97703125803324031</v>
      </c>
      <c r="N123" s="93">
        <v>0.96834759563412987</v>
      </c>
      <c r="O123" s="93">
        <v>0.97351994168095746</v>
      </c>
      <c r="P123" s="101">
        <f>AVERAGE(C123:O123)</f>
        <v>0.96404276434714498</v>
      </c>
      <c r="R123" s="17">
        <v>0.96106264534005637</v>
      </c>
      <c r="S123" s="24">
        <v>2024</v>
      </c>
      <c r="T123" s="8" t="e">
        <f>AVERAGE(W123:AI123)</f>
        <v>#DIV/0!</v>
      </c>
      <c r="U123" s="8">
        <f>MAX(W123:AI123)</f>
        <v>0</v>
      </c>
      <c r="V123" s="8">
        <f>MIN(W123:AI123)</f>
        <v>0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spans="1:35">
      <c r="A124" s="1"/>
      <c r="B124" s="43">
        <v>2025</v>
      </c>
      <c r="C124" s="94">
        <v>0.97754636115477456</v>
      </c>
      <c r="D124" s="94">
        <v>0.97941622573080755</v>
      </c>
      <c r="E124" s="94">
        <v>0.97920275691909842</v>
      </c>
      <c r="F124" s="94">
        <v>0.95126697928718207</v>
      </c>
      <c r="G124" s="94">
        <v>0.98475914918019702</v>
      </c>
      <c r="H124" s="94">
        <v>0.97148304286475651</v>
      </c>
      <c r="I124" s="94">
        <v>0.90040820504949148</v>
      </c>
      <c r="J124" s="94">
        <v>0.98141029954496928</v>
      </c>
      <c r="K124" s="45">
        <v>0.97031158029289821</v>
      </c>
      <c r="L124" s="45">
        <f t="shared" ref="L124:O124" si="220">K124+0.05%</f>
        <v>0.97081158029289816</v>
      </c>
      <c r="M124" s="45">
        <f t="shared" si="220"/>
        <v>0.9713115802928981</v>
      </c>
      <c r="N124" s="45">
        <f t="shared" si="220"/>
        <v>0.97181158029289805</v>
      </c>
      <c r="O124" s="45">
        <f t="shared" si="220"/>
        <v>0.97231158029289799</v>
      </c>
      <c r="P124" s="101">
        <f>AVERAGE(C124:O124)</f>
        <v>0.96785007086121289</v>
      </c>
      <c r="R124" s="17">
        <v>0.96659337308785098</v>
      </c>
      <c r="S124" s="24" t="s">
        <v>23</v>
      </c>
      <c r="T124" s="8">
        <f>AVERAGE(W124:AI124)</f>
        <v>0.96404276434714498</v>
      </c>
      <c r="U124" s="8">
        <f>MAX(C123:O123)</f>
        <v>0.97728152032894844</v>
      </c>
      <c r="V124" s="8">
        <f>MIN(C123:O123)</f>
        <v>0.92625761228548942</v>
      </c>
      <c r="W124" s="8">
        <f t="shared" ref="W124:AI124" si="221">C123-W123</f>
        <v>0.97200825878804542</v>
      </c>
      <c r="X124" s="8">
        <f t="shared" si="221"/>
        <v>0.94929182659636768</v>
      </c>
      <c r="Y124" s="8">
        <f t="shared" si="221"/>
        <v>0.96948003387914206</v>
      </c>
      <c r="Z124" s="8">
        <f t="shared" si="221"/>
        <v>0.95836914912467197</v>
      </c>
      <c r="AA124" s="8">
        <f t="shared" si="221"/>
        <v>0.97338664260017294</v>
      </c>
      <c r="AB124" s="8">
        <f t="shared" si="221"/>
        <v>0.95187741122883762</v>
      </c>
      <c r="AC124" s="8">
        <f t="shared" si="221"/>
        <v>0.92625761228548942</v>
      </c>
      <c r="AD124" s="8">
        <f t="shared" si="221"/>
        <v>0.95952975551419339</v>
      </c>
      <c r="AE124" s="8">
        <f t="shared" si="221"/>
        <v>0.97728152032894844</v>
      </c>
      <c r="AF124" s="8">
        <f t="shared" si="221"/>
        <v>0.97617493081868767</v>
      </c>
      <c r="AG124" s="8">
        <f t="shared" si="221"/>
        <v>0.97703125803324031</v>
      </c>
      <c r="AH124" s="8">
        <f t="shared" si="221"/>
        <v>0.96834759563412987</v>
      </c>
      <c r="AI124" s="8">
        <f t="shared" si="221"/>
        <v>0.97351994168095746</v>
      </c>
    </row>
    <row r="125" spans="1:35">
      <c r="A125" s="1"/>
      <c r="B125" s="46" t="s">
        <v>24</v>
      </c>
      <c r="C125" s="94">
        <f>C124-C123</f>
        <v>5.5381023667291363E-3</v>
      </c>
      <c r="D125" s="94">
        <f t="shared" ref="D125:F125" si="222">D124-D123</f>
        <v>3.0124399134439872E-2</v>
      </c>
      <c r="E125" s="94">
        <f t="shared" si="222"/>
        <v>9.7227230399563602E-3</v>
      </c>
      <c r="F125" s="94">
        <f t="shared" si="222"/>
        <v>-7.1021698374899023E-3</v>
      </c>
      <c r="G125" s="94">
        <f>G124-G123</f>
        <v>1.1372506580024089E-2</v>
      </c>
      <c r="H125" s="94">
        <f t="shared" ref="H125:O125" si="223">H124-H123</f>
        <v>1.9605631635918885E-2</v>
      </c>
      <c r="I125" s="94">
        <f t="shared" si="223"/>
        <v>-2.5849407235997934E-2</v>
      </c>
      <c r="J125" s="94">
        <f t="shared" si="223"/>
        <v>2.1880544030775884E-2</v>
      </c>
      <c r="K125" s="94">
        <f t="shared" si="223"/>
        <v>-6.9699400360502262E-3</v>
      </c>
      <c r="L125" s="94">
        <f t="shared" si="223"/>
        <v>-5.363350525789512E-3</v>
      </c>
      <c r="M125" s="94">
        <f t="shared" si="223"/>
        <v>-5.7196777403422105E-3</v>
      </c>
      <c r="N125" s="94">
        <f t="shared" si="223"/>
        <v>3.4639846587681822E-3</v>
      </c>
      <c r="O125" s="94">
        <f t="shared" si="223"/>
        <v>-1.2083613880594646E-3</v>
      </c>
      <c r="P125" s="101">
        <f>(AVERAGE(C124:O124)-AVERAGE(C123:O123))</f>
        <v>3.8073065140679097E-3</v>
      </c>
      <c r="R125" s="9">
        <v>5.5307277477946171E-3</v>
      </c>
      <c r="S125" s="24" t="s">
        <v>25</v>
      </c>
      <c r="T125" s="8">
        <f>AVERAGE(W125:AI125)</f>
        <v>1.2597357440933635E-4</v>
      </c>
      <c r="U125" s="8">
        <f>MAX(C124:O124)</f>
        <v>0.98475914918019702</v>
      </c>
      <c r="V125" s="8">
        <f>MIN(C124:O124)</f>
        <v>0.90040820504949148</v>
      </c>
      <c r="X125" s="8">
        <f t="shared" ref="X125:AI125" si="224">D123-C123</f>
        <v>-2.2716432191677738E-2</v>
      </c>
      <c r="Y125" s="8">
        <f t="shared" si="224"/>
        <v>2.0188207282774373E-2</v>
      </c>
      <c r="Z125" s="8">
        <f t="shared" si="224"/>
        <v>-1.1110884754470085E-2</v>
      </c>
      <c r="AA125" s="8">
        <f t="shared" si="224"/>
        <v>1.5017493475500965E-2</v>
      </c>
      <c r="AB125" s="8">
        <f t="shared" si="224"/>
        <v>-2.1509231371335313E-2</v>
      </c>
      <c r="AC125" s="8">
        <f t="shared" si="224"/>
        <v>-2.5619798943348204E-2</v>
      </c>
      <c r="AD125" s="8">
        <f t="shared" si="224"/>
        <v>3.3272143228703976E-2</v>
      </c>
      <c r="AE125" s="8">
        <f t="shared" si="224"/>
        <v>1.7751764814755044E-2</v>
      </c>
      <c r="AF125" s="8">
        <f t="shared" si="224"/>
        <v>-1.1065895102607692E-3</v>
      </c>
      <c r="AG125" s="8">
        <f t="shared" si="224"/>
        <v>8.5632721455264349E-4</v>
      </c>
      <c r="AH125" s="8">
        <f t="shared" si="224"/>
        <v>-8.6836623991104478E-3</v>
      </c>
      <c r="AI125" s="8">
        <f t="shared" si="224"/>
        <v>5.1723460468275917E-3</v>
      </c>
    </row>
    <row r="126" spans="1:35">
      <c r="A126" s="1"/>
      <c r="B126" s="43" t="s">
        <v>26</v>
      </c>
      <c r="C126" s="93">
        <f>C125/3%*1%</f>
        <v>1.8460341222430454E-3</v>
      </c>
      <c r="D126" s="93">
        <f t="shared" ref="D126:O126" si="225">D125/3%*1%</f>
        <v>1.0041466378146624E-2</v>
      </c>
      <c r="E126" s="93">
        <f t="shared" si="225"/>
        <v>3.2409076799854537E-3</v>
      </c>
      <c r="F126" s="93">
        <f t="shared" si="225"/>
        <v>-2.3673899458299674E-3</v>
      </c>
      <c r="G126" s="93">
        <f t="shared" si="225"/>
        <v>3.7908355266746963E-3</v>
      </c>
      <c r="H126" s="93">
        <f t="shared" si="225"/>
        <v>6.5352105453062963E-3</v>
      </c>
      <c r="I126" s="93">
        <f t="shared" si="225"/>
        <v>-8.6164690786659781E-3</v>
      </c>
      <c r="J126" s="93">
        <f t="shared" si="225"/>
        <v>7.2935146769252945E-3</v>
      </c>
      <c r="K126" s="93">
        <f t="shared" si="225"/>
        <v>-2.3233133453500754E-3</v>
      </c>
      <c r="L126" s="93">
        <f t="shared" si="225"/>
        <v>-1.7877835085965041E-3</v>
      </c>
      <c r="M126" s="93">
        <f t="shared" si="225"/>
        <v>-1.9065592467807368E-3</v>
      </c>
      <c r="N126" s="93">
        <f t="shared" si="225"/>
        <v>1.1546615529227275E-3</v>
      </c>
      <c r="O126" s="93">
        <f t="shared" si="225"/>
        <v>-4.0278712935315486E-4</v>
      </c>
      <c r="P126" s="102">
        <f>P125/3%*1%</f>
        <v>1.26910217135597E-3</v>
      </c>
      <c r="R126" s="10">
        <v>1.843575915931539E-3</v>
      </c>
      <c r="T126" s="8" t="e">
        <f>(T123-C123)</f>
        <v>#DIV/0!</v>
      </c>
    </row>
    <row r="127" spans="1:35" ht="15" thickBot="1">
      <c r="A127" s="1"/>
      <c r="B127" s="49" t="s">
        <v>27</v>
      </c>
      <c r="C127" s="115">
        <f>C122*C126</f>
        <v>1.6565999340862812E-2</v>
      </c>
      <c r="D127" s="115">
        <f t="shared" ref="D127:O127" si="226">D122*D126</f>
        <v>0.15432309129920008</v>
      </c>
      <c r="E127" s="115">
        <f t="shared" si="226"/>
        <v>5.2170523078241694E-2</v>
      </c>
      <c r="F127" s="115">
        <f t="shared" si="226"/>
        <v>-3.2859809184217104E-2</v>
      </c>
      <c r="G127" s="115">
        <f t="shared" si="226"/>
        <v>4.8896660476599497E-2</v>
      </c>
      <c r="H127" s="115">
        <f t="shared" si="226"/>
        <v>8.3595284628861302E-2</v>
      </c>
      <c r="I127" s="115">
        <f t="shared" si="226"/>
        <v>-0.14276483411215291</v>
      </c>
      <c r="J127" s="115">
        <f t="shared" si="226"/>
        <v>0.10918466616438853</v>
      </c>
      <c r="K127" s="115">
        <f t="shared" si="226"/>
        <v>-3.5495789761164943E-2</v>
      </c>
      <c r="L127" s="115">
        <f t="shared" si="226"/>
        <v>-2.592286087464931E-2</v>
      </c>
      <c r="M127" s="115">
        <f t="shared" si="226"/>
        <v>-2.7645109078320684E-2</v>
      </c>
      <c r="N127" s="115">
        <f t="shared" si="226"/>
        <v>1.6636322592670543E-2</v>
      </c>
      <c r="O127" s="115">
        <f t="shared" si="226"/>
        <v>-5.7526170393215016E-3</v>
      </c>
      <c r="P127" s="103">
        <f>SUM(C127:O127)</f>
        <v>0.21093152753099798</v>
      </c>
      <c r="Q127" s="31"/>
      <c r="R127" s="11">
        <v>0.30779154281974752</v>
      </c>
    </row>
    <row r="128" spans="1:35">
      <c r="A128" s="1"/>
      <c r="B128" s="42" t="s">
        <v>32</v>
      </c>
      <c r="C128" s="108">
        <v>1.0909440600000033</v>
      </c>
      <c r="D128" s="108">
        <v>1.4254801300000035</v>
      </c>
      <c r="E128" s="108">
        <v>1.1950087400000016</v>
      </c>
      <c r="F128" s="108">
        <v>1.2400388200000025</v>
      </c>
      <c r="G128" s="108">
        <v>1.2278627400000004</v>
      </c>
      <c r="H128" s="108">
        <v>1.3636358200000016</v>
      </c>
      <c r="I128" s="108">
        <v>1.2518473200000024</v>
      </c>
      <c r="J128" s="108">
        <v>1.1638340600000023</v>
      </c>
      <c r="K128" s="108">
        <v>1.2448314612500022</v>
      </c>
      <c r="L128" s="108">
        <v>1.2448314612500022</v>
      </c>
      <c r="M128" s="108">
        <v>1.2448314612500022</v>
      </c>
      <c r="N128" s="108">
        <v>1.2448314612500022</v>
      </c>
      <c r="O128" s="108">
        <v>1.2448314612500022</v>
      </c>
      <c r="P128" s="100">
        <f t="shared" ref="P128" si="227">SUM(C128:O128)</f>
        <v>16.182808996250024</v>
      </c>
      <c r="R128" s="2">
        <v>25.158461979000005</v>
      </c>
      <c r="S128" s="25"/>
    </row>
    <row r="129" spans="1:36">
      <c r="A129" s="1"/>
      <c r="B129" s="43">
        <v>2024</v>
      </c>
      <c r="C129" s="93">
        <v>0.6463546470210958</v>
      </c>
      <c r="D129" s="93">
        <v>0.68367376289901871</v>
      </c>
      <c r="E129" s="93">
        <v>0.67593539240339084</v>
      </c>
      <c r="F129" s="93">
        <v>0.7390566547543469</v>
      </c>
      <c r="G129" s="93">
        <v>0.7662411883106528</v>
      </c>
      <c r="H129" s="93">
        <v>0.79781551038734377</v>
      </c>
      <c r="I129" s="93">
        <v>0.76731077555367977</v>
      </c>
      <c r="J129" s="93">
        <v>0.85307131885630527</v>
      </c>
      <c r="K129" s="93">
        <v>0.84626967115110774</v>
      </c>
      <c r="L129" s="93">
        <v>0.85191477929149795</v>
      </c>
      <c r="M129" s="93">
        <v>0.7682476485698978</v>
      </c>
      <c r="N129" s="93">
        <v>0.71078868287065977</v>
      </c>
      <c r="O129" s="93">
        <v>0.7016126619191515</v>
      </c>
      <c r="P129" s="101">
        <f>AVERAGE(C129:O129)</f>
        <v>0.75448405338370372</v>
      </c>
      <c r="R129" s="6">
        <v>0.76595420583729579</v>
      </c>
      <c r="S129" s="24">
        <v>2024</v>
      </c>
      <c r="T129" s="8">
        <v>0.83370194319764701</v>
      </c>
      <c r="U129" s="8">
        <v>0.84268482671827605</v>
      </c>
      <c r="V129" s="8">
        <v>0.86010051811200305</v>
      </c>
      <c r="W129" s="30"/>
      <c r="X129" s="5"/>
      <c r="Y129" s="30"/>
      <c r="Z129" s="5"/>
      <c r="AA129" s="30"/>
      <c r="AB129" s="5"/>
      <c r="AC129" s="30"/>
      <c r="AD129" s="5"/>
      <c r="AE129" s="30"/>
      <c r="AF129" s="5"/>
      <c r="AG129" s="30"/>
      <c r="AH129" s="5"/>
      <c r="AI129" s="30"/>
    </row>
    <row r="130" spans="1:36">
      <c r="A130" s="1"/>
      <c r="B130" s="43">
        <v>2025</v>
      </c>
      <c r="C130" s="94">
        <v>0.67625920520100991</v>
      </c>
      <c r="D130" s="94">
        <v>0.7547504076957614</v>
      </c>
      <c r="E130" s="94">
        <v>0.74996368003564196</v>
      </c>
      <c r="F130" s="94">
        <v>0.79353273904005772</v>
      </c>
      <c r="G130" s="94">
        <v>0.82866881969158313</v>
      </c>
      <c r="H130" s="94">
        <v>0.82618649937509958</v>
      </c>
      <c r="I130" s="94">
        <v>0.78753454466236039</v>
      </c>
      <c r="J130" s="94">
        <v>0.77927382830881409</v>
      </c>
      <c r="K130" s="45">
        <v>0.80600000000000005</v>
      </c>
      <c r="L130" s="45">
        <v>0.8</v>
      </c>
      <c r="M130" s="45">
        <v>0.8</v>
      </c>
      <c r="N130" s="45">
        <v>0.8</v>
      </c>
      <c r="O130" s="45">
        <v>0.8</v>
      </c>
      <c r="P130" s="101">
        <f>AVERAGE(C130:O130)</f>
        <v>0.78478228646233306</v>
      </c>
      <c r="R130" s="6">
        <v>0.80553846153846165</v>
      </c>
      <c r="S130" s="24" t="s">
        <v>23</v>
      </c>
      <c r="T130" s="8">
        <f>AVERAGE(W130:AI130)</f>
        <v>0.75448405338370372</v>
      </c>
      <c r="U130" s="8">
        <f>MAX(C129:O129)</f>
        <v>0.85307131885630527</v>
      </c>
      <c r="V130" s="8">
        <f>MIN(C129:O129)</f>
        <v>0.6463546470210958</v>
      </c>
      <c r="W130" s="8">
        <f t="shared" ref="W130" si="228">C129-W129</f>
        <v>0.6463546470210958</v>
      </c>
      <c r="X130" s="8">
        <f t="shared" ref="X130" si="229">D129-X129</f>
        <v>0.68367376289901871</v>
      </c>
      <c r="Y130" s="8">
        <f t="shared" ref="Y130" si="230">E129-Y129</f>
        <v>0.67593539240339084</v>
      </c>
      <c r="Z130" s="8">
        <f t="shared" ref="Z130" si="231">F129-Z129</f>
        <v>0.7390566547543469</v>
      </c>
      <c r="AA130" s="8">
        <f t="shared" ref="AA130" si="232">G129-AA129</f>
        <v>0.7662411883106528</v>
      </c>
      <c r="AB130" s="8">
        <f t="shared" ref="AB130" si="233">H129-AB129</f>
        <v>0.79781551038734377</v>
      </c>
      <c r="AC130" s="8">
        <f t="shared" ref="AC130" si="234">I129-AC129</f>
        <v>0.76731077555367977</v>
      </c>
      <c r="AD130" s="8">
        <f t="shared" ref="AD130" si="235">J129-AD129</f>
        <v>0.85307131885630527</v>
      </c>
      <c r="AE130" s="8">
        <f t="shared" ref="AE130" si="236">K129-AE129</f>
        <v>0.84626967115110774</v>
      </c>
      <c r="AF130" s="8">
        <f t="shared" ref="AF130" si="237">L129-AF129</f>
        <v>0.85191477929149795</v>
      </c>
      <c r="AG130" s="8">
        <f t="shared" ref="AG130" si="238">M129-AG129</f>
        <v>0.7682476485698978</v>
      </c>
      <c r="AH130" s="8">
        <f t="shared" ref="AH130" si="239">N129-AH129</f>
        <v>0.71078868287065977</v>
      </c>
      <c r="AI130" s="8">
        <f t="shared" ref="AI130" si="240">O129-AI129</f>
        <v>0.7016126619191515</v>
      </c>
    </row>
    <row r="131" spans="1:36">
      <c r="A131" s="1"/>
      <c r="B131" s="46" t="s">
        <v>24</v>
      </c>
      <c r="C131" s="94">
        <f>C130-C129</f>
        <v>2.9904558179914109E-2</v>
      </c>
      <c r="D131" s="94">
        <f t="shared" ref="D131:F131" si="241">D130-D129</f>
        <v>7.1076644796742694E-2</v>
      </c>
      <c r="E131" s="94">
        <f t="shared" si="241"/>
        <v>7.4028287632251111E-2</v>
      </c>
      <c r="F131" s="94">
        <f t="shared" si="241"/>
        <v>5.4476084285710824E-2</v>
      </c>
      <c r="G131" s="94">
        <f>G130-G129</f>
        <v>6.2427631380930326E-2</v>
      </c>
      <c r="H131" s="94">
        <f t="shared" ref="H131:O131" si="242">H130-H129</f>
        <v>2.8370988987755807E-2</v>
      </c>
      <c r="I131" s="94">
        <f t="shared" si="242"/>
        <v>2.0223769108680623E-2</v>
      </c>
      <c r="J131" s="94">
        <f t="shared" si="242"/>
        <v>-7.3797490547491185E-2</v>
      </c>
      <c r="K131" s="94">
        <f t="shared" si="242"/>
        <v>-4.0269671151107689E-2</v>
      </c>
      <c r="L131" s="94">
        <f t="shared" si="242"/>
        <v>-5.1914779291497903E-2</v>
      </c>
      <c r="M131" s="94">
        <f t="shared" si="242"/>
        <v>3.1752351430102244E-2</v>
      </c>
      <c r="N131" s="94">
        <f t="shared" si="242"/>
        <v>8.9211317129340273E-2</v>
      </c>
      <c r="O131" s="94">
        <f t="shared" si="242"/>
        <v>9.8387338080848541E-2</v>
      </c>
      <c r="P131" s="101">
        <f>(AVERAGE(C130:O130)-AVERAGE(C129:O129))</f>
        <v>3.0298233078629333E-2</v>
      </c>
      <c r="R131" s="9">
        <v>3.958425570116586E-2</v>
      </c>
      <c r="S131" s="24" t="s">
        <v>25</v>
      </c>
      <c r="T131" s="8">
        <f>AVERAGE(W131:AI131)</f>
        <v>4.6048345748379753E-3</v>
      </c>
      <c r="U131" s="8">
        <f>MAX(C130:O130)</f>
        <v>0.82866881969158313</v>
      </c>
      <c r="V131" s="8">
        <f>MIN(C130:O130)</f>
        <v>0.67625920520100991</v>
      </c>
      <c r="X131" s="8">
        <f t="shared" ref="X131" si="243">D129-C129</f>
        <v>3.7319115877922915E-2</v>
      </c>
      <c r="Y131" s="8">
        <f t="shared" ref="Y131" si="244">E129-D129</f>
        <v>-7.7383704956278665E-3</v>
      </c>
      <c r="Z131" s="8">
        <f t="shared" ref="Z131" si="245">F129-E129</f>
        <v>6.3121262350956053E-2</v>
      </c>
      <c r="AA131" s="8">
        <f t="shared" ref="AA131" si="246">G129-F129</f>
        <v>2.7184533556305901E-2</v>
      </c>
      <c r="AB131" s="8">
        <f t="shared" ref="AB131" si="247">H129-G129</f>
        <v>3.1574322076690975E-2</v>
      </c>
      <c r="AC131" s="8">
        <f t="shared" ref="AC131" si="248">I129-H129</f>
        <v>-3.0504734833664005E-2</v>
      </c>
      <c r="AD131" s="8">
        <f t="shared" ref="AD131" si="249">J129-I129</f>
        <v>8.5760543302625503E-2</v>
      </c>
      <c r="AE131" s="8">
        <f t="shared" ref="AE131" si="250">K129-J129</f>
        <v>-6.8016477051975333E-3</v>
      </c>
      <c r="AF131" s="8">
        <f t="shared" ref="AF131" si="251">L129-K129</f>
        <v>5.6451081403902093E-3</v>
      </c>
      <c r="AG131" s="8">
        <f t="shared" ref="AG131" si="252">M129-L129</f>
        <v>-8.3667130721600147E-2</v>
      </c>
      <c r="AH131" s="8">
        <f t="shared" ref="AH131" si="253">N129-M129</f>
        <v>-5.7458965699238029E-2</v>
      </c>
      <c r="AI131" s="8">
        <f t="shared" ref="AI131" si="254">O129-N129</f>
        <v>-9.176020951508268E-3</v>
      </c>
    </row>
    <row r="132" spans="1:36">
      <c r="A132" s="1"/>
      <c r="B132" s="43" t="s">
        <v>26</v>
      </c>
      <c r="C132" s="93">
        <f>C131/3%*1%</f>
        <v>9.9681860599713703E-3</v>
      </c>
      <c r="D132" s="93">
        <f t="shared" ref="D132:O132" si="255">D131/3%*1%</f>
        <v>2.3692214932247567E-2</v>
      </c>
      <c r="E132" s="93">
        <f t="shared" si="255"/>
        <v>2.4676095877417037E-2</v>
      </c>
      <c r="F132" s="93">
        <f t="shared" si="255"/>
        <v>1.8158694761903609E-2</v>
      </c>
      <c r="G132" s="93">
        <f t="shared" si="255"/>
        <v>2.0809210460310111E-2</v>
      </c>
      <c r="H132" s="93">
        <f t="shared" si="255"/>
        <v>9.456996329251937E-3</v>
      </c>
      <c r="I132" s="93">
        <f t="shared" si="255"/>
        <v>6.7412563695602081E-3</v>
      </c>
      <c r="J132" s="93">
        <f t="shared" si="255"/>
        <v>-2.45991635158304E-2</v>
      </c>
      <c r="K132" s="93">
        <f t="shared" si="255"/>
        <v>-1.3423223717035897E-2</v>
      </c>
      <c r="L132" s="93">
        <f t="shared" si="255"/>
        <v>-1.7304926430499301E-2</v>
      </c>
      <c r="M132" s="93">
        <f t="shared" si="255"/>
        <v>1.0584117143367416E-2</v>
      </c>
      <c r="N132" s="93">
        <f t="shared" si="255"/>
        <v>2.9737105709780096E-2</v>
      </c>
      <c r="O132" s="93">
        <f t="shared" si="255"/>
        <v>3.2795779360282849E-2</v>
      </c>
      <c r="P132" s="102">
        <f>P131/3%*1%</f>
        <v>1.009941102620978E-2</v>
      </c>
      <c r="R132" s="10">
        <v>1.3194751900388622E-2</v>
      </c>
      <c r="S132" s="25"/>
      <c r="T132" s="8">
        <f>(T129-C129)</f>
        <v>0.18734729617655121</v>
      </c>
    </row>
    <row r="133" spans="1:36" ht="15" thickBot="1">
      <c r="A133" s="86"/>
      <c r="B133" s="52" t="s">
        <v>27</v>
      </c>
      <c r="C133" s="116">
        <f>C128*C132</f>
        <v>1.0874733371100603E-2</v>
      </c>
      <c r="D133" s="116">
        <f t="shared" ref="D133:K133" si="256">D128*D132</f>
        <v>3.3772781621608287E-2</v>
      </c>
      <c r="E133" s="116">
        <f t="shared" si="256"/>
        <v>2.9488150242591365E-2</v>
      </c>
      <c r="F133" s="116">
        <f t="shared" si="256"/>
        <v>2.2517486425291177E-2</v>
      </c>
      <c r="G133" s="116">
        <f t="shared" si="256"/>
        <v>2.5550854173033044E-2</v>
      </c>
      <c r="H133" s="116">
        <f t="shared" si="256"/>
        <v>1.2895898944176471E-2</v>
      </c>
      <c r="I133" s="116">
        <f t="shared" si="256"/>
        <v>8.4390237196668924E-3</v>
      </c>
      <c r="J133" s="116">
        <f t="shared" si="256"/>
        <v>-2.8629344347232827E-2</v>
      </c>
      <c r="K133" s="116">
        <f t="shared" si="256"/>
        <v>-1.6709651194363483E-2</v>
      </c>
      <c r="L133" s="116">
        <f>L128*L132</f>
        <v>-2.1541716855302231E-2</v>
      </c>
      <c r="M133" s="116">
        <f t="shared" ref="M133:O133" si="257">M128*M132</f>
        <v>1.3175442009619259E-2</v>
      </c>
      <c r="N133" s="116">
        <f t="shared" si="257"/>
        <v>3.7017684754051337E-2</v>
      </c>
      <c r="O133" s="116">
        <f t="shared" si="257"/>
        <v>4.0825217943893564E-2</v>
      </c>
      <c r="P133" s="104">
        <f>SUM(C133:O133)</f>
        <v>0.16767656080813348</v>
      </c>
      <c r="Q133" s="31"/>
      <c r="R133" s="11">
        <v>0.25773571572092102</v>
      </c>
      <c r="S133" s="25"/>
    </row>
    <row r="134" spans="1:36" ht="15" thickBot="1">
      <c r="A134" s="82" t="s">
        <v>20</v>
      </c>
      <c r="B134" s="88" t="s">
        <v>50</v>
      </c>
      <c r="C134" s="109">
        <f>C135</f>
        <v>134.53083984000256</v>
      </c>
      <c r="D134" s="109">
        <f t="shared" ref="D134:O134" si="258">D135</f>
        <v>241.93464504000764</v>
      </c>
      <c r="E134" s="109">
        <f t="shared" si="258"/>
        <v>200.3841712500078</v>
      </c>
      <c r="F134" s="109">
        <f t="shared" si="258"/>
        <v>137.27783330999534</v>
      </c>
      <c r="G134" s="109">
        <f t="shared" si="258"/>
        <v>174.48921047000476</v>
      </c>
      <c r="H134" s="109">
        <f t="shared" si="258"/>
        <v>181.93503323999727</v>
      </c>
      <c r="I134" s="109">
        <f t="shared" si="258"/>
        <v>186.7104790099969</v>
      </c>
      <c r="J134" s="109">
        <f t="shared" si="258"/>
        <v>184.33210444000778</v>
      </c>
      <c r="K134" s="109">
        <f t="shared" si="258"/>
        <v>173.77769172800001</v>
      </c>
      <c r="L134" s="109">
        <f t="shared" si="258"/>
        <v>185.713425994</v>
      </c>
      <c r="M134" s="109">
        <f t="shared" si="258"/>
        <v>186.70563468400002</v>
      </c>
      <c r="N134" s="109">
        <f t="shared" si="258"/>
        <v>187.88560964000001</v>
      </c>
      <c r="O134" s="109">
        <f t="shared" si="258"/>
        <v>187.88560964000001</v>
      </c>
      <c r="P134" s="110">
        <f>P135</f>
        <v>2363.5622882860202</v>
      </c>
      <c r="Q134" s="31"/>
      <c r="R134" s="53"/>
      <c r="S134" s="25"/>
      <c r="AJ134" s="189">
        <f>P140</f>
        <v>14.869017525333676</v>
      </c>
    </row>
    <row r="135" spans="1:36">
      <c r="B135" s="42" t="s">
        <v>48</v>
      </c>
      <c r="C135" s="108">
        <v>134.53083984000256</v>
      </c>
      <c r="D135" s="108">
        <v>241.93464504000764</v>
      </c>
      <c r="E135" s="108">
        <v>200.3841712500078</v>
      </c>
      <c r="F135" s="108">
        <v>137.27783330999534</v>
      </c>
      <c r="G135" s="108">
        <v>174.48921047000476</v>
      </c>
      <c r="H135" s="108">
        <v>181.93503323999727</v>
      </c>
      <c r="I135" s="108">
        <v>186.7104790099969</v>
      </c>
      <c r="J135" s="108">
        <v>184.33210444000778</v>
      </c>
      <c r="K135" s="108">
        <v>173.77769172800001</v>
      </c>
      <c r="L135" s="108">
        <v>185.713425994</v>
      </c>
      <c r="M135" s="108">
        <v>186.70563468400002</v>
      </c>
      <c r="N135" s="108">
        <v>187.88560964000001</v>
      </c>
      <c r="O135" s="108">
        <v>187.88560964000001</v>
      </c>
      <c r="P135" s="100">
        <f>SUM(C135:O135)</f>
        <v>2363.5622882860202</v>
      </c>
      <c r="R135">
        <v>1363.1961638193222</v>
      </c>
    </row>
    <row r="136" spans="1:36">
      <c r="A136" s="1"/>
      <c r="B136" s="43">
        <v>2024</v>
      </c>
      <c r="C136" s="93">
        <v>0.33509442711464221</v>
      </c>
      <c r="D136" s="93">
        <v>0.37925275271356895</v>
      </c>
      <c r="E136" s="93"/>
      <c r="F136" s="93"/>
      <c r="G136" s="93"/>
      <c r="H136" s="93">
        <v>0.73040311491128063</v>
      </c>
      <c r="I136" s="93">
        <v>0.95221235640993385</v>
      </c>
      <c r="J136" s="93">
        <v>0.90048244911862252</v>
      </c>
      <c r="K136" s="93">
        <v>0.97893647560012254</v>
      </c>
      <c r="L136" s="93">
        <v>0.97405820977249546</v>
      </c>
      <c r="M136" s="93">
        <v>0.96765293392857132</v>
      </c>
      <c r="N136" s="93">
        <v>0.91766006944578393</v>
      </c>
      <c r="O136" s="93">
        <v>0.9547795840899288</v>
      </c>
      <c r="P136" s="101">
        <f>AVERAGE(C136:O136)</f>
        <v>0.80905323731049505</v>
      </c>
      <c r="R136" s="32">
        <v>0.95928552411261936</v>
      </c>
    </row>
    <row r="137" spans="1:36">
      <c r="A137" s="1"/>
      <c r="B137" s="43">
        <v>2025</v>
      </c>
      <c r="C137" s="94">
        <v>0.97030050899098508</v>
      </c>
      <c r="D137" s="94">
        <v>0.95704490684900623</v>
      </c>
      <c r="E137" s="94">
        <v>0.99309662500000007</v>
      </c>
      <c r="F137" s="94">
        <v>0.95905979838424771</v>
      </c>
      <c r="G137" s="94">
        <v>0.98034379618143219</v>
      </c>
      <c r="H137" s="94">
        <v>0.9704204599756876</v>
      </c>
      <c r="I137" s="94">
        <v>0.99470547385206021</v>
      </c>
      <c r="J137" s="94">
        <v>0.99465165726629523</v>
      </c>
      <c r="K137" s="45">
        <v>0.98871470819516971</v>
      </c>
      <c r="L137" s="45">
        <v>0.97699999999999998</v>
      </c>
      <c r="M137" s="45">
        <v>0.97699999999999998</v>
      </c>
      <c r="N137" s="45">
        <v>0.97699999999999998</v>
      </c>
      <c r="O137" s="45">
        <v>0.97699999999999998</v>
      </c>
      <c r="P137" s="101">
        <f>AVERAGE(C137:O137)</f>
        <v>0.9781798411303757</v>
      </c>
      <c r="R137" s="32">
        <v>0.97646153846153871</v>
      </c>
    </row>
    <row r="138" spans="1:36">
      <c r="A138" s="1"/>
      <c r="B138" s="46" t="s">
        <v>24</v>
      </c>
      <c r="C138" s="94">
        <f>C137-C136</f>
        <v>0.63520608187634287</v>
      </c>
      <c r="D138" s="94">
        <f t="shared" ref="D138:F138" si="259">D137-D136</f>
        <v>0.57779215413543727</v>
      </c>
      <c r="E138" s="94">
        <f t="shared" si="259"/>
        <v>0.99309662500000007</v>
      </c>
      <c r="F138" s="94">
        <f t="shared" si="259"/>
        <v>0.95905979838424771</v>
      </c>
      <c r="G138" s="94">
        <f t="shared" ref="G138:M138" si="260">G137-G136</f>
        <v>0.98034379618143219</v>
      </c>
      <c r="H138" s="94">
        <f t="shared" si="260"/>
        <v>0.24001734506440697</v>
      </c>
      <c r="I138" s="94">
        <f t="shared" si="260"/>
        <v>4.249311744212636E-2</v>
      </c>
      <c r="J138" s="94">
        <f t="shared" si="260"/>
        <v>9.4169208147672712E-2</v>
      </c>
      <c r="K138" s="94">
        <f t="shared" si="260"/>
        <v>9.778232595047176E-3</v>
      </c>
      <c r="L138" s="94">
        <f t="shared" si="260"/>
        <v>2.9417902275045149E-3</v>
      </c>
      <c r="M138" s="94">
        <f t="shared" si="260"/>
        <v>9.3470660714286558E-3</v>
      </c>
      <c r="N138" s="94">
        <f t="shared" ref="N138:O138" si="261">N137-N136</f>
        <v>5.9339930554216047E-2</v>
      </c>
      <c r="O138" s="94">
        <f t="shared" si="261"/>
        <v>2.2220415910071178E-2</v>
      </c>
      <c r="P138" s="101">
        <f>(AVERAGE(C137:O137)-AVERAGE(C136:O136))</f>
        <v>0.16912660381988065</v>
      </c>
      <c r="R138">
        <v>1.7176014348919355E-2</v>
      </c>
    </row>
    <row r="139" spans="1:36">
      <c r="A139" s="1"/>
      <c r="B139" s="43" t="s">
        <v>26</v>
      </c>
      <c r="C139" s="93">
        <f>C138/3%*1%</f>
        <v>0.21173536062544762</v>
      </c>
      <c r="D139" s="93">
        <f t="shared" ref="D139:N139" si="262">D138/3%*1%</f>
        <v>0.19259738471181245</v>
      </c>
      <c r="E139" s="93">
        <f t="shared" si="262"/>
        <v>0.33103220833333341</v>
      </c>
      <c r="F139" s="93">
        <f t="shared" si="262"/>
        <v>0.31968659946141592</v>
      </c>
      <c r="G139" s="93">
        <f t="shared" si="262"/>
        <v>0.32678126539381075</v>
      </c>
      <c r="H139" s="93">
        <f t="shared" si="262"/>
        <v>8.0005781688135671E-2</v>
      </c>
      <c r="I139" s="93">
        <f t="shared" si="262"/>
        <v>1.4164372480708787E-2</v>
      </c>
      <c r="J139" s="93">
        <f t="shared" si="262"/>
        <v>3.1389736049224237E-2</v>
      </c>
      <c r="K139" s="93">
        <f t="shared" si="262"/>
        <v>3.2594108650157256E-3</v>
      </c>
      <c r="L139" s="93">
        <f t="shared" si="262"/>
        <v>9.8059674250150497E-4</v>
      </c>
      <c r="M139" s="93">
        <f t="shared" si="262"/>
        <v>3.1156886904762189E-3</v>
      </c>
      <c r="N139" s="93">
        <f t="shared" si="262"/>
        <v>1.977997685140535E-2</v>
      </c>
      <c r="O139" s="93">
        <f>O138/3%*1%</f>
        <v>7.4068053033570606E-3</v>
      </c>
      <c r="P139" s="102">
        <f t="shared" ref="P139" si="263">P138/3%*1%</f>
        <v>5.6375534606626893E-2</v>
      </c>
      <c r="R139">
        <v>5.7253381163064523E-3</v>
      </c>
    </row>
    <row r="140" spans="1:36" ht="15" thickBot="1">
      <c r="A140" s="1"/>
      <c r="B140" s="49" t="s">
        <v>27</v>
      </c>
      <c r="C140" s="115"/>
      <c r="D140" s="115"/>
      <c r="E140" s="115"/>
      <c r="F140" s="115"/>
      <c r="G140" s="115"/>
      <c r="H140" s="115"/>
      <c r="I140" s="115">
        <f t="shared" ref="I140:O140" si="264">I135*I139</f>
        <v>2.6446367707491558</v>
      </c>
      <c r="J140" s="115">
        <f t="shared" si="264"/>
        <v>5.7861361037698797</v>
      </c>
      <c r="K140" s="115">
        <f t="shared" si="264"/>
        <v>0.56641289651559656</v>
      </c>
      <c r="L140" s="115">
        <f t="shared" si="264"/>
        <v>0.18210998056851072</v>
      </c>
      <c r="M140" s="115">
        <f t="shared" si="264"/>
        <v>0.58171663443312327</v>
      </c>
      <c r="N140" s="115">
        <f t="shared" si="264"/>
        <v>3.7163730093913823</v>
      </c>
      <c r="O140" s="115">
        <f t="shared" si="264"/>
        <v>1.3916321299060266</v>
      </c>
      <c r="P140" s="103">
        <f>SUM(C140:O140)</f>
        <v>14.869017525333676</v>
      </c>
      <c r="Q140" s="31"/>
      <c r="R140">
        <v>5.2864305138325589</v>
      </c>
    </row>
    <row r="141" spans="1:36">
      <c r="A141" s="1" t="s">
        <v>51</v>
      </c>
      <c r="B141" s="1"/>
      <c r="C141" s="111">
        <f t="shared" ref="C141:P141" si="265">C3+C52+C78+C109+C71+C135</f>
        <v>1078.9359811178203</v>
      </c>
      <c r="D141" s="111">
        <f t="shared" si="265"/>
        <v>1390.7727141370146</v>
      </c>
      <c r="E141" s="111">
        <f t="shared" si="265"/>
        <v>1209.1359202447672</v>
      </c>
      <c r="F141" s="111">
        <f t="shared" si="265"/>
        <v>1013.4862932809896</v>
      </c>
      <c r="G141" s="111">
        <f t="shared" si="265"/>
        <v>1106.4891680621254</v>
      </c>
      <c r="H141" s="111">
        <f t="shared" si="265"/>
        <v>1184.1195876274826</v>
      </c>
      <c r="I141" s="111">
        <f t="shared" si="265"/>
        <v>1155.5204518625951</v>
      </c>
      <c r="J141" s="111">
        <f t="shared" si="265"/>
        <v>1224.6083615749224</v>
      </c>
      <c r="K141" s="111">
        <f t="shared" si="265"/>
        <v>1233.5665535931626</v>
      </c>
      <c r="L141" s="111">
        <f t="shared" si="265"/>
        <v>1289.3902696321809</v>
      </c>
      <c r="M141" s="111">
        <f t="shared" si="265"/>
        <v>1281.7481007008785</v>
      </c>
      <c r="N141" s="111">
        <f t="shared" si="265"/>
        <v>1312.3020463156754</v>
      </c>
      <c r="O141" s="111">
        <f t="shared" si="265"/>
        <v>1392.7436041075971</v>
      </c>
      <c r="P141" s="111">
        <f t="shared" si="265"/>
        <v>15872.819052257215</v>
      </c>
    </row>
    <row r="142" spans="1:36">
      <c r="A142" s="18" t="s">
        <v>52</v>
      </c>
      <c r="B142" s="18" t="s">
        <v>53</v>
      </c>
      <c r="C142" s="112">
        <f>C77+C9+C15+C21+C27+C33+C58+C64+C70+C90+C102+C115+C121+C127+C84+C133+C140+C108+C96+C39</f>
        <v>10.901295185050673</v>
      </c>
      <c r="D142" s="112">
        <f t="shared" ref="D142:O142" si="266">D77+D9+D15+D21+D27+D33+D58+D64+D70+D90+D102+D115+D121+D127+D84+D133+D140+D108+D96+D39</f>
        <v>14.847769167026032</v>
      </c>
      <c r="E142" s="112">
        <f t="shared" si="266"/>
        <v>7.0950946863449369</v>
      </c>
      <c r="F142" s="112">
        <f t="shared" si="266"/>
        <v>6.1614865425211445</v>
      </c>
      <c r="G142" s="112">
        <f t="shared" si="266"/>
        <v>3.3312973207662835</v>
      </c>
      <c r="H142" s="112">
        <f t="shared" si="266"/>
        <v>11.91338415658028</v>
      </c>
      <c r="I142" s="112">
        <f t="shared" si="266"/>
        <v>15.834842380079829</v>
      </c>
      <c r="J142" s="112">
        <f t="shared" si="266"/>
        <v>17.129994199609008</v>
      </c>
      <c r="K142" s="112">
        <f t="shared" si="266"/>
        <v>6.3411503870898187</v>
      </c>
      <c r="L142" s="112">
        <f t="shared" si="266"/>
        <v>10.246290725632182</v>
      </c>
      <c r="M142" s="112">
        <f t="shared" si="266"/>
        <v>7.8061049180214717</v>
      </c>
      <c r="N142" s="112">
        <f t="shared" si="266"/>
        <v>13.781648571814323</v>
      </c>
      <c r="O142" s="112">
        <f t="shared" si="266"/>
        <v>3.7754509524896478</v>
      </c>
      <c r="P142" s="113">
        <f>P77+P9+P15+P21+P27+P33+P58+P64+P70+P90+P102+P115+P121+P127+P84+P133+P140+P108+P96+P39+P45+P51</f>
        <v>138.73085413771756</v>
      </c>
      <c r="Q142" s="19"/>
    </row>
    <row r="143" spans="1:36">
      <c r="A143" s="35" t="s">
        <v>54</v>
      </c>
      <c r="B143" s="42" t="s">
        <v>55</v>
      </c>
      <c r="C143" s="108">
        <v>10.869320835071999</v>
      </c>
      <c r="D143" s="108">
        <v>0</v>
      </c>
      <c r="E143" s="108">
        <v>101.80302928722399</v>
      </c>
      <c r="F143" s="108">
        <v>59.107405833038001</v>
      </c>
      <c r="G143" s="108">
        <v>83.872607460631912</v>
      </c>
      <c r="H143" s="108">
        <v>123.28338960677101</v>
      </c>
      <c r="I143" s="108">
        <v>125.25697346979099</v>
      </c>
      <c r="J143" s="108">
        <v>123.16475116456</v>
      </c>
      <c r="K143" s="108">
        <v>120.665932809811</v>
      </c>
      <c r="L143" s="108">
        <v>134.361061161435</v>
      </c>
      <c r="M143" s="108">
        <v>124.51406882932399</v>
      </c>
      <c r="N143" s="108">
        <v>131.337907385639</v>
      </c>
      <c r="O143" s="108">
        <v>131.43433134384199</v>
      </c>
      <c r="P143" s="100">
        <f>SUM(C143:O143)</f>
        <v>1269.6707791871388</v>
      </c>
    </row>
    <row r="144" spans="1:36">
      <c r="A144" s="1"/>
      <c r="B144" s="43">
        <v>2024</v>
      </c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101"/>
    </row>
    <row r="145" spans="1:17">
      <c r="A145" s="1"/>
      <c r="B145" s="43">
        <v>2025</v>
      </c>
      <c r="C145" s="94"/>
      <c r="D145" s="94"/>
      <c r="E145" s="94">
        <v>0.75007910644140519</v>
      </c>
      <c r="F145" s="94">
        <v>0.79798406067551464</v>
      </c>
      <c r="G145" s="94">
        <v>0.80017403716776003</v>
      </c>
      <c r="H145" s="94">
        <v>0.86463759242669969</v>
      </c>
      <c r="I145" s="94">
        <v>0.86549634849203372</v>
      </c>
      <c r="J145" s="94">
        <v>0.90870000718329924</v>
      </c>
      <c r="K145" s="45">
        <v>0.85</v>
      </c>
      <c r="L145" s="45">
        <v>0.85</v>
      </c>
      <c r="M145" s="45">
        <v>0.85</v>
      </c>
      <c r="N145" s="45">
        <v>0.85</v>
      </c>
      <c r="O145" s="45">
        <v>0.85</v>
      </c>
      <c r="P145" s="101">
        <f>AVERAGE(C145:O145)</f>
        <v>0.83973374112606469</v>
      </c>
    </row>
    <row r="146" spans="1:17">
      <c r="A146" s="1"/>
      <c r="B146" s="46" t="s">
        <v>24</v>
      </c>
      <c r="C146" s="94">
        <f>C145-C144</f>
        <v>0</v>
      </c>
      <c r="D146" s="94">
        <f t="shared" ref="D146" si="267">D145-D144</f>
        <v>0</v>
      </c>
      <c r="E146" s="94">
        <v>0</v>
      </c>
      <c r="F146" s="94">
        <v>0</v>
      </c>
      <c r="G146" s="94">
        <v>0</v>
      </c>
      <c r="H146" s="94">
        <v>0</v>
      </c>
      <c r="I146" s="94">
        <v>0</v>
      </c>
      <c r="J146" s="94">
        <v>0</v>
      </c>
      <c r="K146" s="94">
        <v>0</v>
      </c>
      <c r="L146" s="94">
        <v>0</v>
      </c>
      <c r="M146" s="94">
        <v>0</v>
      </c>
      <c r="N146" s="94">
        <v>0</v>
      </c>
      <c r="O146" s="94">
        <v>0</v>
      </c>
      <c r="P146" s="101"/>
    </row>
    <row r="147" spans="1:17">
      <c r="A147" s="1"/>
      <c r="B147" s="43" t="s">
        <v>26</v>
      </c>
      <c r="C147" s="93">
        <f>C146/3%*1%</f>
        <v>0</v>
      </c>
      <c r="D147" s="93">
        <f t="shared" ref="D147:N147" si="268">D146/3%*1%</f>
        <v>0</v>
      </c>
      <c r="E147" s="93">
        <f t="shared" si="268"/>
        <v>0</v>
      </c>
      <c r="F147" s="93">
        <f t="shared" si="268"/>
        <v>0</v>
      </c>
      <c r="G147" s="93">
        <f t="shared" si="268"/>
        <v>0</v>
      </c>
      <c r="H147" s="93">
        <f t="shared" si="268"/>
        <v>0</v>
      </c>
      <c r="I147" s="93">
        <f t="shared" si="268"/>
        <v>0</v>
      </c>
      <c r="J147" s="93">
        <f t="shared" si="268"/>
        <v>0</v>
      </c>
      <c r="K147" s="93">
        <f t="shared" si="268"/>
        <v>0</v>
      </c>
      <c r="L147" s="93">
        <f t="shared" si="268"/>
        <v>0</v>
      </c>
      <c r="M147" s="93">
        <f t="shared" si="268"/>
        <v>0</v>
      </c>
      <c r="N147" s="93">
        <f t="shared" si="268"/>
        <v>0</v>
      </c>
      <c r="O147" s="93">
        <f>O146/3%*1%</f>
        <v>0</v>
      </c>
      <c r="P147" s="102">
        <f t="shared" ref="P147" si="269">P146/3%*1%</f>
        <v>0</v>
      </c>
    </row>
    <row r="148" spans="1:17" ht="15" thickBot="1">
      <c r="A148" s="1"/>
      <c r="B148" s="49" t="s">
        <v>27</v>
      </c>
      <c r="C148" s="115"/>
      <c r="D148" s="115"/>
      <c r="E148" s="115"/>
      <c r="F148" s="115"/>
      <c r="G148" s="115"/>
      <c r="H148" s="115"/>
      <c r="I148" s="115">
        <f t="shared" ref="I148:O148" si="270">I143*I147</f>
        <v>0</v>
      </c>
      <c r="J148" s="115">
        <f t="shared" si="270"/>
        <v>0</v>
      </c>
      <c r="K148" s="115">
        <f t="shared" si="270"/>
        <v>0</v>
      </c>
      <c r="L148" s="115">
        <f t="shared" si="270"/>
        <v>0</v>
      </c>
      <c r="M148" s="115">
        <f t="shared" si="270"/>
        <v>0</v>
      </c>
      <c r="N148" s="115">
        <f t="shared" si="270"/>
        <v>0</v>
      </c>
      <c r="O148" s="115">
        <f t="shared" si="270"/>
        <v>0</v>
      </c>
      <c r="P148" s="103">
        <f>SUM(C148:O148)</f>
        <v>0</v>
      </c>
      <c r="Q148" s="31"/>
    </row>
    <row r="149" spans="1:17">
      <c r="A149" s="35" t="s">
        <v>54</v>
      </c>
      <c r="B149" s="42" t="s">
        <v>56</v>
      </c>
      <c r="C149" s="108">
        <v>61.320325753764003</v>
      </c>
      <c r="D149" s="108">
        <v>50.408245731085998</v>
      </c>
      <c r="E149" s="108">
        <v>79.083224689161995</v>
      </c>
      <c r="F149" s="108">
        <v>46.667132846388</v>
      </c>
      <c r="G149" s="108">
        <v>12.478461557827901</v>
      </c>
      <c r="H149" s="108">
        <v>101.374049111307</v>
      </c>
      <c r="I149" s="108">
        <v>102.204401398822</v>
      </c>
      <c r="J149" s="108">
        <v>83.226337722667907</v>
      </c>
      <c r="K149" s="108">
        <v>108.09234949495999</v>
      </c>
      <c r="L149" s="108">
        <v>92.694225014891302</v>
      </c>
      <c r="M149" s="108">
        <v>98.590295570887903</v>
      </c>
      <c r="N149" s="108">
        <v>98.6939216294207</v>
      </c>
      <c r="O149" s="108">
        <v>98.699708273761104</v>
      </c>
      <c r="P149" s="100">
        <f>SUM(C149:O149)</f>
        <v>1033.5326787949459</v>
      </c>
    </row>
    <row r="150" spans="1:17">
      <c r="A150" s="1"/>
      <c r="B150" s="43">
        <v>2024</v>
      </c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101"/>
    </row>
    <row r="151" spans="1:17">
      <c r="A151" s="1"/>
      <c r="B151" s="43">
        <v>2025</v>
      </c>
      <c r="C151" s="94"/>
      <c r="D151" s="94"/>
      <c r="E151" s="94">
        <v>0.59351405317387784</v>
      </c>
      <c r="F151" s="94">
        <v>0.66567256584592371</v>
      </c>
      <c r="G151" s="94">
        <v>0.71679676604836773</v>
      </c>
      <c r="H151" s="94">
        <v>0.35644337945704851</v>
      </c>
      <c r="I151" s="94">
        <v>0.67264634990802574</v>
      </c>
      <c r="J151" s="94">
        <v>0.83667341692316965</v>
      </c>
      <c r="K151" s="45">
        <v>0.74427201558262923</v>
      </c>
      <c r="L151" s="45">
        <v>0.85</v>
      </c>
      <c r="M151" s="45">
        <v>0.85</v>
      </c>
      <c r="N151" s="45">
        <v>0.85</v>
      </c>
      <c r="O151" s="45">
        <v>0.85</v>
      </c>
      <c r="P151" s="101">
        <f>AVERAGE(C151:O151)</f>
        <v>0.72600168608536741</v>
      </c>
    </row>
    <row r="152" spans="1:17">
      <c r="A152" s="1"/>
      <c r="B152" s="46" t="s">
        <v>24</v>
      </c>
      <c r="C152" s="94">
        <f>C151-C150</f>
        <v>0</v>
      </c>
      <c r="D152" s="94">
        <f>D151-D150</f>
        <v>0</v>
      </c>
      <c r="E152" s="94">
        <v>0</v>
      </c>
      <c r="F152" s="94">
        <v>0</v>
      </c>
      <c r="G152" s="94">
        <v>0</v>
      </c>
      <c r="H152" s="94">
        <v>0</v>
      </c>
      <c r="I152" s="94">
        <v>0</v>
      </c>
      <c r="J152" s="94">
        <v>0</v>
      </c>
      <c r="K152" s="94">
        <v>0</v>
      </c>
      <c r="L152" s="94">
        <v>0</v>
      </c>
      <c r="M152" s="94">
        <v>0</v>
      </c>
      <c r="N152" s="94">
        <v>0</v>
      </c>
      <c r="O152" s="94">
        <v>0</v>
      </c>
      <c r="P152" s="101"/>
    </row>
    <row r="153" spans="1:17">
      <c r="A153" s="1"/>
      <c r="B153" s="43" t="s">
        <v>26</v>
      </c>
      <c r="C153" s="93">
        <f>C152/3%*1%</f>
        <v>0</v>
      </c>
      <c r="D153" s="93">
        <f t="shared" ref="D153:O153" si="271">D152/3%*1%</f>
        <v>0</v>
      </c>
      <c r="E153" s="93">
        <f t="shared" si="271"/>
        <v>0</v>
      </c>
      <c r="F153" s="93">
        <f t="shared" si="271"/>
        <v>0</v>
      </c>
      <c r="G153" s="93">
        <f t="shared" si="271"/>
        <v>0</v>
      </c>
      <c r="H153" s="93">
        <f t="shared" si="271"/>
        <v>0</v>
      </c>
      <c r="I153" s="93">
        <f t="shared" si="271"/>
        <v>0</v>
      </c>
      <c r="J153" s="93">
        <f t="shared" si="271"/>
        <v>0</v>
      </c>
      <c r="K153" s="93">
        <f t="shared" si="271"/>
        <v>0</v>
      </c>
      <c r="L153" s="93">
        <f t="shared" si="271"/>
        <v>0</v>
      </c>
      <c r="M153" s="93">
        <f t="shared" si="271"/>
        <v>0</v>
      </c>
      <c r="N153" s="93">
        <f t="shared" si="271"/>
        <v>0</v>
      </c>
      <c r="O153" s="93">
        <f t="shared" si="271"/>
        <v>0</v>
      </c>
      <c r="P153" s="102">
        <f t="shared" ref="P153" si="272">P152/3%*1%</f>
        <v>0</v>
      </c>
    </row>
    <row r="154" spans="1:17" ht="15" thickBot="1">
      <c r="A154" s="1"/>
      <c r="B154" s="49" t="s">
        <v>27</v>
      </c>
      <c r="C154" s="115"/>
      <c r="D154" s="115"/>
      <c r="E154" s="115"/>
      <c r="F154" s="115"/>
      <c r="G154" s="115"/>
      <c r="H154" s="115"/>
      <c r="I154" s="115">
        <v>0</v>
      </c>
      <c r="J154" s="115">
        <v>0</v>
      </c>
      <c r="K154" s="115">
        <v>0</v>
      </c>
      <c r="L154" s="115">
        <v>0</v>
      </c>
      <c r="M154" s="115">
        <v>0</v>
      </c>
      <c r="N154" s="115">
        <v>0</v>
      </c>
      <c r="O154" s="115">
        <v>0</v>
      </c>
      <c r="P154" s="103">
        <f>SUM(C154:O154)</f>
        <v>0</v>
      </c>
    </row>
    <row r="157" spans="1:17">
      <c r="A157" s="18"/>
      <c r="B157" s="18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3"/>
    </row>
    <row r="158" spans="1:17">
      <c r="A158" s="35" t="s">
        <v>54</v>
      </c>
      <c r="B158" s="42" t="s">
        <v>55</v>
      </c>
      <c r="C158" s="108">
        <v>10.869320835071999</v>
      </c>
      <c r="D158" s="108">
        <v>0</v>
      </c>
      <c r="E158" s="108">
        <v>101.80302928722399</v>
      </c>
      <c r="F158" s="108">
        <v>59.107405833038001</v>
      </c>
      <c r="G158" s="108">
        <v>83.872607460631912</v>
      </c>
      <c r="H158" s="108">
        <v>123.28338960677101</v>
      </c>
      <c r="I158" s="108">
        <v>125.25697346979099</v>
      </c>
      <c r="J158" s="108">
        <v>123.16475116456</v>
      </c>
      <c r="K158" s="108">
        <v>120.665932809811</v>
      </c>
      <c r="L158" s="108">
        <v>134.361061161435</v>
      </c>
      <c r="M158" s="108">
        <v>124.51406882932399</v>
      </c>
      <c r="N158" s="108">
        <v>131.337907385639</v>
      </c>
      <c r="O158" s="108">
        <v>131.43433134384199</v>
      </c>
      <c r="P158" s="100">
        <f>SUM(C158:O158)</f>
        <v>1269.6707791871388</v>
      </c>
    </row>
    <row r="159" spans="1:17">
      <c r="A159" s="1"/>
      <c r="B159" s="43">
        <v>2024</v>
      </c>
      <c r="C159" s="93"/>
      <c r="D159" s="93"/>
      <c r="E159" s="93"/>
      <c r="F159" s="94">
        <v>0.75007910644140519</v>
      </c>
      <c r="G159" s="94">
        <v>0.79798406067551464</v>
      </c>
      <c r="H159" s="94">
        <v>0.80017403716776003</v>
      </c>
      <c r="I159" s="94">
        <v>0.86463759242669969</v>
      </c>
      <c r="J159" s="94">
        <v>0.86549634849203372</v>
      </c>
      <c r="K159" s="190">
        <v>0.90870000718329924</v>
      </c>
      <c r="L159" s="190">
        <v>0.91700000000000004</v>
      </c>
      <c r="M159" s="45">
        <v>0.88700000000000001</v>
      </c>
      <c r="N159" s="45">
        <v>0.88800000000000001</v>
      </c>
      <c r="O159" s="45">
        <v>0.9</v>
      </c>
      <c r="P159" s="101">
        <f>AVERAGE(F159:O159)</f>
        <v>0.85790711523867125</v>
      </c>
    </row>
    <row r="160" spans="1:17">
      <c r="A160" s="1"/>
      <c r="B160" s="43">
        <v>2025</v>
      </c>
      <c r="C160" s="94"/>
      <c r="D160" s="94"/>
      <c r="E160" s="94">
        <v>0.75007910644140519</v>
      </c>
      <c r="F160" s="94">
        <v>0.79798406067551464</v>
      </c>
      <c r="G160" s="94">
        <v>0.80017403716776003</v>
      </c>
      <c r="H160" s="94">
        <v>0.86463759242669969</v>
      </c>
      <c r="I160" s="94">
        <v>0.86549634849203372</v>
      </c>
      <c r="J160" s="94">
        <v>0.90870000718329924</v>
      </c>
      <c r="K160" s="190">
        <v>0.91700000000000004</v>
      </c>
      <c r="L160" s="190">
        <v>0.88700000000000001</v>
      </c>
      <c r="M160" s="45">
        <v>0.88800000000000001</v>
      </c>
      <c r="N160" s="45">
        <v>0.9</v>
      </c>
      <c r="O160" s="45">
        <v>0.9</v>
      </c>
      <c r="P160" s="101">
        <f>AVERAGE(E160:O160)</f>
        <v>0.86173374112606471</v>
      </c>
    </row>
    <row r="161" spans="1:37">
      <c r="A161" s="1"/>
      <c r="B161" s="46" t="s">
        <v>24</v>
      </c>
      <c r="C161" s="94">
        <f>C160-C159</f>
        <v>0</v>
      </c>
      <c r="D161" s="94">
        <f t="shared" ref="D161:O161" si="273">D160-D159</f>
        <v>0</v>
      </c>
      <c r="E161" s="94">
        <f t="shared" si="273"/>
        <v>0.75007910644140519</v>
      </c>
      <c r="F161" s="94">
        <f t="shared" si="273"/>
        <v>4.7904954234109454E-2</v>
      </c>
      <c r="G161" s="94">
        <f t="shared" si="273"/>
        <v>2.1899764922453935E-3</v>
      </c>
      <c r="H161" s="94">
        <f t="shared" si="273"/>
        <v>6.4463555258939653E-2</v>
      </c>
      <c r="I161" s="94">
        <f t="shared" si="273"/>
        <v>8.5875606533403204E-4</v>
      </c>
      <c r="J161" s="94">
        <f t="shared" si="273"/>
        <v>4.3203658691265523E-2</v>
      </c>
      <c r="K161" s="94">
        <f t="shared" si="273"/>
        <v>8.2999928167007964E-3</v>
      </c>
      <c r="L161" s="94">
        <f t="shared" si="273"/>
        <v>-3.0000000000000027E-2</v>
      </c>
      <c r="M161" s="94">
        <f t="shared" si="273"/>
        <v>1.0000000000000009E-3</v>
      </c>
      <c r="N161" s="94">
        <f t="shared" si="273"/>
        <v>1.2000000000000011E-2</v>
      </c>
      <c r="O161" s="94">
        <f t="shared" si="273"/>
        <v>0</v>
      </c>
      <c r="P161" s="101">
        <f>(AVERAGE(C160:O160)-AVERAGE(C159:O159))</f>
        <v>3.8266258873934644E-3</v>
      </c>
    </row>
    <row r="162" spans="1:37">
      <c r="A162" s="1"/>
      <c r="B162" s="43" t="s">
        <v>26</v>
      </c>
      <c r="C162" s="93">
        <f>C161/3%*1%</f>
        <v>0</v>
      </c>
      <c r="D162" s="93">
        <f t="shared" ref="D162:N162" si="274">D161/3%*1%</f>
        <v>0</v>
      </c>
      <c r="E162" s="93">
        <f t="shared" si="274"/>
        <v>0.25002636881380175</v>
      </c>
      <c r="F162" s="93">
        <f t="shared" si="274"/>
        <v>1.5968318078036486E-2</v>
      </c>
      <c r="G162" s="93">
        <f t="shared" si="274"/>
        <v>7.299921640817979E-4</v>
      </c>
      <c r="H162" s="93">
        <f t="shared" si="274"/>
        <v>2.1487851752979889E-2</v>
      </c>
      <c r="I162" s="93">
        <f t="shared" si="274"/>
        <v>2.8625202177801068E-4</v>
      </c>
      <c r="J162" s="93">
        <f t="shared" si="274"/>
        <v>1.4401219563755174E-2</v>
      </c>
      <c r="K162" s="93">
        <f t="shared" si="274"/>
        <v>2.7666642722335988E-3</v>
      </c>
      <c r="L162" s="93">
        <f t="shared" si="274"/>
        <v>-1.0000000000000009E-2</v>
      </c>
      <c r="M162" s="93">
        <f t="shared" si="274"/>
        <v>3.333333333333337E-4</v>
      </c>
      <c r="N162" s="93">
        <f t="shared" si="274"/>
        <v>4.0000000000000036E-3</v>
      </c>
      <c r="O162" s="93">
        <f>O161/3%*1%</f>
        <v>0</v>
      </c>
      <c r="P162" s="102">
        <f>P161/3%*1%</f>
        <v>1.2755419624644881E-3</v>
      </c>
    </row>
    <row r="163" spans="1:37" ht="15" thickBot="1">
      <c r="A163" s="1"/>
      <c r="B163" s="49" t="s">
        <v>27</v>
      </c>
      <c r="C163" s="115"/>
      <c r="D163" s="115"/>
      <c r="E163" s="115"/>
      <c r="F163" s="115">
        <f t="shared" ref="F163:H163" si="275">F158*F162</f>
        <v>0.94384585710953994</v>
      </c>
      <c r="G163" s="115">
        <f t="shared" si="275"/>
        <v>6.1226346227369839E-2</v>
      </c>
      <c r="H163" s="115">
        <f t="shared" si="275"/>
        <v>2.6490951994751573</v>
      </c>
      <c r="I163" s="115">
        <f>I158*I162</f>
        <v>3.5855061897522314E-2</v>
      </c>
      <c r="J163" s="115">
        <f t="shared" ref="J163:O163" si="276">J158*J162</f>
        <v>1.7737226240360995</v>
      </c>
      <c r="K163" s="115">
        <f t="shared" si="276"/>
        <v>0.33384212518064404</v>
      </c>
      <c r="L163" s="115">
        <f t="shared" si="276"/>
        <v>-1.3436106116143511</v>
      </c>
      <c r="M163" s="115">
        <f t="shared" si="276"/>
        <v>4.1504689609774707E-2</v>
      </c>
      <c r="N163" s="115">
        <f t="shared" si="276"/>
        <v>0.52535162954255643</v>
      </c>
      <c r="O163" s="115">
        <f t="shared" si="276"/>
        <v>0</v>
      </c>
      <c r="P163" s="103">
        <f>SUM(C163:O163)</f>
        <v>5.0208329214643133</v>
      </c>
    </row>
    <row r="164" spans="1:37">
      <c r="A164" s="35" t="s">
        <v>54</v>
      </c>
      <c r="B164" s="42" t="s">
        <v>56</v>
      </c>
      <c r="C164" s="108">
        <v>61.320325753764003</v>
      </c>
      <c r="D164" s="108">
        <v>50.408245731085998</v>
      </c>
      <c r="E164" s="108">
        <v>79.083224689161995</v>
      </c>
      <c r="F164" s="108">
        <v>46.667132846388</v>
      </c>
      <c r="G164" s="108">
        <v>12.478461557827901</v>
      </c>
      <c r="H164" s="108">
        <v>101.374049111307</v>
      </c>
      <c r="I164" s="108">
        <v>102.204401398822</v>
      </c>
      <c r="J164" s="108">
        <v>83.226337722667907</v>
      </c>
      <c r="K164" s="108">
        <v>108.09234949495999</v>
      </c>
      <c r="L164" s="108">
        <v>92.694225014891302</v>
      </c>
      <c r="M164" s="108">
        <v>98.590295570887903</v>
      </c>
      <c r="N164" s="108">
        <v>98.6939216294207</v>
      </c>
      <c r="O164" s="108">
        <v>98.699708273761104</v>
      </c>
      <c r="P164" s="100">
        <f>SUM(C164:O164)</f>
        <v>1033.5326787949459</v>
      </c>
    </row>
    <row r="165" spans="1:37">
      <c r="A165" s="1"/>
      <c r="B165" s="43" t="s">
        <v>57</v>
      </c>
      <c r="C165" s="93"/>
      <c r="D165" s="93"/>
      <c r="E165" s="93"/>
      <c r="F165" s="94">
        <v>0.59351405317387784</v>
      </c>
      <c r="G165" s="94">
        <v>0.66567256584592371</v>
      </c>
      <c r="H165" s="94">
        <v>0.71679676604836773</v>
      </c>
      <c r="I165" s="94">
        <v>0.35644337945704851</v>
      </c>
      <c r="J165" s="94">
        <v>0.67264634990802574</v>
      </c>
      <c r="K165" s="190">
        <v>0.83667341692316965</v>
      </c>
      <c r="L165" s="190">
        <v>0.89400000000000002</v>
      </c>
      <c r="M165" s="45">
        <v>0.89400000000000002</v>
      </c>
      <c r="N165" s="45">
        <v>0.89200000000000002</v>
      </c>
      <c r="O165" s="45">
        <v>0.88400000000000001</v>
      </c>
      <c r="P165" s="101">
        <f>AVERAGE(C165:O165)</f>
        <v>0.74057465313564141</v>
      </c>
    </row>
    <row r="166" spans="1:37">
      <c r="A166" s="1"/>
      <c r="B166" s="43">
        <v>2025</v>
      </c>
      <c r="C166" s="94"/>
      <c r="D166" s="94"/>
      <c r="E166" s="94">
        <v>0.59351405317387784</v>
      </c>
      <c r="F166" s="94">
        <v>0.66567256584592371</v>
      </c>
      <c r="G166" s="94">
        <v>0.71679676604836773</v>
      </c>
      <c r="H166" s="94">
        <v>0.35644337945704851</v>
      </c>
      <c r="I166" s="94">
        <v>0.67264634990802574</v>
      </c>
      <c r="J166" s="94">
        <v>0.83667341692316965</v>
      </c>
      <c r="K166" s="190">
        <v>0.89400000000000002</v>
      </c>
      <c r="L166" s="190">
        <v>0.89400000000000002</v>
      </c>
      <c r="M166" s="45">
        <v>0.89200000000000002</v>
      </c>
      <c r="N166" s="45">
        <v>0.88400000000000001</v>
      </c>
      <c r="O166" s="45">
        <v>0.89400000000000002</v>
      </c>
      <c r="P166" s="101">
        <f>AVERAGE(C166:O166)</f>
        <v>0.75452241194149217</v>
      </c>
    </row>
    <row r="167" spans="1:37">
      <c r="A167" s="1"/>
      <c r="B167" s="46" t="s">
        <v>24</v>
      </c>
      <c r="C167" s="94">
        <f>C166-C165</f>
        <v>0</v>
      </c>
      <c r="D167" s="94">
        <f t="shared" ref="D167:O167" si="277">D166-D165</f>
        <v>0</v>
      </c>
      <c r="E167" s="94">
        <f t="shared" si="277"/>
        <v>0.59351405317387784</v>
      </c>
      <c r="F167" s="94">
        <f t="shared" si="277"/>
        <v>7.2158512672045871E-2</v>
      </c>
      <c r="G167" s="94">
        <f t="shared" si="277"/>
        <v>5.1124200202444015E-2</v>
      </c>
      <c r="H167" s="94">
        <f t="shared" si="277"/>
        <v>-0.36035338659131921</v>
      </c>
      <c r="I167" s="94">
        <f t="shared" si="277"/>
        <v>0.31620297045097723</v>
      </c>
      <c r="J167" s="94">
        <f t="shared" si="277"/>
        <v>0.16402706701514391</v>
      </c>
      <c r="K167" s="94">
        <f t="shared" si="277"/>
        <v>5.7326583076830362E-2</v>
      </c>
      <c r="L167" s="94">
        <f t="shared" si="277"/>
        <v>0</v>
      </c>
      <c r="M167" s="94">
        <f t="shared" si="277"/>
        <v>-2.0000000000000018E-3</v>
      </c>
      <c r="N167" s="94">
        <f t="shared" si="277"/>
        <v>-8.0000000000000071E-3</v>
      </c>
      <c r="O167" s="94">
        <f t="shared" si="277"/>
        <v>1.0000000000000009E-2</v>
      </c>
      <c r="P167" s="101">
        <f>(AVERAGE(C166:O166)-AVERAGE(C165:O165))</f>
        <v>1.3947758805850752E-2</v>
      </c>
    </row>
    <row r="168" spans="1:37">
      <c r="A168" s="1"/>
      <c r="B168" s="43" t="s">
        <v>26</v>
      </c>
      <c r="C168" s="93">
        <f>C167/3%*1%</f>
        <v>0</v>
      </c>
      <c r="D168" s="93">
        <f t="shared" ref="D168:N168" si="278">D167/3%*1%</f>
        <v>0</v>
      </c>
      <c r="E168" s="93">
        <f t="shared" si="278"/>
        <v>0.19783801772462595</v>
      </c>
      <c r="F168" s="93">
        <f t="shared" si="278"/>
        <v>2.4052837557348626E-2</v>
      </c>
      <c r="G168" s="93">
        <f t="shared" si="278"/>
        <v>1.7041400067481338E-2</v>
      </c>
      <c r="H168" s="93">
        <f t="shared" si="278"/>
        <v>-0.12011779553043975</v>
      </c>
      <c r="I168" s="93">
        <f t="shared" si="278"/>
        <v>0.10540099015032574</v>
      </c>
      <c r="J168" s="93">
        <f t="shared" si="278"/>
        <v>5.4675689005047969E-2</v>
      </c>
      <c r="K168" s="93">
        <f t="shared" si="278"/>
        <v>1.9108861025610123E-2</v>
      </c>
      <c r="L168" s="93">
        <f t="shared" si="278"/>
        <v>0</v>
      </c>
      <c r="M168" s="93">
        <f t="shared" si="278"/>
        <v>-6.666666666666674E-4</v>
      </c>
      <c r="N168" s="93">
        <f t="shared" si="278"/>
        <v>-2.6666666666666696E-3</v>
      </c>
      <c r="O168" s="93">
        <f>O167/3%*1%</f>
        <v>3.3333333333333366E-3</v>
      </c>
      <c r="P168" s="102">
        <f t="shared" ref="P168" si="279">P167/3%*1%</f>
        <v>4.6492529352835845E-3</v>
      </c>
    </row>
    <row r="169" spans="1:37" ht="15" thickBot="1">
      <c r="A169" s="1"/>
      <c r="B169" s="49" t="s">
        <v>27</v>
      </c>
      <c r="C169" s="115"/>
      <c r="D169" s="115"/>
      <c r="E169" s="115"/>
      <c r="F169" s="115">
        <f t="shared" ref="F169:H169" si="280">F164*F168</f>
        <v>1.1224769656213789</v>
      </c>
      <c r="G169" s="115">
        <f t="shared" si="280"/>
        <v>0.21265045563363166</v>
      </c>
      <c r="H169" s="115">
        <f t="shared" si="280"/>
        <v>-12.176827303244732</v>
      </c>
      <c r="I169" s="115">
        <f>I164*I168</f>
        <v>10.772445105157177</v>
      </c>
      <c r="J169" s="115">
        <f t="shared" ref="J169:O169" si="281">J164*J168</f>
        <v>4.5504573583536825</v>
      </c>
      <c r="K169" s="115">
        <f t="shared" si="281"/>
        <v>2.0655216844308688</v>
      </c>
      <c r="L169" s="115">
        <f t="shared" si="281"/>
        <v>0</v>
      </c>
      <c r="M169" s="115">
        <f t="shared" si="281"/>
        <v>-6.5726863713925346E-2</v>
      </c>
      <c r="N169" s="115">
        <f t="shared" si="281"/>
        <v>-0.26318379101178885</v>
      </c>
      <c r="O169" s="115">
        <f t="shared" si="281"/>
        <v>0.32899902757920402</v>
      </c>
      <c r="P169" s="103">
        <f>SUM(C169:O169)</f>
        <v>6.5468126388054975</v>
      </c>
      <c r="AK169" s="189">
        <f>P163+P169</f>
        <v>11.56764556026981</v>
      </c>
    </row>
    <row r="171" spans="1:37">
      <c r="A171" s="18"/>
      <c r="B171" s="18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3"/>
    </row>
    <row r="172" spans="1:37">
      <c r="A172" s="35" t="s">
        <v>54</v>
      </c>
      <c r="B172" s="42" t="s">
        <v>55</v>
      </c>
      <c r="C172" s="108">
        <v>10.869320835071999</v>
      </c>
      <c r="D172" s="108">
        <v>0</v>
      </c>
      <c r="E172" s="108">
        <v>101.80302928722399</v>
      </c>
      <c r="F172" s="108">
        <v>59.107405833038001</v>
      </c>
      <c r="G172" s="108">
        <v>83.872607460631912</v>
      </c>
      <c r="H172" s="108">
        <v>123.28338960677101</v>
      </c>
      <c r="I172" s="108">
        <v>125.25697346979099</v>
      </c>
      <c r="J172" s="108">
        <v>123.16475116456</v>
      </c>
      <c r="K172" s="108">
        <v>120.665932809811</v>
      </c>
      <c r="L172" s="108">
        <v>134.361061161435</v>
      </c>
      <c r="M172" s="108">
        <v>124.51406882932399</v>
      </c>
      <c r="N172" s="108">
        <v>131.337907385639</v>
      </c>
      <c r="O172" s="108">
        <v>131.43433134384199</v>
      </c>
      <c r="P172" s="100">
        <f>SUM(C172:O172)</f>
        <v>1269.6707791871388</v>
      </c>
    </row>
    <row r="173" spans="1:37">
      <c r="A173" s="1"/>
      <c r="B173" s="43">
        <v>2024</v>
      </c>
      <c r="C173" s="93"/>
      <c r="D173" s="93"/>
      <c r="E173" s="93"/>
      <c r="F173" s="94">
        <v>0.75007910644140519</v>
      </c>
      <c r="G173" s="94">
        <v>0.79798406067551464</v>
      </c>
      <c r="H173" s="94">
        <v>0.8</v>
      </c>
      <c r="I173" s="94">
        <v>0.8</v>
      </c>
      <c r="J173" s="94">
        <v>0.8</v>
      </c>
      <c r="K173" s="94">
        <v>0.8</v>
      </c>
      <c r="L173" s="94">
        <v>0.8</v>
      </c>
      <c r="M173" s="94">
        <v>0.8</v>
      </c>
      <c r="N173" s="94">
        <v>0.8</v>
      </c>
      <c r="O173" s="94">
        <v>0.8</v>
      </c>
      <c r="P173" s="101">
        <f>AVERAGE(F173:O173)</f>
        <v>0.79480631671169188</v>
      </c>
    </row>
    <row r="174" spans="1:37">
      <c r="A174" s="1"/>
      <c r="B174" s="43">
        <v>2025</v>
      </c>
      <c r="C174" s="94"/>
      <c r="D174" s="94"/>
      <c r="E174" s="94">
        <v>0.75007910644140519</v>
      </c>
      <c r="F174" s="94">
        <v>0.79798406067551464</v>
      </c>
      <c r="G174" s="94">
        <v>0.80017403716776003</v>
      </c>
      <c r="H174" s="94">
        <v>0.86463759242669969</v>
      </c>
      <c r="I174" s="94">
        <v>0.86549634849203372</v>
      </c>
      <c r="J174" s="94">
        <v>0.90870000718329924</v>
      </c>
      <c r="K174" s="45">
        <v>0.91700000000000004</v>
      </c>
      <c r="L174" s="45">
        <v>0.88700000000000001</v>
      </c>
      <c r="M174" s="45">
        <v>0.88800000000000001</v>
      </c>
      <c r="N174" s="45">
        <v>0.9</v>
      </c>
      <c r="O174" s="45">
        <v>0.9</v>
      </c>
      <c r="P174" s="101">
        <f>AVERAGE(E174:O174)</f>
        <v>0.86173374112606471</v>
      </c>
    </row>
    <row r="175" spans="1:37">
      <c r="A175" s="1"/>
      <c r="B175" s="46" t="s">
        <v>24</v>
      </c>
      <c r="C175" s="94">
        <f>C174-C173</f>
        <v>0</v>
      </c>
      <c r="D175" s="94">
        <f t="shared" ref="D175:O175" si="282">D174-D173</f>
        <v>0</v>
      </c>
      <c r="E175" s="94">
        <f t="shared" si="282"/>
        <v>0.75007910644140519</v>
      </c>
      <c r="F175" s="94">
        <f t="shared" si="282"/>
        <v>4.7904954234109454E-2</v>
      </c>
      <c r="G175" s="94">
        <f t="shared" si="282"/>
        <v>2.1899764922453935E-3</v>
      </c>
      <c r="H175" s="94">
        <f t="shared" si="282"/>
        <v>6.4637592426699642E-2</v>
      </c>
      <c r="I175" s="94">
        <f t="shared" si="282"/>
        <v>6.5496348492033674E-2</v>
      </c>
      <c r="J175" s="94">
        <f t="shared" si="282"/>
        <v>0.1087000071832992</v>
      </c>
      <c r="K175" s="94">
        <f t="shared" si="282"/>
        <v>0.11699999999999999</v>
      </c>
      <c r="L175" s="94">
        <f t="shared" si="282"/>
        <v>8.6999999999999966E-2</v>
      </c>
      <c r="M175" s="94">
        <f t="shared" si="282"/>
        <v>8.7999999999999967E-2</v>
      </c>
      <c r="N175" s="94">
        <f t="shared" si="282"/>
        <v>9.9999999999999978E-2</v>
      </c>
      <c r="O175" s="94">
        <f t="shared" si="282"/>
        <v>9.9999999999999978E-2</v>
      </c>
      <c r="P175" s="101">
        <f>(AVERAGE(C174:O174)-AVERAGE(C173:O173))</f>
        <v>6.6927424414372827E-2</v>
      </c>
    </row>
    <row r="176" spans="1:37">
      <c r="A176" s="1"/>
      <c r="B176" s="43" t="s">
        <v>26</v>
      </c>
      <c r="C176" s="93">
        <f>C175/3%*1%</f>
        <v>0</v>
      </c>
      <c r="D176" s="93">
        <f t="shared" ref="D176:N176" si="283">D175/3%*1%</f>
        <v>0</v>
      </c>
      <c r="E176" s="93">
        <f t="shared" si="283"/>
        <v>0.25002636881380175</v>
      </c>
      <c r="F176" s="93">
        <f t="shared" si="283"/>
        <v>1.5968318078036486E-2</v>
      </c>
      <c r="G176" s="93">
        <f t="shared" si="283"/>
        <v>7.299921640817979E-4</v>
      </c>
      <c r="H176" s="93">
        <f t="shared" si="283"/>
        <v>2.1545864142233216E-2</v>
      </c>
      <c r="I176" s="93">
        <f t="shared" si="283"/>
        <v>2.1832116164011227E-2</v>
      </c>
      <c r="J176" s="93">
        <f t="shared" si="283"/>
        <v>3.6233335727766401E-2</v>
      </c>
      <c r="K176" s="93">
        <f t="shared" si="283"/>
        <v>3.9E-2</v>
      </c>
      <c r="L176" s="93">
        <f t="shared" si="283"/>
        <v>2.8999999999999991E-2</v>
      </c>
      <c r="M176" s="93">
        <f t="shared" si="283"/>
        <v>2.9333333333333322E-2</v>
      </c>
      <c r="N176" s="93">
        <f t="shared" si="283"/>
        <v>3.3333333333333326E-2</v>
      </c>
      <c r="O176" s="93">
        <f>O175/3%*1%</f>
        <v>3.3333333333333326E-2</v>
      </c>
      <c r="P176" s="102">
        <f>P175/3%*1%</f>
        <v>2.2309141471457614E-2</v>
      </c>
    </row>
    <row r="177" spans="1:37" ht="15" thickBot="1">
      <c r="A177" s="1"/>
      <c r="B177" s="49" t="s">
        <v>27</v>
      </c>
      <c r="C177" s="115"/>
      <c r="D177" s="115"/>
      <c r="E177" s="115"/>
      <c r="F177" s="115">
        <f>F172*F176</f>
        <v>0.94384585710953994</v>
      </c>
      <c r="G177" s="115">
        <f t="shared" ref="G177" si="284">G172*G176</f>
        <v>6.1226346227369839E-2</v>
      </c>
      <c r="H177" s="115">
        <f>H172*H176</f>
        <v>2.6562471634614946</v>
      </c>
      <c r="I177" s="115">
        <f>I172*I176</f>
        <v>2.7346247951449492</v>
      </c>
      <c r="J177" s="115">
        <f t="shared" ref="J177:O177" si="285">J172*J176</f>
        <v>4.4626697787723106</v>
      </c>
      <c r="K177" s="115">
        <f t="shared" si="285"/>
        <v>4.7059713795826292</v>
      </c>
      <c r="L177" s="115">
        <f t="shared" si="285"/>
        <v>3.8964707736816138</v>
      </c>
      <c r="M177" s="115">
        <f t="shared" si="285"/>
        <v>3.6524126856601691</v>
      </c>
      <c r="N177" s="115">
        <f t="shared" si="285"/>
        <v>4.3779302461879661</v>
      </c>
      <c r="O177" s="115">
        <f t="shared" si="285"/>
        <v>4.3811443781280657</v>
      </c>
      <c r="P177" s="103">
        <f>SUM(C177:O177)</f>
        <v>31.872543403956108</v>
      </c>
    </row>
    <row r="178" spans="1:37">
      <c r="A178" s="35" t="s">
        <v>54</v>
      </c>
      <c r="B178" s="42" t="s">
        <v>56</v>
      </c>
      <c r="C178" s="108">
        <v>61.320325753764003</v>
      </c>
      <c r="D178" s="108">
        <v>50.408245731085998</v>
      </c>
      <c r="E178" s="108">
        <v>79.083224689161995</v>
      </c>
      <c r="F178" s="108">
        <v>46.667132846388</v>
      </c>
      <c r="G178" s="108">
        <v>12.478461557827901</v>
      </c>
      <c r="H178" s="108">
        <v>101.374049111307</v>
      </c>
      <c r="I178" s="108">
        <v>102.204401398822</v>
      </c>
      <c r="J178" s="108">
        <v>83.226337722667907</v>
      </c>
      <c r="K178" s="108">
        <v>108.09234949495999</v>
      </c>
      <c r="L178" s="108">
        <v>92.694225014891302</v>
      </c>
      <c r="M178" s="108">
        <v>98.590295570887903</v>
      </c>
      <c r="N178" s="108">
        <v>98.6939216294207</v>
      </c>
      <c r="O178" s="108">
        <v>98.699708273761104</v>
      </c>
      <c r="P178" s="100">
        <f>SUM(C178:O178)</f>
        <v>1033.5326787949459</v>
      </c>
    </row>
    <row r="179" spans="1:37">
      <c r="A179" s="1"/>
      <c r="B179" s="43" t="s">
        <v>57</v>
      </c>
      <c r="C179" s="93"/>
      <c r="D179" s="93"/>
      <c r="E179" s="93"/>
      <c r="F179" s="94">
        <v>0.59351405317387784</v>
      </c>
      <c r="G179" s="94">
        <v>0.66567256584592371</v>
      </c>
      <c r="H179" s="94">
        <v>0.71699999999999997</v>
      </c>
      <c r="I179" s="94">
        <v>0.71699999999999997</v>
      </c>
      <c r="J179" s="94">
        <v>0.71699999999999997</v>
      </c>
      <c r="K179" s="94">
        <v>0.71699999999999997</v>
      </c>
      <c r="L179" s="94">
        <v>0.71699999999999997</v>
      </c>
      <c r="M179" s="94">
        <v>0.71699999999999997</v>
      </c>
      <c r="N179" s="94">
        <v>0.71699999999999997</v>
      </c>
      <c r="O179" s="94">
        <v>0.71699999999999997</v>
      </c>
      <c r="P179" s="101">
        <f>AVERAGE(C179:O179)</f>
        <v>0.69951866190197998</v>
      </c>
    </row>
    <row r="180" spans="1:37">
      <c r="A180" s="1"/>
      <c r="B180" s="43">
        <v>2025</v>
      </c>
      <c r="C180" s="94"/>
      <c r="D180" s="94"/>
      <c r="E180" s="94">
        <v>0.59351405317387784</v>
      </c>
      <c r="F180" s="94">
        <v>0.66567256584592371</v>
      </c>
      <c r="G180" s="94">
        <v>0.71679676604836773</v>
      </c>
      <c r="H180" s="94">
        <v>0.35644337945704851</v>
      </c>
      <c r="I180" s="94">
        <v>0.67264634990802574</v>
      </c>
      <c r="J180" s="94">
        <v>0.83667341692316965</v>
      </c>
      <c r="K180" s="190">
        <v>0.89400000000000002</v>
      </c>
      <c r="L180" s="190">
        <v>0.89400000000000002</v>
      </c>
      <c r="M180" s="45">
        <v>0.89200000000000002</v>
      </c>
      <c r="N180" s="45">
        <v>0.88400000000000001</v>
      </c>
      <c r="O180" s="45">
        <v>0.89400000000000002</v>
      </c>
      <c r="P180" s="101">
        <f>AVERAGE(C180:O180)</f>
        <v>0.75452241194149217</v>
      </c>
    </row>
    <row r="181" spans="1:37">
      <c r="A181" s="1"/>
      <c r="B181" s="46" t="s">
        <v>24</v>
      </c>
      <c r="C181" s="94">
        <f>C180-C179</f>
        <v>0</v>
      </c>
      <c r="D181" s="94">
        <f t="shared" ref="D181:O181" si="286">D180-D179</f>
        <v>0</v>
      </c>
      <c r="E181" s="94">
        <f t="shared" si="286"/>
        <v>0.59351405317387784</v>
      </c>
      <c r="F181" s="94">
        <f t="shared" si="286"/>
        <v>7.2158512672045871E-2</v>
      </c>
      <c r="G181" s="94">
        <f t="shared" si="286"/>
        <v>5.1124200202444015E-2</v>
      </c>
      <c r="H181" s="94">
        <f t="shared" si="286"/>
        <v>-0.36055662054295146</v>
      </c>
      <c r="I181" s="94">
        <f t="shared" si="286"/>
        <v>-4.4353650091974228E-2</v>
      </c>
      <c r="J181" s="94">
        <f t="shared" si="286"/>
        <v>0.11967341692316968</v>
      </c>
      <c r="K181" s="94">
        <f t="shared" si="286"/>
        <v>0.17700000000000005</v>
      </c>
      <c r="L181" s="94">
        <f t="shared" si="286"/>
        <v>0.17700000000000005</v>
      </c>
      <c r="M181" s="94">
        <f t="shared" si="286"/>
        <v>0.17500000000000004</v>
      </c>
      <c r="N181" s="94">
        <f t="shared" si="286"/>
        <v>0.16700000000000004</v>
      </c>
      <c r="O181" s="94">
        <f t="shared" si="286"/>
        <v>0.17700000000000005</v>
      </c>
      <c r="P181" s="101">
        <f>(AVERAGE(C180:O180)-AVERAGE(C179:O179))</f>
        <v>5.5003750039512189E-2</v>
      </c>
    </row>
    <row r="182" spans="1:37">
      <c r="A182" s="1"/>
      <c r="B182" s="43" t="s">
        <v>26</v>
      </c>
      <c r="C182" s="93">
        <f>C181/3%*1%</f>
        <v>0</v>
      </c>
      <c r="D182" s="93">
        <f t="shared" ref="D182:N182" si="287">D181/3%*1%</f>
        <v>0</v>
      </c>
      <c r="E182" s="93">
        <f t="shared" si="287"/>
        <v>0.19783801772462595</v>
      </c>
      <c r="F182" s="93">
        <f t="shared" si="287"/>
        <v>2.4052837557348626E-2</v>
      </c>
      <c r="G182" s="93">
        <f t="shared" si="287"/>
        <v>1.7041400067481338E-2</v>
      </c>
      <c r="H182" s="93">
        <f t="shared" si="287"/>
        <v>-0.12018554018098383</v>
      </c>
      <c r="I182" s="93">
        <f t="shared" si="287"/>
        <v>-1.4784550030658077E-2</v>
      </c>
      <c r="J182" s="93">
        <f t="shared" si="287"/>
        <v>3.9891138974389895E-2</v>
      </c>
      <c r="K182" s="93">
        <f t="shared" si="287"/>
        <v>5.9000000000000025E-2</v>
      </c>
      <c r="L182" s="93">
        <f t="shared" si="287"/>
        <v>5.9000000000000025E-2</v>
      </c>
      <c r="M182" s="93">
        <f t="shared" si="287"/>
        <v>5.8333333333333348E-2</v>
      </c>
      <c r="N182" s="93">
        <f t="shared" si="287"/>
        <v>5.5666666666666684E-2</v>
      </c>
      <c r="O182" s="93">
        <f>O181/3%*1%</f>
        <v>5.9000000000000025E-2</v>
      </c>
      <c r="P182" s="102">
        <f t="shared" ref="P182" si="288">P181/3%*1%</f>
        <v>1.8334583346504063E-2</v>
      </c>
    </row>
    <row r="183" spans="1:37" ht="15" thickBot="1">
      <c r="A183" s="1"/>
      <c r="B183" s="49" t="s">
        <v>27</v>
      </c>
      <c r="C183" s="115"/>
      <c r="D183" s="115"/>
      <c r="E183" s="115"/>
      <c r="F183" s="115">
        <f t="shared" ref="F183:H183" si="289">F178*F182</f>
        <v>1.1224769656213789</v>
      </c>
      <c r="G183" s="115">
        <f t="shared" si="289"/>
        <v>0.21265045563363166</v>
      </c>
      <c r="H183" s="115">
        <f t="shared" si="289"/>
        <v>-12.183694852776016</v>
      </c>
      <c r="I183" s="115">
        <f>I178*I182</f>
        <v>-1.5110460858343442</v>
      </c>
      <c r="J183" s="115">
        <f t="shared" ref="J183:O183" si="290">J178*J182</f>
        <v>3.3199934044244537</v>
      </c>
      <c r="K183" s="115">
        <f t="shared" si="290"/>
        <v>6.3774486202026424</v>
      </c>
      <c r="L183" s="115">
        <f t="shared" si="290"/>
        <v>5.4689592758785892</v>
      </c>
      <c r="M183" s="115">
        <f t="shared" si="290"/>
        <v>5.7511005749684623</v>
      </c>
      <c r="N183" s="115">
        <f t="shared" si="290"/>
        <v>5.4939616373710871</v>
      </c>
      <c r="O183" s="115">
        <f t="shared" si="290"/>
        <v>5.8232827881519071</v>
      </c>
      <c r="P183" s="103">
        <f>SUM(C183:O183)</f>
        <v>19.875132783641792</v>
      </c>
      <c r="AK183" s="189">
        <f>P177+P183</f>
        <v>51.747676187597904</v>
      </c>
    </row>
  </sheetData>
  <conditionalFormatting sqref="R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{B96F7222-7EBC-4C65-B6D6-23BB75DBA860}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{99C0D9A0-2FF4-4A14-93BE-198F475FB94E}</x14:id>
        </ext>
      </extLst>
    </cfRule>
  </conditionalFormatting>
  <conditionalFormatting sqref="R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{35B565A6-7DEB-4FA3-B2B0-A689552660CB}</x14:id>
        </ext>
      </extLst>
    </cfRule>
  </conditionalFormatting>
  <conditionalFormatting sqref="R1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{4B01CDB4-B2BA-46F3-8960-D55FA37B3B49}</x14:id>
        </ext>
      </extLst>
    </cfRule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{D3903612-89A2-49B1-8CC1-F8ACAE7B4358}</x14:id>
        </ext>
      </extLst>
    </cfRule>
  </conditionalFormatting>
  <conditionalFormatting sqref="R15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{EF5A20A2-E4E3-4F10-90AB-43361678B63D}</x14:id>
        </ext>
      </extLst>
    </cfRule>
  </conditionalFormatting>
  <conditionalFormatting sqref="R20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{0CEA6D4D-FCDC-416B-A662-FF43CE6F51A3}</x14:id>
        </ext>
      </extLst>
    </cfRule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{38B14254-4362-493C-81B6-8C8E88285C5A}</x14:id>
        </ext>
      </extLst>
    </cfRule>
  </conditionalFormatting>
  <conditionalFormatting sqref="R21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{3DA683A3-8135-436B-B00E-024F26A8D251}</x14:id>
        </ext>
      </extLst>
    </cfRule>
  </conditionalFormatting>
  <conditionalFormatting sqref="R2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{50E3B34E-E20F-412F-83F4-D33939421000}</x14:id>
        </ext>
      </extLst>
    </cfRule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{F16CEEF0-D017-4044-AC00-3ADDBA0CD9AB}</x14:id>
        </ext>
      </extLst>
    </cfRule>
  </conditionalFormatting>
  <conditionalFormatting sqref="R27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{0089BDDC-A1E4-49A4-8A65-33F55B6BC9EB}</x14:id>
        </ext>
      </extLst>
    </cfRule>
  </conditionalFormatting>
  <conditionalFormatting sqref="R32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{3E4F34D3-9BF2-4AF2-85C1-D41C1F0C5DAF}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{30ADD3E0-F862-40EA-9DC8-83C78B184955}</x14:id>
        </ext>
      </extLst>
    </cfRule>
  </conditionalFormatting>
  <conditionalFormatting sqref="R3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{10EEBCAE-C609-4623-AC3A-CC73280774E3}</x14:id>
        </ext>
      </extLst>
    </cfRule>
  </conditionalFormatting>
  <conditionalFormatting sqref="R38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{F56A03AF-BB00-48C2-B0AE-236C44446EE7}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{52D10735-C845-4A7B-99F4-91979B1C84C7}</x14:id>
        </ext>
      </extLst>
    </cfRule>
  </conditionalFormatting>
  <conditionalFormatting sqref="R39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{605A39DE-DACC-4086-9BBF-8C1D85AC807A}</x14:id>
        </ext>
      </extLst>
    </cfRule>
  </conditionalFormatting>
  <conditionalFormatting sqref="R4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{CDBF33CD-A3B8-4B16-BF22-A58B3EC23C3D}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{B07E4A77-6F63-4310-B350-1A6B6C862175}</x14:id>
        </ext>
      </extLst>
    </cfRule>
  </conditionalFormatting>
  <conditionalFormatting sqref="R4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{6B538020-13D0-4463-9B8F-1C88E19D0575}</x14:id>
        </ext>
      </extLst>
    </cfRule>
  </conditionalFormatting>
  <conditionalFormatting sqref="R5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{23EFC843-528D-42EA-BE86-FB8CE5FCE993}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{CAA54B74-7B5C-4F3D-8AE5-2600D0830A2E}</x14:id>
        </ext>
      </extLst>
    </cfRule>
  </conditionalFormatting>
  <conditionalFormatting sqref="R51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{3E2F6065-FD55-4CF8-BF1B-A22BC98CB9B3}</x14:id>
        </ext>
      </extLst>
    </cfRule>
  </conditionalFormatting>
  <conditionalFormatting sqref="R8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{AC4F3303-6F1B-46A2-A4C4-18D7A43649DA}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{0725BF55-B7C4-45F0-A139-59B770FF9CB4}</x14:id>
        </ext>
      </extLst>
    </cfRule>
  </conditionalFormatting>
  <conditionalFormatting sqref="R9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{1F0178C7-E071-40F0-8DFA-4EC5472CFC5D}</x14:id>
        </ext>
      </extLst>
    </cfRule>
  </conditionalFormatting>
  <conditionalFormatting sqref="R9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{0266DA7B-BEF3-461A-94DB-2FE9464066F4}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{86033CB2-D792-4421-8287-116A7DBA227A}</x14:id>
        </ext>
      </extLst>
    </cfRule>
  </conditionalFormatting>
  <conditionalFormatting sqref="R9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{39C3891A-B59C-416C-996A-2AB529D84160}</x14:id>
        </ext>
      </extLst>
    </cfRule>
  </conditionalFormatting>
  <conditionalFormatting sqref="R10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{803EC2ED-DBAE-429E-A288-D3024755C6EC}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{5AF4AB79-8DB8-4AEE-976E-2A90E7DBC2FA}</x14:id>
        </ext>
      </extLst>
    </cfRule>
  </conditionalFormatting>
  <conditionalFormatting sqref="R10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{BF46859C-4BA7-4231-B82F-1B202F41A8D3}</x14:id>
        </ext>
      </extLst>
    </cfRule>
  </conditionalFormatting>
  <conditionalFormatting sqref="R10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{6675CD2D-3602-48F1-AD5B-1165085DAC81}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{4876BDE0-AFD9-48FF-B9FA-6F79E1E5A836}</x14:id>
        </ext>
      </extLst>
    </cfRule>
  </conditionalFormatting>
  <conditionalFormatting sqref="R11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{D45CB16D-8C17-4A68-8985-7DF5B887D592}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{E9AD683B-B896-46BF-9F00-A5439A4241D4}</x14:id>
        </ext>
      </extLst>
    </cfRule>
  </conditionalFormatting>
  <conditionalFormatting sqref="R1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{76AEA68B-B645-4E85-BB0F-7C247C5B92A4}</x14:id>
        </ext>
      </extLst>
    </cfRule>
  </conditionalFormatting>
  <conditionalFormatting sqref="R12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{E53EE877-CAF4-4D31-ADBA-1DDE83DFD5AB}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{7CDF0276-2FA5-4A7C-A537-7A9764A0CBC8}</x14:id>
        </ext>
      </extLst>
    </cfRule>
  </conditionalFormatting>
  <conditionalFormatting sqref="R12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{3E3F24AB-3090-4016-9A14-DE715EFCA6B2}</x14:id>
        </ext>
      </extLst>
    </cfRule>
  </conditionalFormatting>
  <conditionalFormatting sqref="R12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{7F9608B7-D3E7-46DA-9248-2256E46E737F}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{2770A8EA-F859-4EC6-9673-8310860D0ED5}</x14:id>
        </ext>
      </extLst>
    </cfRule>
  </conditionalFormatting>
  <conditionalFormatting sqref="R12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{C064BEF4-7C42-471C-B4F7-662E795B04EB}</x14:id>
        </ext>
      </extLst>
    </cfRule>
  </conditionalFormatting>
  <conditionalFormatting sqref="R13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{1DBE78EF-95B6-4C74-82BC-891154C67C61}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{9ED59AFD-4025-45A0-8643-EFC4B6DF9241}</x14:id>
        </ext>
      </extLst>
    </cfRule>
  </conditionalFormatting>
  <conditionalFormatting sqref="R133:R13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{36E9A182-D548-43A2-BA5F-387A3FAE6590}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6F7222-7EBC-4C65-B6D6-23BB75DBA8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C0D9A0-2FF4-4A14-93BE-198F475FB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5B565A6-7DEB-4FA3-B2B0-A68955266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B01CDB4-B2BA-46F3-8960-D55FA37B3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903612-89A2-49B1-8CC1-F8ACAE7B4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EF5A20A2-E4E3-4F10-90AB-43361678B6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0CEA6D4D-FCDC-416B-A662-FF43CE6F5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B14254-4362-493C-81B6-8C8E88285C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DA683A3-8135-436B-B00E-024F26A8D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0E3B34E-E20F-412F-83F4-D339394210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6CEEF0-D017-4044-AC00-3ADDBA0CD9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089BDDC-A1E4-49A4-8A65-33F55B6BC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E4F34D3-9BF2-4AF2-85C1-D41C1F0C5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ADD3E0-F862-40EA-9DC8-83C78B184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10EEBCAE-C609-4623-AC3A-CC7328077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F56A03AF-BB00-48C2-B0AE-236C44446E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D10735-C845-4A7B-99F4-91979B1C84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605A39DE-DACC-4086-9BBF-8C1D85AC80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CDBF33CD-A3B8-4B16-BF22-A58B3EC23C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7E4A77-6F63-4310-B350-1A6B6C862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6B538020-13D0-4463-9B8F-1C88E19D0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23EFC843-528D-42EA-BE86-FB8CE5FCE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A54B74-7B5C-4F3D-8AE5-2600D0830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3E2F6065-FD55-4CF8-BF1B-A22BC98CB9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AC4F3303-6F1B-46A2-A4C4-18D7A4364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25BF55-B7C4-45F0-A139-59B770FF9C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</xm:sqref>
        </x14:conditionalFormatting>
        <x14:conditionalFormatting xmlns:xm="http://schemas.microsoft.com/office/excel/2006/main">
          <x14:cfRule type="dataBar" id="{1F0178C7-E071-40F0-8DFA-4EC5472CF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</xm:sqref>
        </x14:conditionalFormatting>
        <x14:conditionalFormatting xmlns:xm="http://schemas.microsoft.com/office/excel/2006/main">
          <x14:cfRule type="dataBar" id="{0266DA7B-BEF3-461A-94DB-2FE946406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033CB2-D792-4421-8287-116A7DBA22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R95</xm:sqref>
        </x14:conditionalFormatting>
        <x14:conditionalFormatting xmlns:xm="http://schemas.microsoft.com/office/excel/2006/main">
          <x14:cfRule type="dataBar" id="{39C3891A-B59C-416C-996A-2AB529D84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R96</xm:sqref>
        </x14:conditionalFormatting>
        <x14:conditionalFormatting xmlns:xm="http://schemas.microsoft.com/office/excel/2006/main">
          <x14:cfRule type="dataBar" id="{803EC2ED-DBAE-429E-A288-D3024755C6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F4AB79-8DB8-4AEE-976E-2A90E7DBC2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R101</xm:sqref>
        </x14:conditionalFormatting>
        <x14:conditionalFormatting xmlns:xm="http://schemas.microsoft.com/office/excel/2006/main">
          <x14:cfRule type="dataBar" id="{BF46859C-4BA7-4231-B82F-1B202F41A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R102</xm:sqref>
        </x14:conditionalFormatting>
        <x14:conditionalFormatting xmlns:xm="http://schemas.microsoft.com/office/excel/2006/main">
          <x14:cfRule type="dataBar" id="{6675CD2D-3602-48F1-AD5B-1165085DA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76BDE0-AFD9-48FF-B9FA-6F79E1E5A8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R107</xm:sqref>
        </x14:conditionalFormatting>
        <x14:conditionalFormatting xmlns:xm="http://schemas.microsoft.com/office/excel/2006/main">
          <x14:cfRule type="dataBar" id="{D45CB16D-8C17-4A68-8985-7DF5B887D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AD683B-B896-46BF-9F00-A5439A4241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R114</xm:sqref>
        </x14:conditionalFormatting>
        <x14:conditionalFormatting xmlns:xm="http://schemas.microsoft.com/office/excel/2006/main">
          <x14:cfRule type="dataBar" id="{76AEA68B-B645-4E85-BB0F-7C247C5B9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R115</xm:sqref>
        </x14:conditionalFormatting>
        <x14:conditionalFormatting xmlns:xm="http://schemas.microsoft.com/office/excel/2006/main">
          <x14:cfRule type="dataBar" id="{E53EE877-CAF4-4D31-ADBA-1DDE83DFD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F0276-2FA5-4A7C-A537-7A9764A0C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R120</xm:sqref>
        </x14:conditionalFormatting>
        <x14:conditionalFormatting xmlns:xm="http://schemas.microsoft.com/office/excel/2006/main">
          <x14:cfRule type="dataBar" id="{3E3F24AB-3090-4016-9A14-DE715EFCA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R121</xm:sqref>
        </x14:conditionalFormatting>
        <x14:conditionalFormatting xmlns:xm="http://schemas.microsoft.com/office/excel/2006/main">
          <x14:cfRule type="dataBar" id="{7F9608B7-D3E7-46DA-9248-2256E46E73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70A8EA-F859-4EC6-9673-8310860D0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R126</xm:sqref>
        </x14:conditionalFormatting>
        <x14:conditionalFormatting xmlns:xm="http://schemas.microsoft.com/office/excel/2006/main">
          <x14:cfRule type="dataBar" id="{C064BEF4-7C42-471C-B4F7-662E795B0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R127</xm:sqref>
        </x14:conditionalFormatting>
        <x14:conditionalFormatting xmlns:xm="http://schemas.microsoft.com/office/excel/2006/main">
          <x14:cfRule type="dataBar" id="{1DBE78EF-95B6-4C74-82BC-891154C67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D59AFD-4025-45A0-8643-EFC4B6DF92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R132</xm:sqref>
        </x14:conditionalFormatting>
        <x14:conditionalFormatting xmlns:xm="http://schemas.microsoft.com/office/excel/2006/main">
          <x14:cfRule type="dataBar" id="{36E9A182-D548-43A2-BA5F-387A3FAE65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R133:R134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D183-6A06-4665-80EC-7F79B513F34D}">
  <dimension ref="A1:AL174"/>
  <sheetViews>
    <sheetView tabSelected="1" topLeftCell="A2" zoomScale="70" zoomScaleNormal="70" workbookViewId="0">
      <pane ySplit="1" topLeftCell="A3" activePane="bottomLeft" state="frozen"/>
      <selection pane="bottomLeft" activeCell="S15" sqref="S15"/>
      <selection activeCell="A2" sqref="A2"/>
    </sheetView>
  </sheetViews>
  <sheetFormatPr defaultRowHeight="14.45"/>
  <cols>
    <col min="1" max="1" width="12.85546875" customWidth="1"/>
    <col min="2" max="2" width="21.7109375" customWidth="1"/>
    <col min="3" max="3" width="12.5703125" style="125" customWidth="1"/>
    <col min="4" max="4" width="8.42578125" style="125" customWidth="1"/>
    <col min="5" max="15" width="8.7109375" style="125" customWidth="1"/>
    <col min="16" max="16" width="12.42578125" style="16" customWidth="1"/>
    <col min="17" max="17" width="7.28515625" customWidth="1"/>
    <col min="18" max="18" width="9.85546875" hidden="1" customWidth="1"/>
    <col min="19" max="19" width="14.85546875" style="3" customWidth="1"/>
    <col min="20" max="20" width="7.140625" style="62" customWidth="1"/>
    <col min="21" max="21" width="8.140625" style="62" customWidth="1"/>
    <col min="22" max="22" width="8.5703125" style="62" customWidth="1"/>
    <col min="23" max="23" width="7.7109375" style="62" customWidth="1"/>
    <col min="24" max="24" width="7.5703125" style="62" customWidth="1"/>
    <col min="25" max="26" width="6.5703125" style="62" customWidth="1"/>
    <col min="27" max="27" width="6.42578125" style="62" customWidth="1"/>
    <col min="28" max="28" width="7.28515625" style="62" customWidth="1"/>
    <col min="29" max="29" width="6.85546875" style="62" customWidth="1"/>
    <col min="30" max="31" width="7" style="62" customWidth="1"/>
    <col min="32" max="32" width="6.7109375" style="62" customWidth="1"/>
    <col min="33" max="33" width="6.85546875" style="62" customWidth="1"/>
    <col min="34" max="34" width="6.7109375" style="62" customWidth="1"/>
    <col min="35" max="35" width="6.5703125" style="62" customWidth="1"/>
    <col min="36" max="38" width="8.85546875" style="62"/>
  </cols>
  <sheetData>
    <row r="1" spans="1:35" ht="18.600000000000001" hidden="1">
      <c r="A1" s="20" t="s">
        <v>0</v>
      </c>
    </row>
    <row r="2" spans="1:35" ht="15" thickBot="1">
      <c r="A2" s="117" t="s">
        <v>1</v>
      </c>
      <c r="B2" s="117" t="s">
        <v>2</v>
      </c>
      <c r="C2" s="117" t="s">
        <v>3</v>
      </c>
      <c r="D2" s="117" t="s">
        <v>4</v>
      </c>
      <c r="E2" s="117" t="s">
        <v>5</v>
      </c>
      <c r="F2" s="117" t="s">
        <v>6</v>
      </c>
      <c r="G2" s="117" t="s">
        <v>7</v>
      </c>
      <c r="H2" s="117" t="s">
        <v>8</v>
      </c>
      <c r="I2" s="117" t="s">
        <v>9</v>
      </c>
      <c r="J2" s="117" t="s">
        <v>10</v>
      </c>
      <c r="K2" s="117" t="s">
        <v>11</v>
      </c>
      <c r="L2" s="117" t="s">
        <v>12</v>
      </c>
      <c r="M2" s="117" t="s">
        <v>13</v>
      </c>
      <c r="N2" s="117" t="s">
        <v>14</v>
      </c>
      <c r="O2" s="117" t="s">
        <v>15</v>
      </c>
      <c r="P2" s="117" t="s">
        <v>16</v>
      </c>
      <c r="Q2" s="153"/>
      <c r="T2" s="63"/>
      <c r="U2" s="64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35" ht="15" thickBot="1">
      <c r="A3" s="118" t="s">
        <v>20</v>
      </c>
      <c r="B3" s="119" t="s">
        <v>21</v>
      </c>
      <c r="C3" s="84">
        <f>C11++C18+C4+C25+C32+C39+C46+C53</f>
        <v>134.65875816880092</v>
      </c>
      <c r="D3" s="84">
        <f t="shared" ref="D3:O3" si="0">D11++D18+D4+D25+D32+D39+D46+D53</f>
        <v>169.91504581509741</v>
      </c>
      <c r="E3" s="84">
        <f t="shared" si="0"/>
        <v>186.41534177569608</v>
      </c>
      <c r="F3" s="84">
        <f t="shared" si="0"/>
        <v>185.00466785259741</v>
      </c>
      <c r="G3" s="84">
        <f t="shared" si="0"/>
        <v>174.63570645039817</v>
      </c>
      <c r="H3" s="84">
        <f t="shared" si="0"/>
        <v>182.90832236829291</v>
      </c>
      <c r="I3" s="84">
        <f t="shared" si="0"/>
        <v>182.76251217910007</v>
      </c>
      <c r="J3" s="84">
        <f t="shared" si="0"/>
        <v>193.30770278629598</v>
      </c>
      <c r="K3" s="84">
        <f t="shared" si="0"/>
        <v>181.37650000303196</v>
      </c>
      <c r="L3" s="84">
        <f t="shared" si="0"/>
        <v>184.90089709736657</v>
      </c>
      <c r="M3" s="84">
        <f t="shared" si="0"/>
        <v>185.96850525418333</v>
      </c>
      <c r="N3" s="84">
        <f t="shared" si="0"/>
        <v>185.91397649702273</v>
      </c>
      <c r="O3" s="84">
        <f t="shared" si="0"/>
        <v>203.86720314649114</v>
      </c>
      <c r="P3" s="85">
        <f>SUM(C3:O3)</f>
        <v>2351.6351393943746</v>
      </c>
      <c r="R3" s="21" t="s">
        <v>58</v>
      </c>
      <c r="S3" s="181" t="s">
        <v>59</v>
      </c>
      <c r="U3" s="64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7"/>
    </row>
    <row r="4" spans="1:35">
      <c r="A4" s="87"/>
      <c r="B4" s="42" t="s">
        <v>60</v>
      </c>
      <c r="C4" s="40">
        <v>46.30242586</v>
      </c>
      <c r="D4" s="40">
        <v>55.42456911</v>
      </c>
      <c r="E4" s="40">
        <v>74.811428209999988</v>
      </c>
      <c r="F4" s="40">
        <v>69.452414669999996</v>
      </c>
      <c r="G4" s="40">
        <v>61.840097189999994</v>
      </c>
      <c r="H4" s="40">
        <v>65.108788469999993</v>
      </c>
      <c r="I4" s="40">
        <v>69.52795055</v>
      </c>
      <c r="J4" s="40">
        <v>64.851604090000009</v>
      </c>
      <c r="K4" s="40">
        <v>68.06198504000001</v>
      </c>
      <c r="L4" s="40">
        <v>67.236402959999992</v>
      </c>
      <c r="M4" s="40">
        <v>68.124095999999994</v>
      </c>
      <c r="N4" s="40">
        <v>69.058493459999994</v>
      </c>
      <c r="O4" s="40">
        <v>73.659713089999997</v>
      </c>
      <c r="P4" s="41">
        <f t="shared" ref="P4:P18" si="1">SUM(C4:O4)</f>
        <v>853.45996869999999</v>
      </c>
      <c r="R4" s="2">
        <v>814.72358145051521</v>
      </c>
      <c r="U4" s="68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7"/>
    </row>
    <row r="5" spans="1:35">
      <c r="A5" s="1"/>
      <c r="B5" s="43">
        <v>2025</v>
      </c>
      <c r="C5" s="91">
        <v>0.8742174027295283</v>
      </c>
      <c r="D5" s="91">
        <v>0.90953815829309381</v>
      </c>
      <c r="E5" s="91">
        <v>0.9018972991476778</v>
      </c>
      <c r="F5" s="91">
        <v>0.92360544213382656</v>
      </c>
      <c r="G5" s="91">
        <v>0.92485532724021358</v>
      </c>
      <c r="H5" s="91">
        <v>0.927259834096539</v>
      </c>
      <c r="I5" s="91">
        <v>0.91557332684648496</v>
      </c>
      <c r="J5" s="91">
        <v>0.91957105893065549</v>
      </c>
      <c r="K5" s="91">
        <v>0.90756512877669637</v>
      </c>
      <c r="L5" s="92">
        <v>0.91156477535496849</v>
      </c>
      <c r="M5" s="92">
        <v>0.91156477535496849</v>
      </c>
      <c r="N5" s="92">
        <v>0.91156477535496849</v>
      </c>
      <c r="O5" s="92">
        <v>0.91156477535496849</v>
      </c>
      <c r="P5" s="44">
        <f>AVERAGE(C5:O5)</f>
        <v>0.91156477535496827</v>
      </c>
      <c r="Q5" s="154"/>
      <c r="R5" s="6">
        <v>0.84915824889885194</v>
      </c>
      <c r="S5" s="24"/>
      <c r="T5" s="69"/>
      <c r="V5" s="58"/>
      <c r="W5" s="58"/>
      <c r="X5" s="58"/>
      <c r="Y5" s="58"/>
      <c r="Z5" s="58"/>
      <c r="AA5" s="58"/>
      <c r="AB5" s="58"/>
      <c r="AC5" s="58"/>
      <c r="AD5" s="58"/>
      <c r="AE5" s="59"/>
      <c r="AF5" s="59"/>
      <c r="AG5" s="59"/>
      <c r="AH5" s="59"/>
      <c r="AI5" s="70"/>
    </row>
    <row r="6" spans="1:35">
      <c r="A6" s="1"/>
      <c r="B6" s="43">
        <v>2026</v>
      </c>
      <c r="C6" s="45">
        <f>AVERAGE(C5:E5)</f>
        <v>0.89521762005676664</v>
      </c>
      <c r="D6" s="45">
        <v>0.9</v>
      </c>
      <c r="E6" s="45">
        <v>0.90500000000000003</v>
      </c>
      <c r="F6" s="45">
        <v>0.91</v>
      </c>
      <c r="G6" s="45">
        <v>0.92</v>
      </c>
      <c r="H6" s="45">
        <v>0.92</v>
      </c>
      <c r="I6" s="45">
        <f t="shared" ref="I6" si="2">H6+0.3%</f>
        <v>0.92300000000000004</v>
      </c>
      <c r="J6" s="45">
        <v>0.92</v>
      </c>
      <c r="K6" s="45">
        <v>0.92500000000000004</v>
      </c>
      <c r="L6" s="45">
        <f>K6+0.3%</f>
        <v>0.92800000000000005</v>
      </c>
      <c r="M6" s="45">
        <f>L6+0.3%</f>
        <v>0.93100000000000005</v>
      </c>
      <c r="N6" s="45">
        <v>0.93100000000000005</v>
      </c>
      <c r="O6" s="45">
        <v>0.93100000000000005</v>
      </c>
      <c r="P6" s="44">
        <f>AVERAGE(C6:O6)</f>
        <v>0.91840135538898227</v>
      </c>
      <c r="R6" s="6">
        <v>0.85782027891819879</v>
      </c>
      <c r="S6" s="24" t="s">
        <v>61</v>
      </c>
      <c r="T6" s="69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70"/>
    </row>
    <row r="7" spans="1:35">
      <c r="A7" s="1"/>
      <c r="B7" s="46" t="s">
        <v>24</v>
      </c>
      <c r="C7" s="47">
        <f>C6-C5</f>
        <v>2.1000217327238335E-2</v>
      </c>
      <c r="D7" s="47">
        <f t="shared" ref="D7:F7" si="3">D6-D5</f>
        <v>-9.5381582930937903E-3</v>
      </c>
      <c r="E7" s="47">
        <f t="shared" si="3"/>
        <v>3.1027008523222266E-3</v>
      </c>
      <c r="F7" s="47">
        <f t="shared" si="3"/>
        <v>-1.3605442133826529E-2</v>
      </c>
      <c r="G7" s="47">
        <f>G6-G5</f>
        <v>-4.8553272402135361E-3</v>
      </c>
      <c r="H7" s="47">
        <f t="shared" ref="H7:O7" si="4">H6-H5</f>
        <v>-7.2598340965389641E-3</v>
      </c>
      <c r="I7" s="47">
        <f t="shared" si="4"/>
        <v>7.4266731535150843E-3</v>
      </c>
      <c r="J7" s="47">
        <f t="shared" si="4"/>
        <v>4.2894106934454612E-4</v>
      </c>
      <c r="K7" s="47">
        <f t="shared" si="4"/>
        <v>1.7434871223303672E-2</v>
      </c>
      <c r="L7" s="47">
        <f t="shared" si="4"/>
        <v>1.6435224645031554E-2</v>
      </c>
      <c r="M7" s="47">
        <f t="shared" si="4"/>
        <v>1.9435224645031557E-2</v>
      </c>
      <c r="N7" s="47">
        <f t="shared" si="4"/>
        <v>1.9435224645031557E-2</v>
      </c>
      <c r="O7" s="47">
        <f t="shared" si="4"/>
        <v>1.9435224645031557E-2</v>
      </c>
      <c r="P7" s="44">
        <f>(AVERAGE(C6:O6)-AVERAGE(C5:O5))</f>
        <v>6.8365800340139948E-3</v>
      </c>
      <c r="R7" s="9">
        <v>8.6620300193468447E-3</v>
      </c>
      <c r="S7" s="24" t="s">
        <v>62</v>
      </c>
      <c r="T7" s="69"/>
      <c r="U7" s="7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70"/>
    </row>
    <row r="8" spans="1:35">
      <c r="A8" s="1"/>
      <c r="B8" s="43" t="s">
        <v>26</v>
      </c>
      <c r="C8" s="91">
        <f>C7/3%*1%</f>
        <v>7.0000724424127796E-3</v>
      </c>
      <c r="D8" s="91">
        <f t="shared" ref="D8:O8" si="5">D7/3%*1%</f>
        <v>-3.1793860976979307E-3</v>
      </c>
      <c r="E8" s="91">
        <f t="shared" si="5"/>
        <v>1.0342336174407423E-3</v>
      </c>
      <c r="F8" s="91">
        <f t="shared" si="5"/>
        <v>-4.5351473779421765E-3</v>
      </c>
      <c r="G8" s="91">
        <f t="shared" si="5"/>
        <v>-1.6184424134045123E-3</v>
      </c>
      <c r="H8" s="91">
        <f t="shared" si="5"/>
        <v>-2.4199446988463214E-3</v>
      </c>
      <c r="I8" s="91">
        <f t="shared" si="5"/>
        <v>2.4755577178383614E-3</v>
      </c>
      <c r="J8" s="91">
        <f t="shared" si="5"/>
        <v>1.4298035644818205E-4</v>
      </c>
      <c r="K8" s="91">
        <f t="shared" si="5"/>
        <v>5.8116237411012239E-3</v>
      </c>
      <c r="L8" s="91">
        <f t="shared" si="5"/>
        <v>5.4784082150105187E-3</v>
      </c>
      <c r="M8" s="91">
        <f t="shared" si="5"/>
        <v>6.4784082150105195E-3</v>
      </c>
      <c r="N8" s="91">
        <f t="shared" si="5"/>
        <v>6.4784082150105195E-3</v>
      </c>
      <c r="O8" s="91">
        <f t="shared" si="5"/>
        <v>6.4784082150105195E-3</v>
      </c>
      <c r="P8" s="48">
        <f>P7/3%*1%</f>
        <v>2.2788600113379984E-3</v>
      </c>
      <c r="R8" s="10">
        <v>2.8873433397822819E-3</v>
      </c>
      <c r="S8" s="25" t="s">
        <v>63</v>
      </c>
      <c r="T8" s="69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72"/>
    </row>
    <row r="9" spans="1:35" ht="15" thickBot="1">
      <c r="A9" s="1"/>
      <c r="B9" s="49" t="s">
        <v>27</v>
      </c>
      <c r="C9" s="126">
        <f>C4*C8</f>
        <v>0.32412033527944684</v>
      </c>
      <c r="D9" s="126">
        <f t="shared" ref="D9:O9" si="6">D4*D8</f>
        <v>-0.17621610449923217</v>
      </c>
      <c r="E9" s="126">
        <f t="shared" si="6"/>
        <v>7.7372494023536686E-2</v>
      </c>
      <c r="F9" s="126">
        <f t="shared" si="6"/>
        <v>-0.31497693628240325</v>
      </c>
      <c r="G9" s="126">
        <f t="shared" si="6"/>
        <v>-0.1000846361413532</v>
      </c>
      <c r="H9" s="126">
        <f t="shared" si="6"/>
        <v>-0.15755966750628297</v>
      </c>
      <c r="I9" s="126">
        <f t="shared" si="6"/>
        <v>0.17212045458953645</v>
      </c>
      <c r="J9" s="126">
        <f t="shared" si="6"/>
        <v>9.2725054690245817E-3</v>
      </c>
      <c r="K9" s="126">
        <f t="shared" si="6"/>
        <v>0.3955506481249404</v>
      </c>
      <c r="L9" s="126">
        <f t="shared" si="6"/>
        <v>0.36834846232382151</v>
      </c>
      <c r="M9" s="126">
        <f t="shared" si="6"/>
        <v>0.44133570316656523</v>
      </c>
      <c r="N9" s="126">
        <f t="shared" si="6"/>
        <v>0.44738911134751419</v>
      </c>
      <c r="O9" s="126">
        <f t="shared" si="6"/>
        <v>0.47719769039757387</v>
      </c>
      <c r="P9" s="50">
        <f>SUM(C9:O9)</f>
        <v>1.9638700602926882</v>
      </c>
      <c r="R9" s="11">
        <v>2.0434363548562735</v>
      </c>
      <c r="S9" s="25" t="s">
        <v>64</v>
      </c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4"/>
    </row>
    <row r="10" spans="1:35">
      <c r="A10" s="1"/>
      <c r="B10" s="52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41"/>
      <c r="R10" s="11"/>
      <c r="S10" s="25" t="s">
        <v>65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4"/>
    </row>
    <row r="11" spans="1:35">
      <c r="A11" s="1"/>
      <c r="B11" s="42" t="s">
        <v>28</v>
      </c>
      <c r="C11" s="40">
        <v>16.687725945999937</v>
      </c>
      <c r="D11" s="40">
        <v>21.044335097600165</v>
      </c>
      <c r="E11" s="40">
        <v>19.192692221600467</v>
      </c>
      <c r="F11" s="40">
        <v>17.349963381999917</v>
      </c>
      <c r="G11" s="40">
        <v>18.43256232360045</v>
      </c>
      <c r="H11" s="40">
        <v>20.458995981199994</v>
      </c>
      <c r="I11" s="40">
        <v>18.540247145999984</v>
      </c>
      <c r="J11" s="40">
        <v>26.286149425999287</v>
      </c>
      <c r="K11" s="40">
        <v>20.259151142321645</v>
      </c>
      <c r="L11" s="40">
        <v>21.830264398757155</v>
      </c>
      <c r="M11" s="40">
        <v>21.685712421879412</v>
      </c>
      <c r="N11" s="40">
        <v>21.597717482572104</v>
      </c>
      <c r="O11" s="40">
        <v>24.187261465813744</v>
      </c>
      <c r="P11" s="41">
        <f t="shared" si="1"/>
        <v>267.55277843534424</v>
      </c>
      <c r="R11" s="2">
        <v>271.97577839532062</v>
      </c>
      <c r="S11" s="24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4"/>
    </row>
    <row r="12" spans="1:35">
      <c r="A12" s="1"/>
      <c r="B12" s="43">
        <v>2025</v>
      </c>
      <c r="C12" s="91">
        <v>0.94665010070635902</v>
      </c>
      <c r="D12" s="91">
        <v>0.96565539631620489</v>
      </c>
      <c r="E12" s="91">
        <v>0.96096313757905727</v>
      </c>
      <c r="F12" s="91">
        <v>0.95595495007528553</v>
      </c>
      <c r="G12" s="91">
        <v>0.96378875516163098</v>
      </c>
      <c r="H12" s="91">
        <v>0.96286388334092798</v>
      </c>
      <c r="I12" s="91">
        <v>0.94706641842649275</v>
      </c>
      <c r="J12" s="91">
        <v>0.95323258744324313</v>
      </c>
      <c r="K12" s="91">
        <v>0.9497902281197661</v>
      </c>
      <c r="L12" s="92">
        <v>0.9527902281197661</v>
      </c>
      <c r="M12" s="92">
        <v>0.9537902281197661</v>
      </c>
      <c r="N12" s="92">
        <v>0.9547902281197661</v>
      </c>
      <c r="O12" s="92">
        <v>0.95579022811976611</v>
      </c>
      <c r="P12" s="44">
        <f>AVERAGE(C12:O12)</f>
        <v>0.95562510535754108</v>
      </c>
      <c r="R12" s="6">
        <v>0.92402441400057667</v>
      </c>
      <c r="S12" s="24" t="s">
        <v>66</v>
      </c>
      <c r="T12" s="69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4"/>
    </row>
    <row r="13" spans="1:35">
      <c r="A13" s="1"/>
      <c r="B13" s="43">
        <v>2026</v>
      </c>
      <c r="C13" s="45">
        <f>AVERAGE(C12:E12)</f>
        <v>0.9577562115338738</v>
      </c>
      <c r="D13" s="45">
        <f>AVERAGE(D12:F12)</f>
        <v>0.9608578279901826</v>
      </c>
      <c r="E13" s="45">
        <f>D13+0.1%</f>
        <v>0.9618578279901826</v>
      </c>
      <c r="F13" s="45">
        <f t="shared" ref="F13" si="7">E13+0.1%</f>
        <v>0.9628578279901826</v>
      </c>
      <c r="G13" s="45">
        <v>0.9628578279901826</v>
      </c>
      <c r="H13" s="45">
        <v>0.9628578279901826</v>
      </c>
      <c r="I13" s="45">
        <v>0.9628578279901826</v>
      </c>
      <c r="J13" s="45">
        <v>0.96199999999999997</v>
      </c>
      <c r="K13" s="45">
        <v>0.96</v>
      </c>
      <c r="L13" s="45">
        <v>0.95499999999999996</v>
      </c>
      <c r="M13" s="45">
        <v>0.95499999999999996</v>
      </c>
      <c r="N13" s="45">
        <v>0.95499999999999996</v>
      </c>
      <c r="O13" s="45">
        <v>0.95499999999999996</v>
      </c>
      <c r="P13" s="44">
        <f>AVERAGE(C13:O13)</f>
        <v>0.95953101380576689</v>
      </c>
      <c r="R13" s="6">
        <v>0.9365898780474744</v>
      </c>
      <c r="S13" s="24" t="s">
        <v>67</v>
      </c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</row>
    <row r="14" spans="1:35">
      <c r="A14" s="1"/>
      <c r="B14" s="46" t="s">
        <v>24</v>
      </c>
      <c r="C14" s="47">
        <f>C13-C12</f>
        <v>1.1106110827514781E-2</v>
      </c>
      <c r="D14" s="47">
        <f t="shared" ref="D14:F14" si="8">D13-D12</f>
        <v>-4.7975683260222945E-3</v>
      </c>
      <c r="E14" s="47">
        <f t="shared" si="8"/>
        <v>8.9469041112533176E-4</v>
      </c>
      <c r="F14" s="47">
        <f t="shared" si="8"/>
        <v>6.9028779148970765E-3</v>
      </c>
      <c r="G14" s="47">
        <f>G13-G12</f>
        <v>-9.3092717144838133E-4</v>
      </c>
      <c r="H14" s="47">
        <f t="shared" ref="H14:O14" si="9">H13-H12</f>
        <v>-6.0553507453819932E-6</v>
      </c>
      <c r="I14" s="47">
        <f t="shared" si="9"/>
        <v>1.5791409563689851E-2</v>
      </c>
      <c r="J14" s="47">
        <f t="shared" si="9"/>
        <v>8.7674125567568373E-3</v>
      </c>
      <c r="K14" s="47">
        <f t="shared" si="9"/>
        <v>1.0209771880233864E-2</v>
      </c>
      <c r="L14" s="47">
        <f t="shared" si="9"/>
        <v>2.2097718802338573E-3</v>
      </c>
      <c r="M14" s="47">
        <f t="shared" si="9"/>
        <v>1.2097718802338564E-3</v>
      </c>
      <c r="N14" s="47">
        <f t="shared" si="9"/>
        <v>2.0977188023385551E-4</v>
      </c>
      <c r="O14" s="47">
        <f t="shared" si="9"/>
        <v>-7.9022811976614538E-4</v>
      </c>
      <c r="P14" s="44">
        <f>(AVERAGE(C13:O13)-AVERAGE(C12:O12))</f>
        <v>3.9059084482258033E-3</v>
      </c>
      <c r="R14" s="9">
        <v>1.2565464046897734E-2</v>
      </c>
      <c r="S14" s="24" t="s">
        <v>68</v>
      </c>
      <c r="T14" s="69"/>
      <c r="U14" s="69"/>
      <c r="V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</row>
    <row r="15" spans="1:35">
      <c r="A15" s="1"/>
      <c r="B15" s="43" t="s">
        <v>26</v>
      </c>
      <c r="C15" s="91">
        <f>C14/3%*1%</f>
        <v>3.7020369425049271E-3</v>
      </c>
      <c r="D15" s="91">
        <f t="shared" ref="D15:O15" si="10">D14/3%*1%</f>
        <v>-1.5991894420074315E-3</v>
      </c>
      <c r="E15" s="91">
        <f t="shared" si="10"/>
        <v>2.9823013704177725E-4</v>
      </c>
      <c r="F15" s="91">
        <f t="shared" si="10"/>
        <v>2.3009593049656924E-3</v>
      </c>
      <c r="G15" s="91">
        <f t="shared" si="10"/>
        <v>-3.1030905714946044E-4</v>
      </c>
      <c r="H15" s="91">
        <f t="shared" si="10"/>
        <v>-2.0184502484606646E-6</v>
      </c>
      <c r="I15" s="91">
        <f t="shared" si="10"/>
        <v>5.2638031878966176E-3</v>
      </c>
      <c r="J15" s="91">
        <f t="shared" si="10"/>
        <v>2.9224708522522791E-3</v>
      </c>
      <c r="K15" s="91">
        <f t="shared" si="10"/>
        <v>3.4032572934112881E-3</v>
      </c>
      <c r="L15" s="91">
        <f t="shared" si="10"/>
        <v>7.3659062674461917E-4</v>
      </c>
      <c r="M15" s="91">
        <f t="shared" si="10"/>
        <v>4.0325729341128547E-4</v>
      </c>
      <c r="N15" s="91">
        <f t="shared" si="10"/>
        <v>6.9923960077951846E-5</v>
      </c>
      <c r="O15" s="91">
        <f t="shared" si="10"/>
        <v>-2.6340937325538183E-4</v>
      </c>
      <c r="P15" s="48">
        <f>P14/3%*1%</f>
        <v>1.3019694827419346E-3</v>
      </c>
      <c r="R15" s="10">
        <v>4.1884880156325783E-3</v>
      </c>
      <c r="S15" s="25"/>
      <c r="T15" s="69"/>
    </row>
    <row r="16" spans="1:35" ht="15" thickBot="1">
      <c r="A16" s="1"/>
      <c r="B16" s="49" t="s">
        <v>27</v>
      </c>
      <c r="C16" s="126">
        <f>C11*C15</f>
        <v>6.1778577938489745E-2</v>
      </c>
      <c r="D16" s="126">
        <f t="shared" ref="D16:O16" si="11">D11*D15</f>
        <v>-3.3653878502148613E-2</v>
      </c>
      <c r="E16" s="126">
        <f t="shared" si="11"/>
        <v>5.7238392314485596E-3</v>
      </c>
      <c r="F16" s="126">
        <f t="shared" si="11"/>
        <v>3.9921559684626746E-2</v>
      </c>
      <c r="G16" s="126">
        <f t="shared" si="11"/>
        <v>-5.7197910354851236E-3</v>
      </c>
      <c r="H16" s="126">
        <f t="shared" si="11"/>
        <v>-4.1295465521508864E-5</v>
      </c>
      <c r="I16" s="126">
        <f t="shared" si="11"/>
        <v>9.7592212031505879E-2</v>
      </c>
      <c r="J16" s="126">
        <f t="shared" si="11"/>
        <v>7.682050551543089E-2</v>
      </c>
      <c r="K16" s="126">
        <f t="shared" si="11"/>
        <v>6.8947103883427771E-2</v>
      </c>
      <c r="L16" s="126">
        <f t="shared" si="11"/>
        <v>1.6079968135481279E-2</v>
      </c>
      <c r="M16" s="126">
        <f t="shared" si="11"/>
        <v>8.7449216969425845E-3</v>
      </c>
      <c r="N16" s="126">
        <f t="shared" si="11"/>
        <v>1.5101979350262546E-3</v>
      </c>
      <c r="O16" s="126">
        <f t="shared" si="11"/>
        <v>-6.3711513834740462E-3</v>
      </c>
      <c r="P16" s="50">
        <f>SUM(C16:O16)</f>
        <v>0.33133276966575048</v>
      </c>
      <c r="R16" s="11">
        <v>1.1094526439948855</v>
      </c>
      <c r="S16" s="25"/>
    </row>
    <row r="17" spans="1:35">
      <c r="A17" s="1"/>
      <c r="B17" s="52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51"/>
      <c r="R17" s="11"/>
      <c r="S17" s="25"/>
    </row>
    <row r="18" spans="1:35">
      <c r="A18" s="1"/>
      <c r="B18" s="42" t="s">
        <v>29</v>
      </c>
      <c r="C18" s="40">
        <v>1.3814048800000023</v>
      </c>
      <c r="D18" s="40">
        <v>1.7866292399999992</v>
      </c>
      <c r="E18" s="40">
        <v>1.5753869800000024</v>
      </c>
      <c r="F18" s="40">
        <v>1.7767256200000061</v>
      </c>
      <c r="G18" s="40">
        <v>2.0832839999999999</v>
      </c>
      <c r="H18" s="40">
        <v>2.6180760899999753</v>
      </c>
      <c r="I18" s="40">
        <v>1.8507770099999969</v>
      </c>
      <c r="J18" s="40">
        <v>2.3828421199999927</v>
      </c>
      <c r="K18" s="40">
        <v>2.2572428949661725</v>
      </c>
      <c r="L18" s="40">
        <v>1.8957111355691696</v>
      </c>
      <c r="M18" s="40">
        <v>1.9528138583904058</v>
      </c>
      <c r="N18" s="40">
        <v>1.9593381731746322</v>
      </c>
      <c r="O18" s="40">
        <v>2.1873554428222413</v>
      </c>
      <c r="P18" s="41">
        <f t="shared" si="1"/>
        <v>25.707587444922595</v>
      </c>
      <c r="R18" s="2">
        <v>31.62338336300003</v>
      </c>
      <c r="S18" s="24"/>
    </row>
    <row r="19" spans="1:35">
      <c r="A19" s="1"/>
      <c r="B19" s="43">
        <v>2025</v>
      </c>
      <c r="C19" s="91">
        <v>0.9673728746059238</v>
      </c>
      <c r="D19" s="91">
        <v>0.97521018102357404</v>
      </c>
      <c r="E19" s="91">
        <v>0.98071352910247356</v>
      </c>
      <c r="F19" s="91">
        <v>0.96829651075705292</v>
      </c>
      <c r="G19" s="91">
        <v>0.9624651139879602</v>
      </c>
      <c r="H19" s="91">
        <v>0.96798599591416112</v>
      </c>
      <c r="I19" s="91">
        <v>0.97108867790850539</v>
      </c>
      <c r="J19" s="91">
        <v>0.93533830719807598</v>
      </c>
      <c r="K19" s="91">
        <v>0.94386088960221126</v>
      </c>
      <c r="L19" s="92">
        <v>0.94599999999999995</v>
      </c>
      <c r="M19" s="92">
        <v>0.95</v>
      </c>
      <c r="N19" s="92">
        <v>0.95299999999999996</v>
      </c>
      <c r="O19" s="92">
        <v>0.95599999999999996</v>
      </c>
      <c r="P19" s="44">
        <f>AVERAGE(C19:O19)</f>
        <v>0.95979477539230273</v>
      </c>
      <c r="R19" s="6">
        <v>0.96514248061997554</v>
      </c>
      <c r="S19" s="24"/>
      <c r="T19" s="69"/>
      <c r="U19" s="69"/>
      <c r="V19" s="69"/>
      <c r="W19" s="75"/>
      <c r="X19" s="76"/>
      <c r="Y19" s="75"/>
      <c r="Z19" s="76"/>
      <c r="AA19" s="75"/>
      <c r="AB19" s="76"/>
      <c r="AC19" s="75"/>
      <c r="AD19" s="76"/>
      <c r="AE19" s="75"/>
      <c r="AF19" s="76"/>
      <c r="AG19" s="75"/>
      <c r="AH19" s="76"/>
      <c r="AI19" s="75"/>
    </row>
    <row r="20" spans="1:35">
      <c r="A20" s="1"/>
      <c r="B20" s="43">
        <v>2026</v>
      </c>
      <c r="C20" s="45">
        <v>0.95599999999999996</v>
      </c>
      <c r="D20" s="45">
        <v>0.96499999999999997</v>
      </c>
      <c r="E20" s="45">
        <v>0.96499999999999997</v>
      </c>
      <c r="F20" s="45">
        <v>0.96499999999999997</v>
      </c>
      <c r="G20" s="45">
        <v>0.96499999999999997</v>
      </c>
      <c r="H20" s="45">
        <v>0.96499999999999997</v>
      </c>
      <c r="I20" s="45">
        <f>H20+0.3%</f>
        <v>0.96799999999999997</v>
      </c>
      <c r="J20" s="45">
        <v>0.96799999999999997</v>
      </c>
      <c r="K20" s="45">
        <v>0.96499999999999997</v>
      </c>
      <c r="L20" s="45">
        <v>0.96499999999999997</v>
      </c>
      <c r="M20" s="45">
        <f t="shared" ref="M20:O20" si="12">L20+0.1%</f>
        <v>0.96599999999999997</v>
      </c>
      <c r="N20" s="45">
        <v>0.96599999999999997</v>
      </c>
      <c r="O20" s="45">
        <f t="shared" si="12"/>
        <v>0.96699999999999997</v>
      </c>
      <c r="P20" s="44">
        <f>AVERAGE(C20:O20)</f>
        <v>0.96507692307692305</v>
      </c>
      <c r="R20" s="6">
        <v>0.96844011567682742</v>
      </c>
      <c r="S20" s="24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</row>
    <row r="21" spans="1:35">
      <c r="A21" s="1"/>
      <c r="B21" s="46" t="s">
        <v>24</v>
      </c>
      <c r="C21" s="47">
        <f>C20-C19</f>
        <v>-1.1372874605923844E-2</v>
      </c>
      <c r="D21" s="47">
        <f t="shared" ref="D21:F21" si="13">D20-D19</f>
        <v>-1.0210181023574072E-2</v>
      </c>
      <c r="E21" s="47">
        <f t="shared" si="13"/>
        <v>-1.5713529102473589E-2</v>
      </c>
      <c r="F21" s="47">
        <f t="shared" si="13"/>
        <v>-3.2965107570529506E-3</v>
      </c>
      <c r="G21" s="47">
        <f>G20-G19</f>
        <v>2.534886012039772E-3</v>
      </c>
      <c r="H21" s="47">
        <f t="shared" ref="H21:O21" si="14">H20-H19</f>
        <v>-2.9859959141611547E-3</v>
      </c>
      <c r="I21" s="47">
        <f t="shared" si="14"/>
        <v>-3.0886779085054217E-3</v>
      </c>
      <c r="J21" s="47">
        <f t="shared" si="14"/>
        <v>3.2661692801923992E-2</v>
      </c>
      <c r="K21" s="47">
        <f t="shared" si="14"/>
        <v>2.1139110397788707E-2</v>
      </c>
      <c r="L21" s="47">
        <f t="shared" si="14"/>
        <v>1.9000000000000017E-2</v>
      </c>
      <c r="M21" s="47">
        <f t="shared" si="14"/>
        <v>1.6000000000000014E-2</v>
      </c>
      <c r="N21" s="47">
        <f t="shared" si="14"/>
        <v>1.3000000000000012E-2</v>
      </c>
      <c r="O21" s="47">
        <f t="shared" si="14"/>
        <v>1.100000000000001E-2</v>
      </c>
      <c r="P21" s="44">
        <f>(AVERAGE(C20:O20)-AVERAGE(C19:O19))</f>
        <v>5.2821476846203197E-3</v>
      </c>
      <c r="R21" s="9">
        <v>3.2976350568518775E-3</v>
      </c>
      <c r="S21" s="24"/>
      <c r="T21" s="69"/>
      <c r="U21" s="69"/>
      <c r="V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</row>
    <row r="22" spans="1:35">
      <c r="A22" s="1"/>
      <c r="B22" s="43" t="s">
        <v>26</v>
      </c>
      <c r="C22" s="91">
        <f>C21/3%*1%</f>
        <v>-3.7909582019746146E-3</v>
      </c>
      <c r="D22" s="91">
        <f t="shared" ref="D22:O22" si="15">D21/3%*1%</f>
        <v>-3.4033936745246907E-3</v>
      </c>
      <c r="E22" s="91">
        <f t="shared" si="15"/>
        <v>-5.237843034157863E-3</v>
      </c>
      <c r="F22" s="91">
        <f t="shared" si="15"/>
        <v>-1.0988369190176503E-3</v>
      </c>
      <c r="G22" s="91">
        <f t="shared" si="15"/>
        <v>8.4496200401325749E-4</v>
      </c>
      <c r="H22" s="91">
        <f t="shared" si="15"/>
        <v>-9.9533197138705165E-4</v>
      </c>
      <c r="I22" s="91">
        <f t="shared" si="15"/>
        <v>-1.0295593028351406E-3</v>
      </c>
      <c r="J22" s="91">
        <f t="shared" si="15"/>
        <v>1.0887230933974666E-2</v>
      </c>
      <c r="K22" s="91">
        <f t="shared" si="15"/>
        <v>7.0463701325962358E-3</v>
      </c>
      <c r="L22" s="91">
        <f t="shared" si="15"/>
        <v>6.3333333333333401E-3</v>
      </c>
      <c r="M22" s="91">
        <f t="shared" si="15"/>
        <v>5.3333333333333392E-3</v>
      </c>
      <c r="N22" s="91">
        <f t="shared" si="15"/>
        <v>4.3333333333333375E-3</v>
      </c>
      <c r="O22" s="91">
        <f t="shared" si="15"/>
        <v>3.6666666666666705E-3</v>
      </c>
      <c r="P22" s="48">
        <f>P21/3%*1%</f>
        <v>1.76071589487344E-3</v>
      </c>
      <c r="R22" s="10">
        <v>1.0992116856172927E-3</v>
      </c>
      <c r="S22" s="25"/>
      <c r="T22" s="69"/>
    </row>
    <row r="23" spans="1:35" ht="15" thickBot="1">
      <c r="A23" s="1"/>
      <c r="B23" s="49" t="s">
        <v>27</v>
      </c>
      <c r="C23" s="126">
        <f>C18*C22</f>
        <v>-5.2368481600837671E-3</v>
      </c>
      <c r="D23" s="126">
        <f t="shared" ref="D23:O23" si="16">D18*D22</f>
        <v>-6.0806026541368532E-3</v>
      </c>
      <c r="E23" s="126">
        <f t="shared" si="16"/>
        <v>-8.2516297192960046E-3</v>
      </c>
      <c r="F23" s="126">
        <f t="shared" si="16"/>
        <v>-1.9523317062205313E-3</v>
      </c>
      <c r="G23" s="126">
        <f t="shared" si="16"/>
        <v>1.7602958235687551E-3</v>
      </c>
      <c r="H23" s="126">
        <f t="shared" si="16"/>
        <v>-2.6058548359009794E-3</v>
      </c>
      <c r="I23" s="126">
        <f t="shared" si="16"/>
        <v>-1.905484688118903E-3</v>
      </c>
      <c r="J23" s="126">
        <f t="shared" si="16"/>
        <v>2.5942552439641695E-2</v>
      </c>
      <c r="K23" s="126">
        <f t="shared" si="16"/>
        <v>1.5905368917104701E-2</v>
      </c>
      <c r="L23" s="126">
        <f t="shared" si="16"/>
        <v>1.200617052527142E-2</v>
      </c>
      <c r="M23" s="126">
        <f t="shared" si="16"/>
        <v>1.0415007244748843E-2</v>
      </c>
      <c r="N23" s="126">
        <f t="shared" si="16"/>
        <v>8.4904654170900803E-3</v>
      </c>
      <c r="O23" s="126">
        <f t="shared" si="16"/>
        <v>8.0203032903482258E-3</v>
      </c>
      <c r="P23" s="50">
        <f>SUM(C23:O23)</f>
        <v>5.6507411894016681E-2</v>
      </c>
      <c r="R23" s="11">
        <v>1.8434381018884796E-2</v>
      </c>
      <c r="S23" s="25"/>
    </row>
    <row r="24" spans="1:35">
      <c r="A24" s="1"/>
      <c r="B24" s="52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51"/>
      <c r="R24" s="11"/>
      <c r="S24" s="25"/>
    </row>
    <row r="25" spans="1:35">
      <c r="A25" s="1"/>
      <c r="B25" s="42" t="s">
        <v>30</v>
      </c>
      <c r="C25" s="40">
        <v>2.3003901449999815</v>
      </c>
      <c r="D25" s="40">
        <v>5.0161624124999404</v>
      </c>
      <c r="E25" s="40">
        <v>4.4573875949999353</v>
      </c>
      <c r="F25" s="40">
        <v>3.2343846900000148</v>
      </c>
      <c r="G25" s="40">
        <v>3.3405015449999897</v>
      </c>
      <c r="H25" s="40">
        <v>2.9231173000000239</v>
      </c>
      <c r="I25" s="40">
        <v>3.2976599849999539</v>
      </c>
      <c r="J25" s="40">
        <v>3.1006531899999494</v>
      </c>
      <c r="K25" s="40">
        <v>3.3186862988548951</v>
      </c>
      <c r="L25" s="40">
        <v>3.3208183882759692</v>
      </c>
      <c r="M25" s="40">
        <v>3.3552319921953484</v>
      </c>
      <c r="N25" s="40">
        <v>3.3592201402065411</v>
      </c>
      <c r="O25" s="40">
        <v>3.7562307152434173</v>
      </c>
      <c r="P25" s="41">
        <f>SUM(C25:O25)</f>
        <v>44.780444397275957</v>
      </c>
      <c r="R25" s="2">
        <v>79.287300598949045</v>
      </c>
      <c r="S25" s="26"/>
      <c r="T25" s="73"/>
      <c r="U25" s="73"/>
      <c r="V25" s="73"/>
      <c r="W25" s="73"/>
      <c r="X25" s="73"/>
      <c r="Y25" s="73"/>
      <c r="Z25" s="73"/>
      <c r="AA25" s="73"/>
      <c r="AB25" s="77"/>
      <c r="AC25" s="77"/>
      <c r="AD25" s="77"/>
      <c r="AE25" s="77"/>
      <c r="AF25" s="77"/>
      <c r="AG25" s="78"/>
      <c r="AH25" s="78"/>
      <c r="AI25" s="78"/>
    </row>
    <row r="26" spans="1:35">
      <c r="A26" s="1"/>
      <c r="B26" s="43">
        <v>2025</v>
      </c>
      <c r="C26" s="91">
        <v>0.94513999581852648</v>
      </c>
      <c r="D26" s="91">
        <v>0.96550199967563144</v>
      </c>
      <c r="E26" s="91">
        <v>0.97521144401466664</v>
      </c>
      <c r="F26" s="91">
        <v>0.99320983225405346</v>
      </c>
      <c r="G26" s="91">
        <v>0.97895626385460111</v>
      </c>
      <c r="H26" s="91">
        <v>0.94698976337510488</v>
      </c>
      <c r="I26" s="91">
        <v>0.97433669940789325</v>
      </c>
      <c r="J26" s="91">
        <v>0.98224387253271173</v>
      </c>
      <c r="K26" s="91">
        <v>0.9778896006261778</v>
      </c>
      <c r="L26" s="92">
        <v>0.97</v>
      </c>
      <c r="M26" s="92">
        <v>0.97</v>
      </c>
      <c r="N26" s="92">
        <v>0.97</v>
      </c>
      <c r="O26" s="92">
        <v>0.97</v>
      </c>
      <c r="P26" s="44">
        <f t="shared" ref="P26:P27" si="17">AVERAGE(C26:O26)</f>
        <v>0.97072919011995151</v>
      </c>
      <c r="R26" s="6">
        <v>0.93608487484086722</v>
      </c>
      <c r="S26" s="24"/>
      <c r="T26" s="69"/>
      <c r="U26" s="69"/>
      <c r="V26" s="69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</row>
    <row r="27" spans="1:35">
      <c r="A27" s="1"/>
      <c r="B27" s="43">
        <v>2026</v>
      </c>
      <c r="C27" s="45">
        <v>0.97</v>
      </c>
      <c r="D27" s="45">
        <v>0.97</v>
      </c>
      <c r="E27" s="45">
        <v>0.97</v>
      </c>
      <c r="F27" s="45">
        <v>0.98</v>
      </c>
      <c r="G27" s="45">
        <v>0.97</v>
      </c>
      <c r="H27" s="45">
        <v>0.97</v>
      </c>
      <c r="I27" s="45">
        <v>0.97</v>
      </c>
      <c r="J27" s="45">
        <v>0.98</v>
      </c>
      <c r="K27" s="45">
        <v>0.98</v>
      </c>
      <c r="L27" s="45">
        <v>0.97</v>
      </c>
      <c r="M27" s="45">
        <v>0.97</v>
      </c>
      <c r="N27" s="45">
        <v>0.97</v>
      </c>
      <c r="O27" s="45">
        <v>0.97</v>
      </c>
      <c r="P27" s="44">
        <f t="shared" si="17"/>
        <v>0.97230769230769254</v>
      </c>
      <c r="R27" s="6">
        <v>0.94045773472390204</v>
      </c>
      <c r="S27" s="24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</row>
    <row r="28" spans="1:35">
      <c r="A28" s="1"/>
      <c r="B28" s="46" t="s">
        <v>24</v>
      </c>
      <c r="C28" s="47">
        <f t="shared" ref="C28:O28" si="18">C27-C26</f>
        <v>2.4860004181473494E-2</v>
      </c>
      <c r="D28" s="47">
        <f t="shared" si="18"/>
        <v>4.498000324368534E-3</v>
      </c>
      <c r="E28" s="47">
        <f t="shared" si="18"/>
        <v>-5.2114440146666663E-3</v>
      </c>
      <c r="F28" s="47">
        <f t="shared" si="18"/>
        <v>-1.3209832254053477E-2</v>
      </c>
      <c r="G28" s="47">
        <f t="shared" si="18"/>
        <v>-8.9562638546011319E-3</v>
      </c>
      <c r="H28" s="47">
        <f t="shared" si="18"/>
        <v>2.3010236624895097E-2</v>
      </c>
      <c r="I28" s="47">
        <f t="shared" si="18"/>
        <v>-4.3366994078932741E-3</v>
      </c>
      <c r="J28" s="47">
        <f t="shared" si="18"/>
        <v>-2.2438725327117437E-3</v>
      </c>
      <c r="K28" s="47">
        <f t="shared" si="18"/>
        <v>2.1103993738221805E-3</v>
      </c>
      <c r="L28" s="47">
        <f t="shared" si="18"/>
        <v>0</v>
      </c>
      <c r="M28" s="47">
        <f t="shared" si="18"/>
        <v>0</v>
      </c>
      <c r="N28" s="47">
        <f t="shared" si="18"/>
        <v>0</v>
      </c>
      <c r="O28" s="47">
        <f t="shared" si="18"/>
        <v>0</v>
      </c>
      <c r="P28" s="44">
        <f>(AVERAGE(C27:O27)-AVERAGE(C26:O26))</f>
        <v>1.5785021877410266E-3</v>
      </c>
      <c r="R28" s="9">
        <v>4.3728598830348187E-3</v>
      </c>
      <c r="S28" s="24"/>
      <c r="T28" s="69"/>
      <c r="U28" s="69"/>
      <c r="V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</row>
    <row r="29" spans="1:35">
      <c r="A29" s="1"/>
      <c r="B29" s="43" t="s">
        <v>26</v>
      </c>
      <c r="C29" s="91">
        <f>C28/3%*1%</f>
        <v>8.2866680604911647E-3</v>
      </c>
      <c r="D29" s="91">
        <f t="shared" ref="D29:O29" si="19">D28/3%*1%</f>
        <v>1.4993334414561783E-3</v>
      </c>
      <c r="E29" s="91">
        <f t="shared" si="19"/>
        <v>-1.7371480048888888E-3</v>
      </c>
      <c r="F29" s="91">
        <f t="shared" si="19"/>
        <v>-4.4032774180178258E-3</v>
      </c>
      <c r="G29" s="91">
        <f t="shared" si="19"/>
        <v>-2.9854212848670443E-3</v>
      </c>
      <c r="H29" s="91">
        <f t="shared" si="19"/>
        <v>7.670078874965033E-3</v>
      </c>
      <c r="I29" s="91">
        <f t="shared" si="19"/>
        <v>-1.4455664692977583E-3</v>
      </c>
      <c r="J29" s="91">
        <f t="shared" si="19"/>
        <v>-7.4795751090391471E-4</v>
      </c>
      <c r="K29" s="91">
        <f t="shared" si="19"/>
        <v>7.0346645794072682E-4</v>
      </c>
      <c r="L29" s="91">
        <f t="shared" si="19"/>
        <v>0</v>
      </c>
      <c r="M29" s="91">
        <f t="shared" si="19"/>
        <v>0</v>
      </c>
      <c r="N29" s="91">
        <f t="shared" si="19"/>
        <v>0</v>
      </c>
      <c r="O29" s="91">
        <f t="shared" si="19"/>
        <v>0</v>
      </c>
      <c r="P29" s="48">
        <f>P28/3%*1%</f>
        <v>5.2616739591367556E-4</v>
      </c>
      <c r="R29" s="10">
        <v>1.4576199610116065E-3</v>
      </c>
      <c r="S29" s="25"/>
      <c r="T29" s="69"/>
    </row>
    <row r="30" spans="1:35" ht="15" thickBot="1">
      <c r="A30" s="1"/>
      <c r="B30" s="49" t="s">
        <v>27</v>
      </c>
      <c r="C30" s="126">
        <f t="shared" ref="C30:O30" si="20">C9*C29</f>
        <v>2.6858776301158798E-3</v>
      </c>
      <c r="D30" s="126">
        <f t="shared" si="20"/>
        <v>-2.642066983988353E-4</v>
      </c>
      <c r="E30" s="126">
        <f t="shared" si="20"/>
        <v>-1.3440747362626423E-4</v>
      </c>
      <c r="F30" s="126">
        <f t="shared" si="20"/>
        <v>1.3869308307287458E-3</v>
      </c>
      <c r="G30" s="126">
        <f t="shared" si="20"/>
        <v>2.9879480302456927E-4</v>
      </c>
      <c r="H30" s="126">
        <f t="shared" si="20"/>
        <v>-1.2084950772864556E-3</v>
      </c>
      <c r="I30" s="126">
        <f t="shared" si="20"/>
        <v>-2.4881155783492136E-4</v>
      </c>
      <c r="J30" s="126">
        <f t="shared" si="20"/>
        <v>-6.9354401104545625E-6</v>
      </c>
      <c r="K30" s="126">
        <f t="shared" si="20"/>
        <v>2.7825661337261062E-4</v>
      </c>
      <c r="L30" s="126">
        <f t="shared" si="20"/>
        <v>0</v>
      </c>
      <c r="M30" s="126">
        <f t="shared" si="20"/>
        <v>0</v>
      </c>
      <c r="N30" s="126">
        <f t="shared" si="20"/>
        <v>0</v>
      </c>
      <c r="O30" s="126">
        <f t="shared" si="20"/>
        <v>0</v>
      </c>
      <c r="P30" s="50">
        <f>SUM(C30:O30)</f>
        <v>2.7870036299848747E-3</v>
      </c>
      <c r="R30" s="11">
        <v>-4.2808380058643822E-3</v>
      </c>
      <c r="S30" s="25"/>
    </row>
    <row r="31" spans="1:35">
      <c r="A31" s="1"/>
      <c r="B31" s="52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51"/>
      <c r="R31" s="11"/>
      <c r="S31" s="25"/>
    </row>
    <row r="32" spans="1:35">
      <c r="A32" s="1"/>
      <c r="B32" s="42" t="s">
        <v>31</v>
      </c>
      <c r="C32" s="40">
        <v>28.433637372099817</v>
      </c>
      <c r="D32" s="40">
        <v>40.999208012598181</v>
      </c>
      <c r="E32" s="40">
        <v>35.908954412099447</v>
      </c>
      <c r="F32" s="40">
        <v>38.870193268699914</v>
      </c>
      <c r="G32" s="40">
        <v>35.932463353900971</v>
      </c>
      <c r="H32" s="40">
        <v>40.500234349297507</v>
      </c>
      <c r="I32" s="40">
        <v>35.010930294200712</v>
      </c>
      <c r="J32" s="40">
        <v>44.11155601939771</v>
      </c>
      <c r="K32" s="40">
        <v>37.879638781695299</v>
      </c>
      <c r="L32" s="40">
        <v>40.77279466024963</v>
      </c>
      <c r="M32" s="40">
        <v>41.031889217156873</v>
      </c>
      <c r="N32" s="40">
        <v>40.159569590276313</v>
      </c>
      <c r="O32" s="40">
        <v>45.850369585749135</v>
      </c>
      <c r="P32" s="41">
        <f>SUM(C32:O32)</f>
        <v>505.46143891742145</v>
      </c>
      <c r="R32" s="2">
        <v>384.76255112458927</v>
      </c>
      <c r="S32" s="26"/>
      <c r="T32" s="73"/>
      <c r="U32" s="73"/>
      <c r="V32" s="73"/>
      <c r="W32" s="73"/>
      <c r="X32" s="73"/>
      <c r="Y32" s="73"/>
      <c r="Z32" s="73"/>
      <c r="AA32" s="73"/>
      <c r="AB32" s="77"/>
      <c r="AC32" s="77"/>
      <c r="AD32" s="77"/>
      <c r="AE32" s="77"/>
      <c r="AF32" s="77"/>
      <c r="AG32" s="78"/>
      <c r="AH32" s="78"/>
      <c r="AI32" s="78"/>
    </row>
    <row r="33" spans="1:35">
      <c r="A33" s="1"/>
      <c r="B33" s="43">
        <v>2025</v>
      </c>
      <c r="C33" s="91">
        <v>0.9740695999137845</v>
      </c>
      <c r="D33" s="91">
        <v>0.98634344587469225</v>
      </c>
      <c r="E33" s="91">
        <v>0.98313423729947569</v>
      </c>
      <c r="F33" s="91">
        <v>0.9926077548784078</v>
      </c>
      <c r="G33" s="91">
        <v>0.99382309693184068</v>
      </c>
      <c r="H33" s="91">
        <v>0.97910478950937274</v>
      </c>
      <c r="I33" s="91">
        <v>0.98975589505435591</v>
      </c>
      <c r="J33" s="91">
        <v>0.99151619891346499</v>
      </c>
      <c r="K33" s="91">
        <v>0.99564891984824677</v>
      </c>
      <c r="L33" s="92">
        <v>0.98499999999999999</v>
      </c>
      <c r="M33" s="92">
        <v>0.98499999999999999</v>
      </c>
      <c r="N33" s="92">
        <v>0.98499999999999999</v>
      </c>
      <c r="O33" s="92">
        <v>0.98499999999999999</v>
      </c>
      <c r="P33" s="44">
        <f>AVERAGE(C33:O33)</f>
        <v>0.98661568755566453</v>
      </c>
      <c r="Q33" s="16"/>
      <c r="R33" s="6">
        <v>0.97405289381367821</v>
      </c>
      <c r="S33" s="24"/>
      <c r="T33" s="69"/>
      <c r="U33" s="69"/>
      <c r="V33" s="69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</row>
    <row r="34" spans="1:35">
      <c r="A34" s="1"/>
      <c r="B34" s="43">
        <v>2026</v>
      </c>
      <c r="C34" s="45">
        <f>C33</f>
        <v>0.9740695999137845</v>
      </c>
      <c r="D34" s="45">
        <v>0.98</v>
      </c>
      <c r="E34" s="45">
        <f t="shared" ref="E34:I34" si="21">D34+0.1%</f>
        <v>0.98099999999999998</v>
      </c>
      <c r="F34" s="45">
        <v>0.99</v>
      </c>
      <c r="G34" s="45">
        <f t="shared" si="21"/>
        <v>0.99099999999999999</v>
      </c>
      <c r="H34" s="45">
        <f t="shared" si="21"/>
        <v>0.99199999999999999</v>
      </c>
      <c r="I34" s="45">
        <f t="shared" si="21"/>
        <v>0.99299999999999999</v>
      </c>
      <c r="J34" s="45">
        <v>0.99</v>
      </c>
      <c r="K34" s="45">
        <v>0.99</v>
      </c>
      <c r="L34" s="45">
        <v>0.99</v>
      </c>
      <c r="M34" s="45">
        <v>0.98499999999999999</v>
      </c>
      <c r="N34" s="45">
        <v>0.98499999999999999</v>
      </c>
      <c r="O34" s="45">
        <v>0.98499999999999999</v>
      </c>
      <c r="P34" s="44">
        <f>AVERAGE(C34:O34)</f>
        <v>0.98662073845490639</v>
      </c>
      <c r="R34" s="6">
        <v>0.97405289381367821</v>
      </c>
      <c r="S34" s="24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</row>
    <row r="35" spans="1:35">
      <c r="A35" s="1"/>
      <c r="B35" s="46" t="s">
        <v>24</v>
      </c>
      <c r="C35" s="47">
        <f>C34-C33</f>
        <v>0</v>
      </c>
      <c r="D35" s="47">
        <f t="shared" ref="D35:F35" si="22">D34-D33</f>
        <v>-6.3434458746922662E-3</v>
      </c>
      <c r="E35" s="47">
        <f t="shared" si="22"/>
        <v>-2.1342372994757053E-3</v>
      </c>
      <c r="F35" s="47">
        <f t="shared" si="22"/>
        <v>-2.6077548784078086E-3</v>
      </c>
      <c r="G35" s="47">
        <f>G34-G33</f>
        <v>-2.8230969318406851E-3</v>
      </c>
      <c r="H35" s="47">
        <f t="shared" ref="H35:O35" si="23">H34-H33</f>
        <v>1.2895210490627251E-2</v>
      </c>
      <c r="I35" s="47">
        <f t="shared" si="23"/>
        <v>3.2441049456440885E-3</v>
      </c>
      <c r="J35" s="47">
        <f t="shared" si="23"/>
        <v>-1.5161989134649945E-3</v>
      </c>
      <c r="K35" s="47">
        <f t="shared" si="23"/>
        <v>-5.6489198482467806E-3</v>
      </c>
      <c r="L35" s="47">
        <f t="shared" si="23"/>
        <v>5.0000000000000044E-3</v>
      </c>
      <c r="M35" s="47">
        <f t="shared" si="23"/>
        <v>0</v>
      </c>
      <c r="N35" s="47">
        <f t="shared" si="23"/>
        <v>0</v>
      </c>
      <c r="O35" s="47">
        <f t="shared" si="23"/>
        <v>0</v>
      </c>
      <c r="P35" s="44">
        <f>(AVERAGE(C34:O34)-AVERAGE(C33:O33))</f>
        <v>5.0508992418540899E-6</v>
      </c>
      <c r="R35" s="9">
        <v>0</v>
      </c>
      <c r="S35" s="24"/>
      <c r="T35" s="69"/>
      <c r="U35" s="69"/>
      <c r="V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</row>
    <row r="36" spans="1:35">
      <c r="A36" s="1"/>
      <c r="B36" s="43" t="s">
        <v>26</v>
      </c>
      <c r="C36" s="91">
        <f>C35/3%*1%</f>
        <v>0</v>
      </c>
      <c r="D36" s="91">
        <f t="shared" ref="D36:O36" si="24">D35/3%*1%</f>
        <v>-2.1144819582307557E-3</v>
      </c>
      <c r="E36" s="91">
        <f t="shared" si="24"/>
        <v>-7.114124331585685E-4</v>
      </c>
      <c r="F36" s="91">
        <f t="shared" si="24"/>
        <v>-8.6925162613593621E-4</v>
      </c>
      <c r="G36" s="91">
        <f t="shared" si="24"/>
        <v>-9.4103231061356185E-4</v>
      </c>
      <c r="H36" s="91">
        <f t="shared" si="24"/>
        <v>4.2984034968757507E-3</v>
      </c>
      <c r="I36" s="91">
        <f t="shared" si="24"/>
        <v>1.0813683152146962E-3</v>
      </c>
      <c r="J36" s="91">
        <f t="shared" si="24"/>
        <v>-5.0539963782166486E-4</v>
      </c>
      <c r="K36" s="91">
        <f t="shared" si="24"/>
        <v>-1.8829732827489272E-3</v>
      </c>
      <c r="L36" s="91">
        <f t="shared" si="24"/>
        <v>1.6666666666666683E-3</v>
      </c>
      <c r="M36" s="91">
        <f t="shared" si="24"/>
        <v>0</v>
      </c>
      <c r="N36" s="91">
        <f t="shared" si="24"/>
        <v>0</v>
      </c>
      <c r="O36" s="91">
        <f t="shared" si="24"/>
        <v>0</v>
      </c>
      <c r="P36" s="48">
        <f>P35/3%*1%</f>
        <v>1.68363308061803E-6</v>
      </c>
      <c r="R36" s="10">
        <v>0</v>
      </c>
      <c r="S36" s="25"/>
      <c r="T36" s="69"/>
    </row>
    <row r="37" spans="1:35" ht="15" thickBot="1">
      <c r="A37" s="1"/>
      <c r="B37" s="49" t="s">
        <v>27</v>
      </c>
      <c r="C37" s="126">
        <f>C32*C36</f>
        <v>0</v>
      </c>
      <c r="D37" s="126">
        <f t="shared" ref="D37:O37" si="25">D32*D36</f>
        <v>-8.6692085644388697E-2</v>
      </c>
      <c r="E37" s="126">
        <f t="shared" si="25"/>
        <v>-2.5546076630491781E-2</v>
      </c>
      <c r="F37" s="126">
        <f t="shared" si="25"/>
        <v>-3.3787978707035524E-2</v>
      </c>
      <c r="G37" s="126">
        <f t="shared" si="25"/>
        <v>-3.3813609015958569E-2</v>
      </c>
      <c r="H37" s="126">
        <f t="shared" si="25"/>
        <v>0.17408634895130781</v>
      </c>
      <c r="I37" s="126">
        <f t="shared" si="25"/>
        <v>3.7859710706338992E-2</v>
      </c>
      <c r="J37" s="126">
        <f t="shared" si="25"/>
        <v>-2.2293964435953682E-2</v>
      </c>
      <c r="K37" s="126">
        <f t="shared" si="25"/>
        <v>-7.1326347786112368E-2</v>
      </c>
      <c r="L37" s="126">
        <f t="shared" si="25"/>
        <v>6.7954657767082788E-2</v>
      </c>
      <c r="M37" s="126">
        <f t="shared" si="25"/>
        <v>0</v>
      </c>
      <c r="N37" s="126">
        <f t="shared" si="25"/>
        <v>0</v>
      </c>
      <c r="O37" s="126">
        <f t="shared" si="25"/>
        <v>0</v>
      </c>
      <c r="P37" s="50">
        <f>SUM(C37:O37)</f>
        <v>6.4406552047889601E-3</v>
      </c>
      <c r="R37" s="11">
        <v>0</v>
      </c>
      <c r="S37" s="25"/>
    </row>
    <row r="38" spans="1:35">
      <c r="A38" s="1"/>
      <c r="B38" s="52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51"/>
      <c r="R38" s="11"/>
      <c r="S38" s="25"/>
    </row>
    <row r="39" spans="1:35">
      <c r="A39" s="1"/>
      <c r="B39" s="42" t="s">
        <v>32</v>
      </c>
      <c r="C39" s="40">
        <v>5.4517427999999999</v>
      </c>
      <c r="D39" s="40">
        <v>7.3736218499999993</v>
      </c>
      <c r="E39" s="40">
        <v>9.0104763000000005</v>
      </c>
      <c r="F39" s="40">
        <v>7.3855634999999999</v>
      </c>
      <c r="G39" s="40">
        <v>7.7377366500000004</v>
      </c>
      <c r="H39" s="40">
        <v>7.9792692000000001</v>
      </c>
      <c r="I39" s="40">
        <v>7.0107534000000005</v>
      </c>
      <c r="J39" s="40">
        <v>6.8866192499999999</v>
      </c>
      <c r="K39" s="40">
        <v>7.3742182500000002</v>
      </c>
      <c r="L39" s="40">
        <v>8.0054257500000006</v>
      </c>
      <c r="M39" s="40">
        <v>8.1697654499999999</v>
      </c>
      <c r="N39" s="40">
        <v>8.3236334999999997</v>
      </c>
      <c r="O39" s="40">
        <v>8.9844457500000008</v>
      </c>
      <c r="P39" s="41">
        <f>SUM(C39:O39)</f>
        <v>99.69327165</v>
      </c>
      <c r="R39" s="2">
        <v>83.439636028756254</v>
      </c>
      <c r="S39" s="25"/>
    </row>
    <row r="40" spans="1:35">
      <c r="A40" s="1"/>
      <c r="B40" s="43">
        <v>2025</v>
      </c>
      <c r="C40" s="91">
        <v>0.86996254928874961</v>
      </c>
      <c r="D40" s="91">
        <v>0.89374870668586381</v>
      </c>
      <c r="E40" s="91">
        <v>0.87842734069851114</v>
      </c>
      <c r="F40" s="91">
        <v>0.92795792235981356</v>
      </c>
      <c r="G40" s="91">
        <v>0.95050578249153261</v>
      </c>
      <c r="H40" s="91">
        <v>0.94758159445609325</v>
      </c>
      <c r="I40" s="91">
        <v>0.9474525707319752</v>
      </c>
      <c r="J40" s="91">
        <v>0.96047774336977432</v>
      </c>
      <c r="K40" s="91">
        <v>0.94275334620137863</v>
      </c>
      <c r="L40" s="92">
        <v>0.94</v>
      </c>
      <c r="M40" s="92">
        <v>0.94</v>
      </c>
      <c r="N40" s="92">
        <v>0.94</v>
      </c>
      <c r="O40" s="92">
        <v>0.94</v>
      </c>
      <c r="P40" s="44">
        <f>AVERAGE(C40:O40)</f>
        <v>0.92914365817566857</v>
      </c>
      <c r="R40" s="6">
        <v>0.80670786645405435</v>
      </c>
      <c r="S40" s="24"/>
      <c r="T40" s="69"/>
      <c r="U40" s="69"/>
      <c r="V40" s="69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</row>
    <row r="41" spans="1:35">
      <c r="A41" s="1"/>
      <c r="B41" s="43">
        <v>2026</v>
      </c>
      <c r="C41" s="45">
        <v>0.94</v>
      </c>
      <c r="D41" s="45">
        <f>C41+0.1%</f>
        <v>0.94099999999999995</v>
      </c>
      <c r="E41" s="45">
        <f t="shared" ref="E41:K41" si="26">D41+0.1%</f>
        <v>0.94199999999999995</v>
      </c>
      <c r="F41" s="45">
        <f t="shared" si="26"/>
        <v>0.94299999999999995</v>
      </c>
      <c r="G41" s="45">
        <f t="shared" si="26"/>
        <v>0.94399999999999995</v>
      </c>
      <c r="H41" s="45">
        <f>G41+0.1%</f>
        <v>0.94499999999999995</v>
      </c>
      <c r="I41" s="45">
        <f t="shared" si="26"/>
        <v>0.94599999999999995</v>
      </c>
      <c r="J41" s="45">
        <f>I41+0.1%</f>
        <v>0.94699999999999995</v>
      </c>
      <c r="K41" s="45">
        <f t="shared" si="26"/>
        <v>0.94799999999999995</v>
      </c>
      <c r="L41" s="45">
        <v>0.94499999999999995</v>
      </c>
      <c r="M41" s="45">
        <v>0.94499999999999995</v>
      </c>
      <c r="N41" s="45">
        <v>0.94499999999999995</v>
      </c>
      <c r="O41" s="45">
        <v>0.94499999999999995</v>
      </c>
      <c r="P41" s="44">
        <f>AVERAGE(C41:O41)</f>
        <v>0.94430769230769229</v>
      </c>
      <c r="R41" s="6">
        <v>0.84999999999999976</v>
      </c>
      <c r="S41" s="24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</row>
    <row r="42" spans="1:35">
      <c r="A42" s="1"/>
      <c r="B42" s="46" t="s">
        <v>24</v>
      </c>
      <c r="C42" s="47">
        <f>C41-C40</f>
        <v>7.0037450711250337E-2</v>
      </c>
      <c r="D42" s="47">
        <f t="shared" ref="D42:F42" si="27">D41-D40</f>
        <v>4.7251293314136134E-2</v>
      </c>
      <c r="E42" s="47">
        <f t="shared" si="27"/>
        <v>6.357265930148881E-2</v>
      </c>
      <c r="F42" s="47">
        <f t="shared" si="27"/>
        <v>1.5042077640186391E-2</v>
      </c>
      <c r="G42" s="47">
        <f>G41-G40</f>
        <v>-6.5057824915326634E-3</v>
      </c>
      <c r="H42" s="47">
        <f t="shared" ref="H42:O42" si="28">H41-H40</f>
        <v>-2.5815944560932946E-3</v>
      </c>
      <c r="I42" s="47">
        <f t="shared" si="28"/>
        <v>-1.4525707319752446E-3</v>
      </c>
      <c r="J42" s="47">
        <f t="shared" si="28"/>
        <v>-1.3477743369774364E-2</v>
      </c>
      <c r="K42" s="47">
        <f t="shared" si="28"/>
        <v>5.2466537986213257E-3</v>
      </c>
      <c r="L42" s="47">
        <f t="shared" si="28"/>
        <v>5.0000000000000044E-3</v>
      </c>
      <c r="M42" s="47">
        <f t="shared" si="28"/>
        <v>5.0000000000000044E-3</v>
      </c>
      <c r="N42" s="47">
        <f t="shared" si="28"/>
        <v>5.0000000000000044E-3</v>
      </c>
      <c r="O42" s="47">
        <f t="shared" si="28"/>
        <v>5.0000000000000044E-3</v>
      </c>
      <c r="P42" s="44">
        <f>(AVERAGE(C41:O41)-AVERAGE(C40:O40))</f>
        <v>1.5164034132023718E-2</v>
      </c>
      <c r="R42" s="9">
        <v>4.329213354594541E-2</v>
      </c>
      <c r="S42" s="24"/>
      <c r="T42" s="69"/>
      <c r="U42" s="69"/>
      <c r="V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</row>
    <row r="43" spans="1:35">
      <c r="A43" s="1"/>
      <c r="B43" s="43" t="s">
        <v>26</v>
      </c>
      <c r="C43" s="91">
        <f>C42/3%*1%</f>
        <v>2.3345816903750115E-2</v>
      </c>
      <c r="D43" s="91">
        <f t="shared" ref="D43:O43" si="29">D42/3%*1%</f>
        <v>1.5750431104712047E-2</v>
      </c>
      <c r="E43" s="91">
        <f t="shared" si="29"/>
        <v>2.1190886433829603E-2</v>
      </c>
      <c r="F43" s="91">
        <f t="shared" si="29"/>
        <v>5.0140258800621309E-3</v>
      </c>
      <c r="G43" s="91">
        <f t="shared" si="29"/>
        <v>-2.1685941638442214E-3</v>
      </c>
      <c r="H43" s="91">
        <f t="shared" si="29"/>
        <v>-8.6053148536443169E-4</v>
      </c>
      <c r="I43" s="91">
        <f t="shared" si="29"/>
        <v>-4.8419024399174826E-4</v>
      </c>
      <c r="J43" s="91">
        <f t="shared" si="29"/>
        <v>-4.4925811232581214E-3</v>
      </c>
      <c r="K43" s="91">
        <f t="shared" si="29"/>
        <v>1.7488845995404421E-3</v>
      </c>
      <c r="L43" s="91">
        <f t="shared" si="29"/>
        <v>1.6666666666666683E-3</v>
      </c>
      <c r="M43" s="91">
        <f t="shared" si="29"/>
        <v>1.6666666666666683E-3</v>
      </c>
      <c r="N43" s="91">
        <f t="shared" si="29"/>
        <v>1.6666666666666683E-3</v>
      </c>
      <c r="O43" s="91">
        <f t="shared" si="29"/>
        <v>1.6666666666666683E-3</v>
      </c>
      <c r="P43" s="48">
        <f>P42/3%*1%</f>
        <v>5.0546780440079066E-3</v>
      </c>
      <c r="R43" s="10">
        <v>1.4430711181981803E-2</v>
      </c>
      <c r="S43" s="25"/>
      <c r="T43" s="69"/>
    </row>
    <row r="44" spans="1:35" ht="15" thickBot="1">
      <c r="A44" s="1"/>
      <c r="B44" s="49" t="s">
        <v>27</v>
      </c>
      <c r="C44" s="126">
        <f t="shared" ref="C44:O44" si="30">C39*C43</f>
        <v>0.12727538921513798</v>
      </c>
      <c r="D44" s="126">
        <f t="shared" si="30"/>
        <v>0.11613772294062437</v>
      </c>
      <c r="E44" s="126">
        <f t="shared" si="30"/>
        <v>0.19093997998801318</v>
      </c>
      <c r="F44" s="126">
        <f t="shared" si="30"/>
        <v>3.7031406527842252E-2</v>
      </c>
      <c r="G44" s="126">
        <f t="shared" si="30"/>
        <v>-1.6780010540553537E-2</v>
      </c>
      <c r="H44" s="126">
        <f t="shared" si="30"/>
        <v>-6.8664123767986605E-3</v>
      </c>
      <c r="I44" s="126">
        <f t="shared" si="30"/>
        <v>-3.3945383993119788E-3</v>
      </c>
      <c r="J44" s="126">
        <f t="shared" si="30"/>
        <v>-3.0938695645616E-2</v>
      </c>
      <c r="K44" s="126">
        <f t="shared" si="30"/>
        <v>1.289665673107507E-2</v>
      </c>
      <c r="L44" s="126">
        <f t="shared" si="30"/>
        <v>1.3342376250000013E-2</v>
      </c>
      <c r="M44" s="126">
        <f t="shared" si="30"/>
        <v>1.3616275750000012E-2</v>
      </c>
      <c r="N44" s="126">
        <f t="shared" si="30"/>
        <v>1.3872722500000012E-2</v>
      </c>
      <c r="O44" s="126">
        <f t="shared" si="30"/>
        <v>1.4974076250000017E-2</v>
      </c>
      <c r="P44" s="50">
        <f>SUM(C44:O44)</f>
        <v>0.48210694919041269</v>
      </c>
      <c r="R44" s="11">
        <v>1.1141758085759468</v>
      </c>
      <c r="S44" s="25"/>
    </row>
    <row r="45" spans="1:35">
      <c r="A45" s="1"/>
      <c r="B45" s="52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51"/>
      <c r="R45" s="53"/>
      <c r="S45" s="25"/>
    </row>
    <row r="46" spans="1:35" ht="15" customHeight="1">
      <c r="A46" s="1"/>
      <c r="B46" s="42" t="s">
        <v>33</v>
      </c>
      <c r="C46" s="40">
        <v>32.82180777090116</v>
      </c>
      <c r="D46" s="40">
        <v>36.276238093799108</v>
      </c>
      <c r="E46" s="40">
        <v>39.048873061196318</v>
      </c>
      <c r="F46" s="40">
        <v>44.920593496497567</v>
      </c>
      <c r="G46" s="40">
        <v>43.309303288496771</v>
      </c>
      <c r="H46" s="40">
        <v>41.395160402995415</v>
      </c>
      <c r="I46" s="40">
        <v>45.060969202499386</v>
      </c>
      <c r="J46" s="40">
        <v>42.93872612549918</v>
      </c>
      <c r="K46" s="40">
        <v>40.25582113888445</v>
      </c>
      <c r="L46" s="40">
        <v>39.806582233043926</v>
      </c>
      <c r="M46" s="40">
        <v>39.496145073267932</v>
      </c>
      <c r="N46" s="40">
        <v>39.365065815499683</v>
      </c>
      <c r="O46" s="40">
        <v>42.814800347624519</v>
      </c>
      <c r="P46" s="41">
        <f>SUM(C46:O46)</f>
        <v>527.51008605020547</v>
      </c>
      <c r="R46" s="12"/>
      <c r="S46"/>
    </row>
    <row r="47" spans="1:35" ht="15" customHeight="1">
      <c r="A47" s="1"/>
      <c r="B47" s="43">
        <v>2025</v>
      </c>
      <c r="C47" s="91">
        <v>0.91484665080965522</v>
      </c>
      <c r="D47" s="91">
        <v>0.93518026207225624</v>
      </c>
      <c r="E47" s="91">
        <v>0.93506461743477298</v>
      </c>
      <c r="F47" s="91">
        <v>0.94317542011704947</v>
      </c>
      <c r="G47" s="91">
        <v>0.94332624809318311</v>
      </c>
      <c r="H47" s="91">
        <v>0.945636787733943</v>
      </c>
      <c r="I47" s="91">
        <v>0.9296820386251089</v>
      </c>
      <c r="J47" s="91">
        <v>0.91040869799388302</v>
      </c>
      <c r="K47" s="91">
        <v>0.92516611315228425</v>
      </c>
      <c r="L47" s="92">
        <v>0.93</v>
      </c>
      <c r="M47" s="92">
        <v>0.93</v>
      </c>
      <c r="N47" s="92">
        <v>0.93</v>
      </c>
      <c r="O47" s="92">
        <v>0.93</v>
      </c>
      <c r="P47" s="44">
        <f>AVERAGE(C47:O47)</f>
        <v>0.93096052584862587</v>
      </c>
      <c r="R47" s="17">
        <v>0.90488210668144831</v>
      </c>
      <c r="S47" s="24"/>
      <c r="T47" s="69"/>
      <c r="U47" s="69"/>
      <c r="V47" s="69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</row>
    <row r="48" spans="1:35" ht="15" customHeight="1">
      <c r="A48" s="1"/>
      <c r="B48" s="43">
        <v>2026</v>
      </c>
      <c r="C48" s="45">
        <f>C47</f>
        <v>0.91484665080965522</v>
      </c>
      <c r="D48" s="45">
        <v>0.94</v>
      </c>
      <c r="E48" s="45">
        <v>0.94</v>
      </c>
      <c r="F48" s="45">
        <v>0.94</v>
      </c>
      <c r="G48" s="45">
        <v>0.94</v>
      </c>
      <c r="H48" s="45">
        <v>0.94</v>
      </c>
      <c r="I48" s="45">
        <f>H48+0.5%</f>
        <v>0.94499999999999995</v>
      </c>
      <c r="J48" s="45">
        <v>0.94499999999999995</v>
      </c>
      <c r="K48" s="45">
        <v>0.94499999999999995</v>
      </c>
      <c r="L48" s="45">
        <v>0.94599999999999995</v>
      </c>
      <c r="M48" s="45">
        <v>0.94599999999999995</v>
      </c>
      <c r="N48" s="45">
        <v>0.94</v>
      </c>
      <c r="O48" s="45">
        <v>0.94</v>
      </c>
      <c r="P48" s="44">
        <f>AVERAGE(C48:O48)</f>
        <v>0.94014205006228113</v>
      </c>
      <c r="R48" s="17">
        <v>0.90913899964608114</v>
      </c>
      <c r="S48" s="24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</row>
    <row r="49" spans="1:35" ht="15" customHeight="1">
      <c r="A49" s="1"/>
      <c r="B49" s="46" t="s">
        <v>24</v>
      </c>
      <c r="C49" s="47">
        <f>C48-C47</f>
        <v>0</v>
      </c>
      <c r="D49" s="47">
        <f t="shared" ref="D49:F49" si="31">D48-D47</f>
        <v>4.8197379277437058E-3</v>
      </c>
      <c r="E49" s="47">
        <f t="shared" si="31"/>
        <v>4.9353825652269645E-3</v>
      </c>
      <c r="F49" s="47">
        <f t="shared" si="31"/>
        <v>-3.1754201170495211E-3</v>
      </c>
      <c r="G49" s="47">
        <f>G48-G47</f>
        <v>-3.3262480931831595E-3</v>
      </c>
      <c r="H49" s="47">
        <f t="shared" ref="H49:O49" si="32">H48-H47</f>
        <v>-5.6367877339430494E-3</v>
      </c>
      <c r="I49" s="47">
        <f t="shared" si="32"/>
        <v>1.5317961374891054E-2</v>
      </c>
      <c r="J49" s="47">
        <f t="shared" si="32"/>
        <v>3.4591302006116931E-2</v>
      </c>
      <c r="K49" s="47">
        <f t="shared" si="32"/>
        <v>1.9833886847715698E-2</v>
      </c>
      <c r="L49" s="47">
        <f t="shared" si="32"/>
        <v>1.5999999999999903E-2</v>
      </c>
      <c r="M49" s="47">
        <f t="shared" si="32"/>
        <v>1.5999999999999903E-2</v>
      </c>
      <c r="N49" s="47">
        <f t="shared" si="32"/>
        <v>9.9999999999998979E-3</v>
      </c>
      <c r="O49" s="47">
        <f t="shared" si="32"/>
        <v>9.9999999999998979E-3</v>
      </c>
      <c r="P49" s="44">
        <f>(AVERAGE(C48:O48)-AVERAGE(C47:O47))</f>
        <v>9.1815242136552566E-3</v>
      </c>
      <c r="R49" s="9">
        <v>4.2568929646328302E-3</v>
      </c>
      <c r="S49" s="24"/>
      <c r="T49" s="69"/>
      <c r="U49" s="69"/>
      <c r="V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</row>
    <row r="50" spans="1:35" ht="15" customHeight="1">
      <c r="A50" s="1"/>
      <c r="B50" s="43" t="s">
        <v>26</v>
      </c>
      <c r="C50" s="91">
        <f>C49/3%*1%</f>
        <v>0</v>
      </c>
      <c r="D50" s="91">
        <f t="shared" ref="D50:O50" si="33">D49/3%*1%</f>
        <v>1.6065793092479019E-3</v>
      </c>
      <c r="E50" s="91">
        <f t="shared" si="33"/>
        <v>1.6451275217423218E-3</v>
      </c>
      <c r="F50" s="91">
        <f t="shared" si="33"/>
        <v>-1.0584733723498405E-3</v>
      </c>
      <c r="G50" s="91">
        <f t="shared" si="33"/>
        <v>-1.1087493643943866E-3</v>
      </c>
      <c r="H50" s="91">
        <f t="shared" si="33"/>
        <v>-1.8789292446476833E-3</v>
      </c>
      <c r="I50" s="91">
        <f t="shared" si="33"/>
        <v>5.1059871249636846E-3</v>
      </c>
      <c r="J50" s="91">
        <f t="shared" si="33"/>
        <v>1.1530434002038979E-2</v>
      </c>
      <c r="K50" s="91">
        <f t="shared" si="33"/>
        <v>6.6112956159052327E-3</v>
      </c>
      <c r="L50" s="91">
        <f t="shared" si="33"/>
        <v>5.3333333333333011E-3</v>
      </c>
      <c r="M50" s="91">
        <f t="shared" si="33"/>
        <v>5.3333333333333011E-3</v>
      </c>
      <c r="N50" s="91">
        <f t="shared" si="33"/>
        <v>3.3333333333332993E-3</v>
      </c>
      <c r="O50" s="91">
        <f t="shared" si="33"/>
        <v>3.3333333333332993E-3</v>
      </c>
      <c r="P50" s="48">
        <f>P49/3%*1%</f>
        <v>3.0605080712184192E-3</v>
      </c>
      <c r="R50" s="10">
        <v>1.4189643215442769E-3</v>
      </c>
      <c r="S50" s="25"/>
      <c r="T50" s="69"/>
    </row>
    <row r="51" spans="1:35" ht="15" customHeight="1" thickBot="1">
      <c r="A51" s="1"/>
      <c r="B51" s="49" t="s">
        <v>27</v>
      </c>
      <c r="C51" s="126">
        <f>C46*C50</f>
        <v>0</v>
      </c>
      <c r="D51" s="126">
        <f t="shared" ref="D51:O51" si="34">D46*D50</f>
        <v>5.8280653538848197E-2</v>
      </c>
      <c r="E51" s="126">
        <f t="shared" si="34"/>
        <v>6.4240375765996408E-2</v>
      </c>
      <c r="F51" s="126">
        <f t="shared" si="34"/>
        <v>-4.7547252086194092E-2</v>
      </c>
      <c r="G51" s="126">
        <f t="shared" si="34"/>
        <v>-4.8019162493484514E-2</v>
      </c>
      <c r="H51" s="126">
        <f t="shared" si="34"/>
        <v>-7.7778577468069862E-2</v>
      </c>
      <c r="I51" s="126">
        <f t="shared" si="34"/>
        <v>0.23008072858634698</v>
      </c>
      <c r="J51" s="126">
        <f t="shared" si="34"/>
        <v>0.4951021477216952</v>
      </c>
      <c r="K51" s="126">
        <f t="shared" si="34"/>
        <v>0.26614313381017196</v>
      </c>
      <c r="L51" s="126">
        <f t="shared" si="34"/>
        <v>0.21230177190956631</v>
      </c>
      <c r="M51" s="126">
        <f t="shared" si="34"/>
        <v>0.2106461070574277</v>
      </c>
      <c r="N51" s="126">
        <f t="shared" si="34"/>
        <v>0.13121688605166426</v>
      </c>
      <c r="O51" s="126">
        <f t="shared" si="34"/>
        <v>0.14271600115874694</v>
      </c>
      <c r="P51" s="50">
        <f>SUM(C51:O51)</f>
        <v>1.6373828135527155</v>
      </c>
      <c r="R51" s="11">
        <v>0.51978337702590571</v>
      </c>
      <c r="S51"/>
    </row>
    <row r="52" spans="1:35" ht="15" customHeight="1">
      <c r="A52" s="1"/>
      <c r="B52" s="52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51"/>
      <c r="R52" s="11"/>
      <c r="S52"/>
    </row>
    <row r="53" spans="1:35" ht="15" customHeight="1">
      <c r="A53" s="1"/>
      <c r="B53" s="42" t="s">
        <v>34</v>
      </c>
      <c r="C53" s="40">
        <v>1.2796233948000062</v>
      </c>
      <c r="D53" s="40">
        <v>1.9942819986000142</v>
      </c>
      <c r="E53" s="40">
        <v>2.4101429957999261</v>
      </c>
      <c r="F53" s="40">
        <v>2.0148292254000078</v>
      </c>
      <c r="G53" s="40">
        <v>1.9597580994000134</v>
      </c>
      <c r="H53" s="40">
        <v>1.9246805748000211</v>
      </c>
      <c r="I53" s="40">
        <v>2.4632245914000346</v>
      </c>
      <c r="J53" s="40">
        <v>2.7495525653998638</v>
      </c>
      <c r="K53" s="40">
        <v>1.9697564563094785</v>
      </c>
      <c r="L53" s="40">
        <v>2.0328975714707056</v>
      </c>
      <c r="M53" s="40">
        <v>2.1528512412933405</v>
      </c>
      <c r="N53" s="40">
        <v>2.0909383352934565</v>
      </c>
      <c r="O53" s="40">
        <v>2.427026749238093</v>
      </c>
      <c r="P53" s="41">
        <f>SUM(C53:O53)</f>
        <v>27.469563799204959</v>
      </c>
      <c r="R53" s="2">
        <v>23.352935926669009</v>
      </c>
      <c r="S53" s="12"/>
      <c r="T53" s="73"/>
      <c r="U53" s="73"/>
      <c r="V53" s="73"/>
      <c r="W53" s="73"/>
      <c r="X53" s="73"/>
      <c r="Y53" s="77"/>
      <c r="Z53" s="73"/>
      <c r="AA53" s="73"/>
      <c r="AB53" s="77"/>
      <c r="AC53" s="77"/>
      <c r="AD53" s="77"/>
      <c r="AE53" s="77"/>
      <c r="AF53" s="78"/>
      <c r="AG53" s="73"/>
      <c r="AH53" s="78"/>
    </row>
    <row r="54" spans="1:35" ht="15" customHeight="1">
      <c r="A54" s="1"/>
      <c r="B54" s="43">
        <v>2025</v>
      </c>
      <c r="C54" s="91">
        <v>0.94431602649552748</v>
      </c>
      <c r="D54" s="91">
        <v>0.96978240365005342</v>
      </c>
      <c r="E54" s="91">
        <v>0.9708175596597256</v>
      </c>
      <c r="F54" s="91">
        <v>0.96563861328020206</v>
      </c>
      <c r="G54" s="91">
        <v>0.96421206112606772</v>
      </c>
      <c r="H54" s="91">
        <v>0.97475565269184006</v>
      </c>
      <c r="I54" s="91">
        <v>0.89923044442272204</v>
      </c>
      <c r="J54" s="91">
        <v>0.92174286194504984</v>
      </c>
      <c r="K54" s="91">
        <v>0.93838763896655186</v>
      </c>
      <c r="L54" s="92">
        <v>0.92</v>
      </c>
      <c r="M54" s="92">
        <v>0.92</v>
      </c>
      <c r="N54" s="92">
        <v>0.92</v>
      </c>
      <c r="O54" s="92">
        <v>0.92</v>
      </c>
      <c r="P54" s="44">
        <f>AVERAGE(C54:O54)</f>
        <v>0.94068332786444142</v>
      </c>
      <c r="R54" s="17">
        <v>0.92685563766285561</v>
      </c>
      <c r="S54" s="24"/>
      <c r="T54" s="69"/>
      <c r="U54" s="69"/>
      <c r="V54" s="69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</row>
    <row r="55" spans="1:35" ht="15" customHeight="1">
      <c r="A55" s="1"/>
      <c r="B55" s="43">
        <v>2026</v>
      </c>
      <c r="C55" s="45">
        <v>0.93</v>
      </c>
      <c r="D55" s="45">
        <v>0.94</v>
      </c>
      <c r="E55" s="45">
        <v>0.96</v>
      </c>
      <c r="F55" s="45">
        <v>0.97</v>
      </c>
      <c r="G55" s="45">
        <v>0.97</v>
      </c>
      <c r="H55" s="45">
        <v>0.96499999999999997</v>
      </c>
      <c r="I55" s="45">
        <v>0.94</v>
      </c>
      <c r="J55" s="45">
        <v>0.92</v>
      </c>
      <c r="K55" s="45">
        <v>0.94</v>
      </c>
      <c r="L55" s="45">
        <v>0.93</v>
      </c>
      <c r="M55" s="45">
        <v>0.96</v>
      </c>
      <c r="N55" s="45">
        <f t="shared" ref="N55:O55" si="35">M55+0.1%</f>
        <v>0.96099999999999997</v>
      </c>
      <c r="O55" s="45">
        <f t="shared" si="35"/>
        <v>0.96199999999999997</v>
      </c>
      <c r="P55" s="44">
        <f>AVERAGE(C55:O55)</f>
        <v>0.94984615384615367</v>
      </c>
      <c r="R55" s="17">
        <v>0.93670274160548161</v>
      </c>
      <c r="S55" s="24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</row>
    <row r="56" spans="1:35" ht="15" customHeight="1">
      <c r="A56" s="1"/>
      <c r="B56" s="46" t="s">
        <v>24</v>
      </c>
      <c r="C56" s="47">
        <f>C55-C54</f>
        <v>-1.4316026495527434E-2</v>
      </c>
      <c r="D56" s="47">
        <f t="shared" ref="D56:F56" si="36">D55-D54</f>
        <v>-2.9782403650053468E-2</v>
      </c>
      <c r="E56" s="47">
        <f t="shared" si="36"/>
        <v>-1.081755965972564E-2</v>
      </c>
      <c r="F56" s="47">
        <f t="shared" si="36"/>
        <v>4.3613867197979106E-3</v>
      </c>
      <c r="G56" s="47">
        <f>G55-G54</f>
        <v>5.7879388739322524E-3</v>
      </c>
      <c r="H56" s="47">
        <f t="shared" ref="H56:O56" si="37">H55-H54</f>
        <v>-9.7556526918400888E-3</v>
      </c>
      <c r="I56" s="47">
        <f t="shared" si="37"/>
        <v>4.0769555577277905E-2</v>
      </c>
      <c r="J56" s="47">
        <f t="shared" si="37"/>
        <v>-1.7428619450498006E-3</v>
      </c>
      <c r="K56" s="47">
        <f t="shared" si="37"/>
        <v>1.6123610334480842E-3</v>
      </c>
      <c r="L56" s="47">
        <f t="shared" si="37"/>
        <v>1.0000000000000009E-2</v>
      </c>
      <c r="M56" s="47">
        <f t="shared" si="37"/>
        <v>3.9999999999999925E-2</v>
      </c>
      <c r="N56" s="47">
        <f t="shared" si="37"/>
        <v>4.0999999999999925E-2</v>
      </c>
      <c r="O56" s="47">
        <f t="shared" si="37"/>
        <v>4.1999999999999926E-2</v>
      </c>
      <c r="P56" s="44">
        <f>(AVERAGE(C55:O55)-AVERAGE(C54:O54))</f>
        <v>9.1628259817122526E-3</v>
      </c>
      <c r="R56" s="9">
        <v>9.847103942626001E-3</v>
      </c>
      <c r="S56" s="24"/>
      <c r="T56" s="69"/>
      <c r="U56" s="69"/>
      <c r="V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</row>
    <row r="57" spans="1:35" ht="15" customHeight="1">
      <c r="A57" s="1"/>
      <c r="B57" s="43" t="s">
        <v>26</v>
      </c>
      <c r="C57" s="91">
        <f>C56/3%*1%</f>
        <v>-4.772008831842478E-3</v>
      </c>
      <c r="D57" s="91">
        <f t="shared" ref="D57:O57" si="38">D56/3%*1%</f>
        <v>-9.9274678833511567E-3</v>
      </c>
      <c r="E57" s="91">
        <f t="shared" si="38"/>
        <v>-3.6058532199085471E-3</v>
      </c>
      <c r="F57" s="91">
        <f t="shared" si="38"/>
        <v>1.4537955732659702E-3</v>
      </c>
      <c r="G57" s="91">
        <f t="shared" si="38"/>
        <v>1.9293129579774177E-3</v>
      </c>
      <c r="H57" s="91">
        <f t="shared" si="38"/>
        <v>-3.2518842306133635E-3</v>
      </c>
      <c r="I57" s="91">
        <f t="shared" si="38"/>
        <v>1.3589851859092637E-2</v>
      </c>
      <c r="J57" s="91">
        <f t="shared" si="38"/>
        <v>-5.8095398168326695E-4</v>
      </c>
      <c r="K57" s="91">
        <f t="shared" si="38"/>
        <v>5.3745367781602815E-4</v>
      </c>
      <c r="L57" s="91">
        <f t="shared" si="38"/>
        <v>3.3333333333333366E-3</v>
      </c>
      <c r="M57" s="91">
        <f t="shared" si="38"/>
        <v>1.3333333333333308E-2</v>
      </c>
      <c r="N57" s="91">
        <f t="shared" si="38"/>
        <v>1.3666666666666643E-2</v>
      </c>
      <c r="O57" s="91">
        <f t="shared" si="38"/>
        <v>1.3999999999999978E-2</v>
      </c>
      <c r="P57" s="48">
        <f>P56/3%*1%</f>
        <v>3.0542753272374181E-3</v>
      </c>
      <c r="R57" s="10">
        <v>3.2823679808753337E-3</v>
      </c>
      <c r="S57" s="25"/>
      <c r="T57" s="69"/>
    </row>
    <row r="58" spans="1:35" ht="15" customHeight="1" thickBot="1">
      <c r="A58" s="86"/>
      <c r="B58" s="52" t="s">
        <v>27</v>
      </c>
      <c r="C58" s="127">
        <f>C53*C57</f>
        <v>-6.1063741414178838E-3</v>
      </c>
      <c r="D58" s="127">
        <f t="shared" ref="D58:O58" si="39">D53*D57</f>
        <v>-1.9798170491446998E-2</v>
      </c>
      <c r="E58" s="127">
        <f t="shared" si="39"/>
        <v>-8.6906218818451949E-3</v>
      </c>
      <c r="F58" s="127">
        <f t="shared" si="39"/>
        <v>2.9291498087734348E-3</v>
      </c>
      <c r="G58" s="127">
        <f t="shared" si="39"/>
        <v>3.780986695673642E-3</v>
      </c>
      <c r="H58" s="127">
        <f t="shared" si="39"/>
        <v>-6.2588384101600527E-3</v>
      </c>
      <c r="I58" s="127">
        <f t="shared" si="39"/>
        <v>3.3474857292800461E-2</v>
      </c>
      <c r="J58" s="127">
        <f t="shared" si="39"/>
        <v>-1.5973635107164922E-3</v>
      </c>
      <c r="K58" s="127">
        <f t="shared" si="39"/>
        <v>1.0586528518453959E-3</v>
      </c>
      <c r="L58" s="127">
        <f t="shared" si="39"/>
        <v>6.7763252382356922E-3</v>
      </c>
      <c r="M58" s="127">
        <f t="shared" si="39"/>
        <v>2.8704683217244484E-2</v>
      </c>
      <c r="N58" s="127">
        <f t="shared" si="39"/>
        <v>2.8576157249010522E-2</v>
      </c>
      <c r="O58" s="127">
        <f t="shared" si="39"/>
        <v>3.3978374489333246E-2</v>
      </c>
      <c r="P58" s="80">
        <f>SUM(C58:O58)</f>
        <v>9.6827818407330263E-2</v>
      </c>
      <c r="R58" s="11">
        <v>7.7351793407018213E-2</v>
      </c>
      <c r="S58"/>
    </row>
    <row r="59" spans="1:35" ht="15" thickBot="1">
      <c r="A59" s="121" t="s">
        <v>20</v>
      </c>
      <c r="B59" s="122" t="s">
        <v>35</v>
      </c>
      <c r="C59" s="123">
        <f>C60+C67+C74</f>
        <v>182.10104663339973</v>
      </c>
      <c r="D59" s="123">
        <f t="shared" ref="D59:O59" si="40">D60+D67+D74</f>
        <v>226.60196934540096</v>
      </c>
      <c r="E59" s="123">
        <f t="shared" si="40"/>
        <v>194.49481158200058</v>
      </c>
      <c r="F59" s="123">
        <f t="shared" si="40"/>
        <v>202.76771108166926</v>
      </c>
      <c r="G59" s="123">
        <f t="shared" si="40"/>
        <v>232.26497435900026</v>
      </c>
      <c r="H59" s="123">
        <f t="shared" si="40"/>
        <v>227.07490894220174</v>
      </c>
      <c r="I59" s="123">
        <f t="shared" si="40"/>
        <v>226.77591418560047</v>
      </c>
      <c r="J59" s="123">
        <f t="shared" si="40"/>
        <v>210.02440633438889</v>
      </c>
      <c r="K59" s="123">
        <f t="shared" si="40"/>
        <v>231.56400000233859</v>
      </c>
      <c r="L59" s="123">
        <f t="shared" si="40"/>
        <v>204.9293552386788</v>
      </c>
      <c r="M59" s="123">
        <f t="shared" si="40"/>
        <v>202.56125105850191</v>
      </c>
      <c r="N59" s="123">
        <f t="shared" si="40"/>
        <v>248.5820421415728</v>
      </c>
      <c r="O59" s="123">
        <f t="shared" si="40"/>
        <v>203.75907411235301</v>
      </c>
      <c r="P59" s="124">
        <f>SUM(C59:O59)</f>
        <v>2793.5014650171074</v>
      </c>
      <c r="S59" s="25"/>
    </row>
    <row r="60" spans="1:35">
      <c r="A60" s="87"/>
      <c r="B60" s="42" t="s">
        <v>36</v>
      </c>
      <c r="C60" s="40">
        <v>29.585105773199981</v>
      </c>
      <c r="D60" s="40">
        <v>27.348945941999961</v>
      </c>
      <c r="E60" s="40">
        <v>29.649945204599927</v>
      </c>
      <c r="F60" s="40">
        <v>29.313505078248674</v>
      </c>
      <c r="G60" s="40">
        <v>30.658312838999937</v>
      </c>
      <c r="H60" s="40">
        <v>35.182366952399953</v>
      </c>
      <c r="I60" s="40">
        <v>30.80715854219995</v>
      </c>
      <c r="J60" s="40">
        <v>31.527281398199971</v>
      </c>
      <c r="K60" s="40">
        <v>32.333999999495944</v>
      </c>
      <c r="L60" s="40">
        <v>35.832667020748993</v>
      </c>
      <c r="M60" s="40">
        <v>34.123309292147276</v>
      </c>
      <c r="N60" s="40">
        <v>30.788057677536653</v>
      </c>
      <c r="O60" s="40">
        <v>35.497201190048067</v>
      </c>
      <c r="P60" s="41">
        <f t="shared" ref="P60:P74" si="41">SUM(C60:O60)</f>
        <v>412.64785690982524</v>
      </c>
      <c r="R60">
        <v>404.88900000000012</v>
      </c>
      <c r="S60" s="25"/>
    </row>
    <row r="61" spans="1:35">
      <c r="A61" s="1"/>
      <c r="B61" s="43">
        <v>2025</v>
      </c>
      <c r="C61" s="91">
        <v>0.84101486099496092</v>
      </c>
      <c r="D61" s="91">
        <v>0.88797434469962144</v>
      </c>
      <c r="E61" s="91">
        <v>0.91651874902829888</v>
      </c>
      <c r="F61" s="91">
        <v>0.91521133881252548</v>
      </c>
      <c r="G61" s="91">
        <v>0.92659320488910923</v>
      </c>
      <c r="H61" s="91">
        <v>0.94604118011423388</v>
      </c>
      <c r="I61" s="91">
        <v>0.92386254070968066</v>
      </c>
      <c r="J61" s="91">
        <v>0.88957560938058877</v>
      </c>
      <c r="K61" s="91">
        <v>0.90330457610033399</v>
      </c>
      <c r="L61" s="92">
        <v>0.90630457610033399</v>
      </c>
      <c r="M61" s="92">
        <v>0.90630457610033399</v>
      </c>
      <c r="N61" s="92">
        <v>0.90630457610033399</v>
      </c>
      <c r="O61" s="92">
        <v>0.90630457610033399</v>
      </c>
      <c r="P61" s="44">
        <f>AVERAGE(C61:O61)</f>
        <v>0.90579343916389921</v>
      </c>
      <c r="R61">
        <v>0.82871117306859565</v>
      </c>
      <c r="S61" s="24"/>
      <c r="T61" s="69"/>
      <c r="U61" s="69"/>
      <c r="V61" s="69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</row>
    <row r="62" spans="1:35">
      <c r="A62" s="1"/>
      <c r="B62" s="43">
        <v>2026</v>
      </c>
      <c r="C62" s="45">
        <f>M61</f>
        <v>0.90630457610033399</v>
      </c>
      <c r="D62" s="45">
        <v>0.91</v>
      </c>
      <c r="E62" s="45">
        <f t="shared" ref="E62:K62" si="42">D62+0.1%</f>
        <v>0.91100000000000003</v>
      </c>
      <c r="F62" s="45">
        <f t="shared" si="42"/>
        <v>0.91200000000000003</v>
      </c>
      <c r="G62" s="45">
        <f t="shared" si="42"/>
        <v>0.91300000000000003</v>
      </c>
      <c r="H62" s="45">
        <f t="shared" si="42"/>
        <v>0.91400000000000003</v>
      </c>
      <c r="I62" s="45">
        <f>H62+0.1%</f>
        <v>0.91500000000000004</v>
      </c>
      <c r="J62" s="45">
        <v>0.92</v>
      </c>
      <c r="K62" s="45">
        <f t="shared" si="42"/>
        <v>0.92100000000000004</v>
      </c>
      <c r="L62" s="45">
        <f t="shared" ref="L62" si="43">K62+0.3%</f>
        <v>0.92400000000000004</v>
      </c>
      <c r="M62" s="45">
        <v>0.92400000000000004</v>
      </c>
      <c r="N62" s="45">
        <v>0.92400000000000004</v>
      </c>
      <c r="O62" s="45">
        <v>0.92400000000000004</v>
      </c>
      <c r="P62" s="44">
        <f>AVERAGE(C62:O62)</f>
        <v>0.91679265970002544</v>
      </c>
      <c r="R62" s="32">
        <v>0.86884615384615382</v>
      </c>
      <c r="S62" s="24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</row>
    <row r="63" spans="1:35">
      <c r="A63" s="1"/>
      <c r="B63" s="46" t="s">
        <v>24</v>
      </c>
      <c r="C63" s="47">
        <f>C62-C61</f>
        <v>6.528971510537307E-2</v>
      </c>
      <c r="D63" s="47">
        <f t="shared" ref="D63:F63" si="44">D62-D61</f>
        <v>2.2025655300378588E-2</v>
      </c>
      <c r="E63" s="47">
        <f t="shared" si="44"/>
        <v>-5.5187490282988527E-3</v>
      </c>
      <c r="F63" s="47">
        <f t="shared" si="44"/>
        <v>-3.2113388125254438E-3</v>
      </c>
      <c r="G63" s="47">
        <f>G62-G61</f>
        <v>-1.3593204889109201E-2</v>
      </c>
      <c r="H63" s="47">
        <f t="shared" ref="H63:O63" si="45">H62-H61</f>
        <v>-3.2041180114233847E-2</v>
      </c>
      <c r="I63" s="47">
        <f t="shared" si="45"/>
        <v>-8.8625407096806219E-3</v>
      </c>
      <c r="J63" s="47">
        <f t="shared" si="45"/>
        <v>3.0424390619411268E-2</v>
      </c>
      <c r="K63" s="47">
        <f t="shared" si="45"/>
        <v>1.7695423899666052E-2</v>
      </c>
      <c r="L63" s="47">
        <f t="shared" si="45"/>
        <v>1.7695423899666052E-2</v>
      </c>
      <c r="M63" s="47">
        <f t="shared" si="45"/>
        <v>1.7695423899666052E-2</v>
      </c>
      <c r="N63" s="47">
        <f t="shared" si="45"/>
        <v>1.7695423899666052E-2</v>
      </c>
      <c r="O63" s="47">
        <f t="shared" si="45"/>
        <v>1.7695423899666052E-2</v>
      </c>
      <c r="P63" s="44">
        <f>(AVERAGE(C62:O62)-AVERAGE(C61:O61))</f>
        <v>1.0999220536126231E-2</v>
      </c>
      <c r="R63">
        <v>4.0134980777558171E-2</v>
      </c>
      <c r="S63" s="24"/>
      <c r="T63" s="69"/>
      <c r="U63" s="69"/>
      <c r="V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</row>
    <row r="64" spans="1:35">
      <c r="A64" s="1"/>
      <c r="B64" s="43" t="s">
        <v>26</v>
      </c>
      <c r="C64" s="91">
        <f>C63/3%*1%</f>
        <v>2.1763238368457692E-2</v>
      </c>
      <c r="D64" s="91">
        <f t="shared" ref="D64:O64" si="46">D63/3%*1%</f>
        <v>7.3418851001261966E-3</v>
      </c>
      <c r="E64" s="91">
        <f t="shared" si="46"/>
        <v>-1.8395830094329511E-3</v>
      </c>
      <c r="F64" s="91">
        <f t="shared" si="46"/>
        <v>-1.0704462708418148E-3</v>
      </c>
      <c r="G64" s="91">
        <f t="shared" si="46"/>
        <v>-4.5310682963697335E-3</v>
      </c>
      <c r="H64" s="91">
        <f t="shared" si="46"/>
        <v>-1.0680393371411284E-2</v>
      </c>
      <c r="I64" s="91">
        <f t="shared" si="46"/>
        <v>-2.9541802365602079E-3</v>
      </c>
      <c r="J64" s="91">
        <f t="shared" si="46"/>
        <v>1.0141463539803757E-2</v>
      </c>
      <c r="K64" s="91">
        <f t="shared" si="46"/>
        <v>5.8984746332220173E-3</v>
      </c>
      <c r="L64" s="91">
        <f t="shared" si="46"/>
        <v>5.8984746332220173E-3</v>
      </c>
      <c r="M64" s="91">
        <f t="shared" si="46"/>
        <v>5.8984746332220173E-3</v>
      </c>
      <c r="N64" s="91">
        <f t="shared" si="46"/>
        <v>5.8984746332220173E-3</v>
      </c>
      <c r="O64" s="91">
        <f t="shared" si="46"/>
        <v>5.8984746332220173E-3</v>
      </c>
      <c r="P64" s="48">
        <f>P63/3%*1%</f>
        <v>3.6664068453754108E-3</v>
      </c>
      <c r="R64">
        <v>1.3378326925852724E-2</v>
      </c>
      <c r="S64" s="25"/>
      <c r="T64" s="69"/>
    </row>
    <row r="65" spans="1:36" ht="15" thickBot="1">
      <c r="A65" s="1"/>
      <c r="B65" s="49" t="s">
        <v>27</v>
      </c>
      <c r="C65" s="126">
        <f>C60*C64</f>
        <v>0.64386770909818503</v>
      </c>
      <c r="D65" s="126">
        <f t="shared" ref="D65:O65" si="47">D60*D64</f>
        <v>0.20079281871572632</v>
      </c>
      <c r="E65" s="126">
        <f t="shared" si="47"/>
        <v>-5.4543535429000027E-2</v>
      </c>
      <c r="F65" s="126">
        <f t="shared" si="47"/>
        <v>-3.1378532196313889E-2</v>
      </c>
      <c r="G65" s="126">
        <f t="shared" si="47"/>
        <v>-0.13891490932497777</v>
      </c>
      <c r="H65" s="126">
        <f t="shared" si="47"/>
        <v>-0.37576151878897185</v>
      </c>
      <c r="I65" s="126">
        <f t="shared" si="47"/>
        <v>-9.1009898909944084E-2</v>
      </c>
      <c r="J65" s="126">
        <f t="shared" si="47"/>
        <v>0.31973277480897822</v>
      </c>
      <c r="K65" s="126">
        <f t="shared" si="47"/>
        <v>0.19072127878762754</v>
      </c>
      <c r="L65" s="126">
        <f t="shared" si="47"/>
        <v>0.21135807746257909</v>
      </c>
      <c r="M65" s="126">
        <f t="shared" si="47"/>
        <v>0.20127547426131986</v>
      </c>
      <c r="N65" s="126">
        <f t="shared" si="47"/>
        <v>0.18160257721712633</v>
      </c>
      <c r="O65" s="126">
        <f t="shared" si="47"/>
        <v>0.20937934076987694</v>
      </c>
      <c r="P65" s="50">
        <f>SUM(C65:O65)</f>
        <v>1.4671216564722118</v>
      </c>
      <c r="R65">
        <v>5.442277740796257</v>
      </c>
      <c r="S65" s="25"/>
    </row>
    <row r="66" spans="1:36">
      <c r="A66" s="1"/>
      <c r="B66" s="52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51"/>
      <c r="S66" s="25"/>
    </row>
    <row r="67" spans="1:36">
      <c r="A67" s="1"/>
      <c r="B67" s="42" t="s">
        <v>32</v>
      </c>
      <c r="C67" s="40">
        <v>88.688474390999744</v>
      </c>
      <c r="D67" s="40">
        <v>134.75604334500099</v>
      </c>
      <c r="E67" s="40">
        <v>101.93046205100067</v>
      </c>
      <c r="F67" s="40">
        <v>112.53192704600133</v>
      </c>
      <c r="G67" s="40">
        <v>142.23019045400034</v>
      </c>
      <c r="H67" s="40">
        <v>129.7645509710018</v>
      </c>
      <c r="I67" s="40">
        <v>132.60729131100052</v>
      </c>
      <c r="J67" s="40">
        <v>114.29441333098893</v>
      </c>
      <c r="K67" s="40">
        <v>134.97000000000003</v>
      </c>
      <c r="L67" s="40">
        <v>117.50333134343992</v>
      </c>
      <c r="M67" s="40">
        <v>117.50333134343992</v>
      </c>
      <c r="N67" s="40">
        <v>168.75727446999059</v>
      </c>
      <c r="O67" s="40">
        <v>117.60418355485081</v>
      </c>
      <c r="P67" s="41">
        <f t="shared" si="41"/>
        <v>1613.1414736117154</v>
      </c>
      <c r="R67">
        <v>1583.9646012801188</v>
      </c>
      <c r="S67" s="25"/>
    </row>
    <row r="68" spans="1:36">
      <c r="A68" s="1"/>
      <c r="B68" s="43">
        <v>2025</v>
      </c>
      <c r="C68" s="91">
        <v>0.94827006090375499</v>
      </c>
      <c r="D68" s="91">
        <v>0.93584658003853449</v>
      </c>
      <c r="E68" s="91">
        <v>0.9646530049609352</v>
      </c>
      <c r="F68" s="91">
        <v>0.94401058488719503</v>
      </c>
      <c r="G68" s="91">
        <v>0.96793651733991881</v>
      </c>
      <c r="H68" s="91">
        <v>0.96069192018203309</v>
      </c>
      <c r="I68" s="91">
        <v>0.95726105099150238</v>
      </c>
      <c r="J68" s="91">
        <v>0.9861490533576408</v>
      </c>
      <c r="K68" s="91">
        <v>0.96542803705003066</v>
      </c>
      <c r="L68" s="92">
        <v>0.96</v>
      </c>
      <c r="M68" s="92">
        <v>0.96</v>
      </c>
      <c r="N68" s="92">
        <v>0.96</v>
      </c>
      <c r="O68" s="92">
        <v>0.96</v>
      </c>
      <c r="P68" s="44">
        <f>AVERAGE(C68:O68)</f>
        <v>0.95924975459319595</v>
      </c>
      <c r="R68" s="7">
        <v>0.91787009415372067</v>
      </c>
      <c r="S68" s="24"/>
      <c r="T68" s="69"/>
      <c r="U68" s="69"/>
      <c r="V68" s="69"/>
      <c r="W68" s="75"/>
      <c r="X68" s="76"/>
      <c r="Y68" s="75"/>
      <c r="Z68" s="76"/>
      <c r="AA68" s="75"/>
      <c r="AB68" s="76"/>
      <c r="AC68" s="75"/>
      <c r="AD68" s="76"/>
      <c r="AE68" s="75"/>
      <c r="AF68" s="76"/>
      <c r="AG68" s="75"/>
      <c r="AH68" s="76"/>
      <c r="AI68" s="75"/>
    </row>
    <row r="69" spans="1:36">
      <c r="A69" s="1"/>
      <c r="B69" s="43">
        <v>2026</v>
      </c>
      <c r="C69" s="45">
        <v>0.95</v>
      </c>
      <c r="D69" s="45">
        <v>0.95</v>
      </c>
      <c r="E69" s="45">
        <v>0.95299999999999996</v>
      </c>
      <c r="F69" s="45">
        <v>0.95299999999999996</v>
      </c>
      <c r="G69" s="45">
        <v>0.96</v>
      </c>
      <c r="H69" s="45">
        <v>0.96</v>
      </c>
      <c r="I69" s="45">
        <f t="shared" ref="I69:K69" si="48">H69+0.3%</f>
        <v>0.96299999999999997</v>
      </c>
      <c r="J69" s="45">
        <f t="shared" si="48"/>
        <v>0.96599999999999997</v>
      </c>
      <c r="K69" s="45">
        <f t="shared" si="48"/>
        <v>0.96899999999999997</v>
      </c>
      <c r="L69" s="45">
        <v>0.96</v>
      </c>
      <c r="M69" s="45">
        <v>0.96199999999999997</v>
      </c>
      <c r="N69" s="45">
        <v>0.96199999999999997</v>
      </c>
      <c r="O69" s="45">
        <v>0.96199999999999997</v>
      </c>
      <c r="P69" s="44">
        <f>AVERAGE(C69:O69)</f>
        <v>0.95923076923076911</v>
      </c>
      <c r="R69">
        <v>0.93823076923076931</v>
      </c>
      <c r="S69" s="24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</row>
    <row r="70" spans="1:36">
      <c r="A70" s="1"/>
      <c r="B70" s="46" t="s">
        <v>24</v>
      </c>
      <c r="C70" s="47">
        <f>C69-C68</f>
        <v>1.7299390962449701E-3</v>
      </c>
      <c r="D70" s="47">
        <f t="shared" ref="D70:F70" si="49">D69-D68</f>
        <v>1.4153419961465463E-2</v>
      </c>
      <c r="E70" s="47">
        <f t="shared" si="49"/>
        <v>-1.1653004960935243E-2</v>
      </c>
      <c r="F70" s="47">
        <f t="shared" si="49"/>
        <v>8.9894151128049327E-3</v>
      </c>
      <c r="G70" s="47">
        <f>G69-G68</f>
        <v>-7.9365173399188471E-3</v>
      </c>
      <c r="H70" s="47">
        <f t="shared" ref="H70:O70" si="50">H69-H68</f>
        <v>-6.9192018203312333E-4</v>
      </c>
      <c r="I70" s="47">
        <f t="shared" si="50"/>
        <v>5.7389490084975847E-3</v>
      </c>
      <c r="J70" s="47">
        <f t="shared" si="50"/>
        <v>-2.0149053357640834E-2</v>
      </c>
      <c r="K70" s="47">
        <f t="shared" si="50"/>
        <v>3.5719629499693095E-3</v>
      </c>
      <c r="L70" s="47">
        <f t="shared" si="50"/>
        <v>0</v>
      </c>
      <c r="M70" s="47">
        <f t="shared" si="50"/>
        <v>2.0000000000000018E-3</v>
      </c>
      <c r="N70" s="47">
        <f t="shared" si="50"/>
        <v>2.0000000000000018E-3</v>
      </c>
      <c r="O70" s="47">
        <f t="shared" si="50"/>
        <v>2.0000000000000018E-3</v>
      </c>
      <c r="P70" s="44">
        <f>(AVERAGE(C69:O69)-AVERAGE(C68:O68))</f>
        <v>-1.8985362426837682E-5</v>
      </c>
      <c r="R70">
        <v>2.036067507704864E-2</v>
      </c>
      <c r="S70" s="24"/>
      <c r="T70" s="69"/>
      <c r="U70" s="69"/>
      <c r="V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</row>
    <row r="71" spans="1:36">
      <c r="A71" s="1"/>
      <c r="B71" s="43" t="s">
        <v>26</v>
      </c>
      <c r="C71" s="91">
        <f>C70/3%*1%</f>
        <v>5.7664636541499004E-4</v>
      </c>
      <c r="D71" s="91">
        <f t="shared" ref="D71:O71" si="51">D70/3%*1%</f>
        <v>4.7178066538218211E-3</v>
      </c>
      <c r="E71" s="91">
        <f t="shared" si="51"/>
        <v>-3.8843349869784145E-3</v>
      </c>
      <c r="F71" s="91">
        <f t="shared" si="51"/>
        <v>2.9964717042683109E-3</v>
      </c>
      <c r="G71" s="91">
        <f t="shared" si="51"/>
        <v>-2.6455057799729493E-3</v>
      </c>
      <c r="H71" s="91">
        <f t="shared" si="51"/>
        <v>-2.3064006067770781E-4</v>
      </c>
      <c r="I71" s="91">
        <f t="shared" si="51"/>
        <v>1.9129830028325285E-3</v>
      </c>
      <c r="J71" s="91">
        <f t="shared" si="51"/>
        <v>-6.7163511192136118E-3</v>
      </c>
      <c r="K71" s="91">
        <f t="shared" si="51"/>
        <v>1.1906543166564365E-3</v>
      </c>
      <c r="L71" s="91">
        <f t="shared" si="51"/>
        <v>0</v>
      </c>
      <c r="M71" s="91">
        <f t="shared" si="51"/>
        <v>6.666666666666674E-4</v>
      </c>
      <c r="N71" s="91">
        <f t="shared" si="51"/>
        <v>6.666666666666674E-4</v>
      </c>
      <c r="O71" s="91">
        <f t="shared" si="51"/>
        <v>6.666666666666674E-4</v>
      </c>
      <c r="P71" s="48">
        <f>P70/3%*1%</f>
        <v>-6.3284541422792273E-6</v>
      </c>
      <c r="R71">
        <v>6.7868916923495472E-3</v>
      </c>
      <c r="S71" s="25"/>
      <c r="T71" s="69"/>
    </row>
    <row r="72" spans="1:36" ht="15" thickBot="1">
      <c r="A72" s="1"/>
      <c r="B72" s="49" t="s">
        <v>27</v>
      </c>
      <c r="C72" s="126">
        <f>C67*C71</f>
        <v>5.1141886411770421E-2</v>
      </c>
      <c r="D72" s="126">
        <f t="shared" ref="D72:O72" si="52">D67*D71</f>
        <v>0.63575295793574738</v>
      </c>
      <c r="E72" s="126">
        <f t="shared" si="52"/>
        <v>-0.3959320599835775</v>
      </c>
      <c r="F72" s="126">
        <f t="shared" si="52"/>
        <v>0.33719873522012883</v>
      </c>
      <c r="G72" s="126">
        <f t="shared" si="52"/>
        <v>-0.37627079093271132</v>
      </c>
      <c r="H72" s="126">
        <f t="shared" si="52"/>
        <v>-2.9928903909767362E-2</v>
      </c>
      <c r="I72" s="126">
        <f t="shared" si="52"/>
        <v>0.25367549432960562</v>
      </c>
      <c r="J72" s="126">
        <f t="shared" si="52"/>
        <v>-0.76764141089545068</v>
      </c>
      <c r="K72" s="126">
        <f t="shared" si="52"/>
        <v>0.16070261311911926</v>
      </c>
      <c r="L72" s="126">
        <f>L67*L71</f>
        <v>0</v>
      </c>
      <c r="M72" s="126">
        <f t="shared" si="52"/>
        <v>7.8335554228960033E-2</v>
      </c>
      <c r="N72" s="126">
        <f t="shared" si="52"/>
        <v>0.11250484964666052</v>
      </c>
      <c r="O72" s="126">
        <f t="shared" si="52"/>
        <v>7.8402789036567291E-2</v>
      </c>
      <c r="P72" s="50">
        <f>SUM(C72:O72)</f>
        <v>0.13794171420705242</v>
      </c>
      <c r="R72">
        <v>11.01830404459786</v>
      </c>
      <c r="S72" s="25"/>
    </row>
    <row r="73" spans="1:36">
      <c r="A73" s="1"/>
      <c r="B73" s="52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51"/>
      <c r="S73" s="25"/>
    </row>
    <row r="74" spans="1:36">
      <c r="A74" s="1"/>
      <c r="B74" s="42" t="s">
        <v>37</v>
      </c>
      <c r="C74" s="40">
        <v>63.82746646919999</v>
      </c>
      <c r="D74" s="40">
        <v>64.496980058399984</v>
      </c>
      <c r="E74" s="40">
        <v>62.914404326399996</v>
      </c>
      <c r="F74" s="40">
        <v>60.922278957419252</v>
      </c>
      <c r="G74" s="40">
        <v>59.376471065999993</v>
      </c>
      <c r="H74" s="40">
        <v>62.127991018799996</v>
      </c>
      <c r="I74" s="40">
        <v>63.361464332400004</v>
      </c>
      <c r="J74" s="40">
        <v>64.202711605199994</v>
      </c>
      <c r="K74" s="40">
        <v>64.260000002842617</v>
      </c>
      <c r="L74" s="40">
        <v>51.593356874489864</v>
      </c>
      <c r="M74" s="40">
        <v>50.934610422914709</v>
      </c>
      <c r="N74" s="40">
        <v>49.036709994045573</v>
      </c>
      <c r="O74" s="40">
        <v>50.657689367454125</v>
      </c>
      <c r="P74" s="41">
        <f t="shared" si="41"/>
        <v>767.71213449556615</v>
      </c>
      <c r="R74">
        <v>577</v>
      </c>
      <c r="S74" s="25"/>
    </row>
    <row r="75" spans="1:36">
      <c r="A75" s="1"/>
      <c r="B75" s="43">
        <v>2025</v>
      </c>
      <c r="C75" s="91">
        <v>0.93537782880433507</v>
      </c>
      <c r="D75" s="91">
        <v>0.97176110086008616</v>
      </c>
      <c r="E75" s="91">
        <v>0.97298707212576885</v>
      </c>
      <c r="F75" s="91">
        <v>0.97502460957534687</v>
      </c>
      <c r="G75" s="91">
        <v>0.98580190192680373</v>
      </c>
      <c r="H75" s="91">
        <v>0.98031105941443264</v>
      </c>
      <c r="I75" s="91">
        <v>0.9664415015843103</v>
      </c>
      <c r="J75" s="91">
        <v>0.9399649441924196</v>
      </c>
      <c r="K75" s="91">
        <v>0.94376012515115215</v>
      </c>
      <c r="L75" s="92">
        <v>0.94476012515115215</v>
      </c>
      <c r="M75" s="92">
        <v>0.94576012515115215</v>
      </c>
      <c r="N75" s="92">
        <v>0.94676012515115215</v>
      </c>
      <c r="O75" s="92">
        <v>0.94776012515115216</v>
      </c>
      <c r="P75" s="44">
        <f>AVERAGE(E75:O75)</f>
        <v>0.95903015587044038</v>
      </c>
      <c r="R75">
        <v>0.92241963128533111</v>
      </c>
      <c r="S75" s="24"/>
      <c r="T75" s="69"/>
      <c r="U75" s="69"/>
      <c r="V75" s="69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</row>
    <row r="76" spans="1:36">
      <c r="A76" s="1"/>
      <c r="B76" s="43">
        <v>2026</v>
      </c>
      <c r="C76" s="45">
        <v>0.94799999999999995</v>
      </c>
      <c r="D76" s="45">
        <v>0.97</v>
      </c>
      <c r="E76" s="45">
        <v>0.97</v>
      </c>
      <c r="F76" s="45">
        <v>0.97</v>
      </c>
      <c r="G76" s="45">
        <v>0.96</v>
      </c>
      <c r="H76" s="45">
        <f t="shared" ref="H76:J76" si="53">G76+0.2%</f>
        <v>0.96199999999999997</v>
      </c>
      <c r="I76" s="45">
        <v>0.96199999999999997</v>
      </c>
      <c r="J76" s="45">
        <f t="shared" si="53"/>
        <v>0.96399999999999997</v>
      </c>
      <c r="K76" s="45">
        <v>0.96199999999999997</v>
      </c>
      <c r="L76" s="45">
        <v>0.96199999999999997</v>
      </c>
      <c r="M76" s="45">
        <f t="shared" ref="M76:O76" si="54">L76+0.1%</f>
        <v>0.96299999999999997</v>
      </c>
      <c r="N76" s="45">
        <f t="shared" si="54"/>
        <v>0.96399999999999997</v>
      </c>
      <c r="O76" s="45">
        <f t="shared" si="54"/>
        <v>0.96499999999999997</v>
      </c>
      <c r="P76" s="44">
        <f>AVERAGE(C76:O76)</f>
        <v>0.96323076923076911</v>
      </c>
      <c r="R76">
        <v>0.94923076923076921</v>
      </c>
      <c r="S76" s="24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</row>
    <row r="77" spans="1:36">
      <c r="A77" s="1"/>
      <c r="B77" s="46" t="s">
        <v>24</v>
      </c>
      <c r="C77" s="47">
        <f>C76-C75</f>
        <v>1.2622171195664889E-2</v>
      </c>
      <c r="D77" s="47">
        <f t="shared" ref="D77:F77" si="55">D76-D75</f>
        <v>-1.7611008600861844E-3</v>
      </c>
      <c r="E77" s="47">
        <f t="shared" si="55"/>
        <v>-2.9870721257688748E-3</v>
      </c>
      <c r="F77" s="47">
        <f t="shared" si="55"/>
        <v>-5.0246095753468945E-3</v>
      </c>
      <c r="G77" s="47">
        <f>G76-G75</f>
        <v>-2.5801901926803761E-2</v>
      </c>
      <c r="H77" s="47">
        <f t="shared" ref="H77:O77" si="56">H76-H75</f>
        <v>-1.8311059414432673E-2</v>
      </c>
      <c r="I77" s="47">
        <f t="shared" si="56"/>
        <v>-4.4415015843103367E-3</v>
      </c>
      <c r="J77" s="47">
        <f t="shared" si="56"/>
        <v>2.4035055807580363E-2</v>
      </c>
      <c r="K77" s="47">
        <f t="shared" si="56"/>
        <v>1.8239874848847815E-2</v>
      </c>
      <c r="L77" s="47">
        <f t="shared" si="56"/>
        <v>1.7239874848847814E-2</v>
      </c>
      <c r="M77" s="47">
        <f t="shared" si="56"/>
        <v>1.7239874848847814E-2</v>
      </c>
      <c r="N77" s="47">
        <f t="shared" si="56"/>
        <v>1.7239874848847814E-2</v>
      </c>
      <c r="O77" s="47">
        <f t="shared" si="56"/>
        <v>1.7239874848847814E-2</v>
      </c>
      <c r="P77" s="44">
        <f>(AVERAGE(C76:O76)-AVERAGE(E75:O75))</f>
        <v>4.200613360328731E-3</v>
      </c>
      <c r="R77">
        <v>2.6811137945438102E-2</v>
      </c>
      <c r="S77" s="24"/>
      <c r="T77" s="69"/>
      <c r="U77" s="69"/>
      <c r="V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79"/>
    </row>
    <row r="78" spans="1:36">
      <c r="A78" s="1"/>
      <c r="B78" s="43" t="s">
        <v>26</v>
      </c>
      <c r="C78" s="91">
        <f>C77/3%*1%</f>
        <v>4.2073903985549634E-3</v>
      </c>
      <c r="D78" s="91">
        <f>D77/3%*1%</f>
        <v>-5.8703362002872816E-4</v>
      </c>
      <c r="E78" s="91">
        <f t="shared" ref="E78:O78" si="57">E77/3%*1%</f>
        <v>-9.9569070858962494E-4</v>
      </c>
      <c r="F78" s="91">
        <f t="shared" si="57"/>
        <v>-1.674869858448965E-3</v>
      </c>
      <c r="G78" s="91">
        <f t="shared" si="57"/>
        <v>-8.6006339756012542E-3</v>
      </c>
      <c r="H78" s="91">
        <f t="shared" si="57"/>
        <v>-6.1036864714775589E-3</v>
      </c>
      <c r="I78" s="91">
        <f t="shared" si="57"/>
        <v>-1.4805005281034456E-3</v>
      </c>
      <c r="J78" s="91">
        <f t="shared" si="57"/>
        <v>8.011685269193455E-3</v>
      </c>
      <c r="K78" s="91">
        <f t="shared" si="57"/>
        <v>6.0799582829492715E-3</v>
      </c>
      <c r="L78" s="91">
        <f t="shared" si="57"/>
        <v>5.7466249496159385E-3</v>
      </c>
      <c r="M78" s="91">
        <f t="shared" si="57"/>
        <v>5.7466249496159385E-3</v>
      </c>
      <c r="N78" s="91">
        <f t="shared" si="57"/>
        <v>5.7466249496159385E-3</v>
      </c>
      <c r="O78" s="91">
        <f t="shared" si="57"/>
        <v>5.7466249496159385E-3</v>
      </c>
      <c r="P78" s="48">
        <f>P77/3%*1%</f>
        <v>1.4002044534429103E-3</v>
      </c>
      <c r="R78">
        <v>8.9370459818127017E-3</v>
      </c>
      <c r="S78" s="25"/>
      <c r="T78" s="69"/>
    </row>
    <row r="79" spans="1:36" ht="15" thickBot="1">
      <c r="A79" s="86"/>
      <c r="B79" s="52" t="s">
        <v>27</v>
      </c>
      <c r="C79" s="127">
        <f>C81*C85</f>
        <v>2.042046337261755</v>
      </c>
      <c r="D79" s="127">
        <f t="shared" ref="D79:O79" si="58">D74*D78</f>
        <v>-3.7861895684603235E-2</v>
      </c>
      <c r="E79" s="127">
        <f t="shared" si="58"/>
        <v>-6.2643287824247371E-2</v>
      </c>
      <c r="F79" s="127">
        <f t="shared" si="58"/>
        <v>-0.10203688873380114</v>
      </c>
      <c r="G79" s="127">
        <f t="shared" si="58"/>
        <v>-0.51067529440154436</v>
      </c>
      <c r="H79" s="127">
        <f t="shared" si="58"/>
        <v>-0.3792097782815288</v>
      </c>
      <c r="I79" s="127">
        <f t="shared" si="58"/>
        <v>-9.3806681405525838E-2</v>
      </c>
      <c r="J79" s="127">
        <f t="shared" si="58"/>
        <v>0.51437191880965649</v>
      </c>
      <c r="K79" s="127">
        <f t="shared" si="58"/>
        <v>0.39069811927960318</v>
      </c>
      <c r="L79" s="127">
        <f t="shared" si="58"/>
        <v>0.29648767184938246</v>
      </c>
      <c r="M79" s="127">
        <f t="shared" si="58"/>
        <v>0.29270210305528971</v>
      </c>
      <c r="N79" s="127">
        <f t="shared" si="58"/>
        <v>0.28179558109886355</v>
      </c>
      <c r="O79" s="127">
        <f t="shared" si="58"/>
        <v>0.29111074160890593</v>
      </c>
      <c r="P79" s="80">
        <f>SUM(C79:O79)</f>
        <v>2.9229786466322056</v>
      </c>
      <c r="R79">
        <v>5.0253029549346744</v>
      </c>
      <c r="S79" s="25"/>
    </row>
    <row r="80" spans="1:36" ht="15" thickBot="1">
      <c r="A80" s="121" t="s">
        <v>20</v>
      </c>
      <c r="B80" s="122" t="s">
        <v>38</v>
      </c>
      <c r="C80" s="131">
        <f>C81</f>
        <v>35.646464667461728</v>
      </c>
      <c r="D80" s="131">
        <f t="shared" ref="D80:P80" si="59">D81</f>
        <v>41.08514100623502</v>
      </c>
      <c r="E80" s="131">
        <f t="shared" si="59"/>
        <v>40.496711778045203</v>
      </c>
      <c r="F80" s="131">
        <f t="shared" si="59"/>
        <v>46.75080800347385</v>
      </c>
      <c r="G80" s="131">
        <f t="shared" si="59"/>
        <v>46.002301752717393</v>
      </c>
      <c r="H80" s="131">
        <f t="shared" si="59"/>
        <v>42.759899938679396</v>
      </c>
      <c r="I80" s="131">
        <f t="shared" si="59"/>
        <v>44.075900357319235</v>
      </c>
      <c r="J80" s="131">
        <f t="shared" si="59"/>
        <v>44.322013243079112</v>
      </c>
      <c r="K80" s="131">
        <f t="shared" si="59"/>
        <v>40.938603628516589</v>
      </c>
      <c r="L80" s="131">
        <f t="shared" si="59"/>
        <v>36.179490956701542</v>
      </c>
      <c r="M80" s="131">
        <f t="shared" si="59"/>
        <v>31.655775255750452</v>
      </c>
      <c r="N80" s="131">
        <f t="shared" si="59"/>
        <v>33.999510313483029</v>
      </c>
      <c r="O80" s="131">
        <f t="shared" si="59"/>
        <v>36.087379098537376</v>
      </c>
      <c r="P80" s="132">
        <f t="shared" si="59"/>
        <v>519.99999999999989</v>
      </c>
      <c r="S80" s="181" t="s">
        <v>59</v>
      </c>
    </row>
    <row r="81" spans="1:35">
      <c r="B81" s="133" t="s">
        <v>39</v>
      </c>
      <c r="C81" s="40">
        <v>35.646464667461728</v>
      </c>
      <c r="D81" s="40">
        <v>41.08514100623502</v>
      </c>
      <c r="E81" s="40">
        <v>40.496711778045203</v>
      </c>
      <c r="F81" s="40">
        <v>46.75080800347385</v>
      </c>
      <c r="G81" s="40">
        <v>46.002301752717393</v>
      </c>
      <c r="H81" s="40">
        <v>42.759899938679396</v>
      </c>
      <c r="I81" s="40">
        <v>44.075900357319235</v>
      </c>
      <c r="J81" s="40">
        <v>44.322013243079112</v>
      </c>
      <c r="K81" s="40">
        <v>40.938603628516589</v>
      </c>
      <c r="L81" s="40">
        <v>36.179490956701542</v>
      </c>
      <c r="M81" s="40">
        <v>31.655775255750452</v>
      </c>
      <c r="N81" s="40">
        <v>33.999510313483029</v>
      </c>
      <c r="O81" s="40">
        <v>36.087379098537376</v>
      </c>
      <c r="P81" s="41">
        <f>SUM(C81:O81)</f>
        <v>519.99999999999989</v>
      </c>
      <c r="S81" s="25"/>
    </row>
    <row r="82" spans="1:35">
      <c r="A82" s="4"/>
      <c r="B82" s="43">
        <v>2025</v>
      </c>
      <c r="C82" s="45">
        <v>0.74314175069155641</v>
      </c>
      <c r="D82" s="45">
        <v>0.89329294857555719</v>
      </c>
      <c r="E82" s="45">
        <v>0.91971253398632447</v>
      </c>
      <c r="F82" s="45">
        <v>0.92980544409740262</v>
      </c>
      <c r="G82" s="45">
        <v>0.88968345884575639</v>
      </c>
      <c r="H82" s="45">
        <v>0.91987597063374604</v>
      </c>
      <c r="I82" s="45">
        <v>0.92452530141556077</v>
      </c>
      <c r="J82" s="45">
        <v>0.91251268164880683</v>
      </c>
      <c r="K82" s="45">
        <v>0.92665829594682259</v>
      </c>
      <c r="L82" s="45">
        <v>0.91500000000000004</v>
      </c>
      <c r="M82" s="45">
        <v>0.91700000000000004</v>
      </c>
      <c r="N82" s="45">
        <v>0.91900000000000004</v>
      </c>
      <c r="O82" s="45">
        <v>0.92100000000000004</v>
      </c>
      <c r="P82" s="44">
        <f>AVERAGE(C82:O82)</f>
        <v>0.9024006450647335</v>
      </c>
      <c r="R82" s="32">
        <v>0.93884074396406669</v>
      </c>
      <c r="S82" s="24"/>
      <c r="T82" s="69"/>
      <c r="U82" s="69"/>
      <c r="V82" s="69"/>
      <c r="W82" s="75"/>
      <c r="X82" s="76"/>
      <c r="Y82" s="75"/>
      <c r="Z82" s="76"/>
      <c r="AA82" s="75"/>
      <c r="AB82" s="76"/>
      <c r="AC82" s="75"/>
      <c r="AD82" s="76"/>
      <c r="AE82" s="75"/>
      <c r="AF82" s="76"/>
      <c r="AG82" s="75"/>
      <c r="AH82" s="76"/>
      <c r="AI82" s="75"/>
    </row>
    <row r="83" spans="1:35">
      <c r="A83" s="4"/>
      <c r="B83" s="46">
        <v>2026</v>
      </c>
      <c r="C83" s="47">
        <v>0.91500000000000004</v>
      </c>
      <c r="D83" s="47">
        <v>0.92</v>
      </c>
      <c r="E83" s="47">
        <v>0.91500000000000004</v>
      </c>
      <c r="F83" s="47">
        <v>0.92</v>
      </c>
      <c r="G83" s="47">
        <v>0.91500000000000004</v>
      </c>
      <c r="H83" s="47">
        <v>0.92</v>
      </c>
      <c r="I83" s="47">
        <v>0.91500000000000004</v>
      </c>
      <c r="J83" s="47">
        <f t="shared" ref="J83" si="60">I83+0.1%</f>
        <v>0.91600000000000004</v>
      </c>
      <c r="K83" s="47">
        <v>0.91</v>
      </c>
      <c r="L83" s="47">
        <v>0.91</v>
      </c>
      <c r="M83" s="47">
        <v>0.91500000000000004</v>
      </c>
      <c r="N83" s="47">
        <v>0.91</v>
      </c>
      <c r="O83" s="47">
        <v>0.91500000000000004</v>
      </c>
      <c r="P83" s="44">
        <f>AVERAGE(C83:O83)</f>
        <v>0.91507692307692312</v>
      </c>
      <c r="R83" s="32">
        <v>0.94599999999999984</v>
      </c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188"/>
      <c r="AG83" s="8"/>
      <c r="AH83" s="69"/>
      <c r="AI83" s="69"/>
    </row>
    <row r="84" spans="1:35">
      <c r="A84" s="4"/>
      <c r="B84" s="43" t="s">
        <v>24</v>
      </c>
      <c r="C84" s="91">
        <f t="shared" ref="C84:O84" si="61">C83-C82</f>
        <v>0.17185824930844362</v>
      </c>
      <c r="D84" s="91">
        <f t="shared" si="61"/>
        <v>2.6707051424442851E-2</v>
      </c>
      <c r="E84" s="91">
        <f t="shared" si="61"/>
        <v>-4.7125339863244298E-3</v>
      </c>
      <c r="F84" s="91">
        <f t="shared" si="61"/>
        <v>-9.8054440974025825E-3</v>
      </c>
      <c r="G84" s="91">
        <f t="shared" si="61"/>
        <v>2.5316541154243644E-2</v>
      </c>
      <c r="H84" s="91">
        <f t="shared" si="61"/>
        <v>1.2402936625399708E-4</v>
      </c>
      <c r="I84" s="91">
        <f t="shared" si="61"/>
        <v>-9.5253014155607385E-3</v>
      </c>
      <c r="J84" s="91">
        <f t="shared" si="61"/>
        <v>3.4873183511932027E-3</v>
      </c>
      <c r="K84" s="91">
        <f t="shared" si="61"/>
        <v>-1.6658295946822554E-2</v>
      </c>
      <c r="L84" s="91">
        <f t="shared" si="61"/>
        <v>-5.0000000000000044E-3</v>
      </c>
      <c r="M84" s="91">
        <f t="shared" si="61"/>
        <v>-2.0000000000000018E-3</v>
      </c>
      <c r="N84" s="91">
        <f t="shared" si="61"/>
        <v>-9.000000000000008E-3</v>
      </c>
      <c r="O84" s="91">
        <f t="shared" si="61"/>
        <v>-6.0000000000000053E-3</v>
      </c>
      <c r="P84" s="48">
        <f>(AVERAGE(C83:O83)-AVERAGE(C82:O82))</f>
        <v>1.2676278012189623E-2</v>
      </c>
      <c r="R84" s="15">
        <v>7.1592560359331481E-3</v>
      </c>
      <c r="S84" s="24"/>
      <c r="T84" s="69"/>
      <c r="U84" s="69"/>
      <c r="V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</row>
    <row r="85" spans="1:35">
      <c r="A85" s="90"/>
      <c r="B85" s="43" t="s">
        <v>26</v>
      </c>
      <c r="C85" s="135">
        <f t="shared" ref="C85:O85" si="62">C84/3%*1%</f>
        <v>5.7286083102814543E-2</v>
      </c>
      <c r="D85" s="135">
        <f t="shared" si="62"/>
        <v>8.902350474814285E-3</v>
      </c>
      <c r="E85" s="135">
        <f t="shared" si="62"/>
        <v>-1.5708446621081435E-3</v>
      </c>
      <c r="F85" s="135">
        <f t="shared" si="62"/>
        <v>-3.2684813658008611E-3</v>
      </c>
      <c r="G85" s="135">
        <f t="shared" si="62"/>
        <v>8.438847051414549E-3</v>
      </c>
      <c r="H85" s="135">
        <f t="shared" si="62"/>
        <v>4.1343122084665701E-5</v>
      </c>
      <c r="I85" s="135">
        <f t="shared" si="62"/>
        <v>-3.1751004718535798E-3</v>
      </c>
      <c r="J85" s="135">
        <f t="shared" si="62"/>
        <v>1.1624394503977342E-3</v>
      </c>
      <c r="K85" s="135">
        <f t="shared" si="62"/>
        <v>-5.5527653156075187E-3</v>
      </c>
      <c r="L85" s="135">
        <f t="shared" si="62"/>
        <v>-1.6666666666666683E-3</v>
      </c>
      <c r="M85" s="135">
        <f t="shared" si="62"/>
        <v>-6.666666666666674E-4</v>
      </c>
      <c r="N85" s="135">
        <f t="shared" si="62"/>
        <v>-3.0000000000000027E-3</v>
      </c>
      <c r="O85" s="135">
        <f t="shared" si="62"/>
        <v>-2.0000000000000018E-3</v>
      </c>
      <c r="P85" s="80">
        <f>P84/3%*1%</f>
        <v>4.2254260040632081E-3</v>
      </c>
      <c r="R85">
        <v>2.3864186786443828E-3</v>
      </c>
      <c r="S85" s="25"/>
      <c r="T85" s="69"/>
    </row>
    <row r="86" spans="1:35" ht="15" thickBot="1">
      <c r="A86" s="140"/>
      <c r="B86" s="141" t="s">
        <v>27</v>
      </c>
      <c r="C86" s="126">
        <f t="shared" ref="C86:O86" si="63">C81*C85</f>
        <v>2.042046337261755</v>
      </c>
      <c r="D86" s="126">
        <f t="shared" si="63"/>
        <v>0.36575432454466816</v>
      </c>
      <c r="E86" s="126">
        <f t="shared" si="63"/>
        <v>-6.3614043529474293E-2</v>
      </c>
      <c r="F86" s="126">
        <f t="shared" si="63"/>
        <v>-0.15280414479548804</v>
      </c>
      <c r="G86" s="126">
        <f t="shared" si="63"/>
        <v>0.38820638850420153</v>
      </c>
      <c r="H86" s="126">
        <f t="shared" si="63"/>
        <v>1.7678277634929117E-3</v>
      </c>
      <c r="I86" s="126">
        <f t="shared" si="63"/>
        <v>-0.13994541202189567</v>
      </c>
      <c r="J86" s="126">
        <f t="shared" si="63"/>
        <v>5.1521656714805984E-2</v>
      </c>
      <c r="K86" s="126">
        <f t="shared" si="63"/>
        <v>-0.22732245829783101</v>
      </c>
      <c r="L86" s="126">
        <f t="shared" si="63"/>
        <v>-6.029915159450263E-2</v>
      </c>
      <c r="M86" s="126">
        <f t="shared" si="63"/>
        <v>-2.1103850170500326E-2</v>
      </c>
      <c r="N86" s="126">
        <f t="shared" si="63"/>
        <v>-0.10199853094044918</v>
      </c>
      <c r="O86" s="126">
        <f t="shared" si="63"/>
        <v>-7.217475819707482E-2</v>
      </c>
      <c r="P86" s="142">
        <f>SUM(C86:O86)</f>
        <v>2.0100341852417074</v>
      </c>
      <c r="R86">
        <v>0.74204063198667081</v>
      </c>
      <c r="S86" s="25"/>
    </row>
    <row r="87" spans="1:35" ht="15" thickBot="1">
      <c r="A87" s="149" t="s">
        <v>20</v>
      </c>
      <c r="B87" s="150" t="s">
        <v>40</v>
      </c>
      <c r="C87" s="151">
        <f>C88+C95+C102+C109+C116</f>
        <v>391.10268687424656</v>
      </c>
      <c r="D87" s="151">
        <f t="shared" ref="D87:O87" si="64">D88+D95+D102+D109+D116</f>
        <v>328.49938217333505</v>
      </c>
      <c r="E87" s="151">
        <f t="shared" si="64"/>
        <v>320.52062467839846</v>
      </c>
      <c r="F87" s="151">
        <f t="shared" si="64"/>
        <v>285.29549518487232</v>
      </c>
      <c r="G87" s="151">
        <f t="shared" si="64"/>
        <v>310.51469602793901</v>
      </c>
      <c r="H87" s="151">
        <f t="shared" si="64"/>
        <v>307.63635595746882</v>
      </c>
      <c r="I87" s="151">
        <f t="shared" si="64"/>
        <v>314.42491828218499</v>
      </c>
      <c r="J87" s="151">
        <f t="shared" si="64"/>
        <v>301.94453830869304</v>
      </c>
      <c r="K87" s="151">
        <f t="shared" si="64"/>
        <v>318.85333132830783</v>
      </c>
      <c r="L87" s="151">
        <f t="shared" si="64"/>
        <v>294.97283433130622</v>
      </c>
      <c r="M87" s="151">
        <f t="shared" si="64"/>
        <v>297.8275182630934</v>
      </c>
      <c r="N87" s="151">
        <f t="shared" si="64"/>
        <v>312.68645555129029</v>
      </c>
      <c r="O87" s="151">
        <f t="shared" si="64"/>
        <v>323.74032775683224</v>
      </c>
      <c r="P87" s="152">
        <f>SUM(C87:O87)</f>
        <v>4108.0191647179681</v>
      </c>
      <c r="S87" s="181" t="s">
        <v>59</v>
      </c>
    </row>
    <row r="88" spans="1:35">
      <c r="A88" s="87"/>
      <c r="B88" s="42" t="s">
        <v>41</v>
      </c>
      <c r="C88" s="128">
        <v>199.02634993073801</v>
      </c>
      <c r="D88" s="128">
        <v>101.18059970048101</v>
      </c>
      <c r="E88" s="128">
        <v>129.964996202267</v>
      </c>
      <c r="F88" s="128">
        <v>131.06494284237598</v>
      </c>
      <c r="G88" s="128">
        <v>101.12757681296701</v>
      </c>
      <c r="H88" s="128">
        <v>131.55065724192801</v>
      </c>
      <c r="I88" s="128">
        <v>128.56852344245499</v>
      </c>
      <c r="J88" s="128">
        <v>102.00878708696101</v>
      </c>
      <c r="K88" s="128">
        <v>125.81572063821599</v>
      </c>
      <c r="L88" s="129">
        <v>130.832471371423</v>
      </c>
      <c r="M88" s="129">
        <v>105.86165897789</v>
      </c>
      <c r="N88" s="129">
        <v>132.645433658532</v>
      </c>
      <c r="O88" s="129">
        <v>161.61279998274401</v>
      </c>
      <c r="P88" s="57">
        <f>SUM(C88:O88)</f>
        <v>1681.2605178889783</v>
      </c>
      <c r="R88">
        <v>1481.7309736425404</v>
      </c>
      <c r="S88" s="25"/>
    </row>
    <row r="89" spans="1:35">
      <c r="A89" s="1"/>
      <c r="B89" s="43">
        <v>2025</v>
      </c>
      <c r="C89" s="45">
        <v>0.92741062148865194</v>
      </c>
      <c r="D89" s="45">
        <v>0.9577925770966067</v>
      </c>
      <c r="E89" s="45">
        <v>0.97049862850244339</v>
      </c>
      <c r="F89" s="45">
        <v>0.97725948946837438</v>
      </c>
      <c r="G89" s="45">
        <v>0.97669620716879413</v>
      </c>
      <c r="H89" s="45">
        <v>0.96846494856955045</v>
      </c>
      <c r="I89" s="45">
        <v>0.9509440840940524</v>
      </c>
      <c r="J89" s="45">
        <v>0.96413672526951077</v>
      </c>
      <c r="K89" s="45">
        <v>0.96559092745941499</v>
      </c>
      <c r="L89" s="45">
        <v>0.96199999999999997</v>
      </c>
      <c r="M89" s="45">
        <v>0.96199999999999997</v>
      </c>
      <c r="N89" s="45">
        <v>0.96199999999999997</v>
      </c>
      <c r="O89" s="45">
        <v>0.96199999999999997</v>
      </c>
      <c r="P89" s="44">
        <f>AVERAGE(C89:O89)</f>
        <v>0.96206109300903075</v>
      </c>
      <c r="R89" s="7">
        <v>0.89962715358859724</v>
      </c>
      <c r="S89" s="24"/>
      <c r="T89" s="69"/>
      <c r="U89" s="69"/>
      <c r="V89" s="69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</row>
    <row r="90" spans="1:35">
      <c r="A90" s="1"/>
      <c r="B90" s="46">
        <v>2026</v>
      </c>
      <c r="C90" s="47">
        <v>0.95799999999999996</v>
      </c>
      <c r="D90" s="47">
        <f>C90+0.2%</f>
        <v>0.96</v>
      </c>
      <c r="E90" s="47">
        <f t="shared" ref="E90:O90" si="65">D90+0.2%</f>
        <v>0.96199999999999997</v>
      </c>
      <c r="F90" s="47">
        <v>0.96</v>
      </c>
      <c r="G90" s="47">
        <v>0.96</v>
      </c>
      <c r="H90" s="47">
        <f t="shared" si="65"/>
        <v>0.96199999999999997</v>
      </c>
      <c r="I90" s="47">
        <f t="shared" si="65"/>
        <v>0.96399999999999997</v>
      </c>
      <c r="J90" s="47">
        <f t="shared" si="65"/>
        <v>0.96599999999999997</v>
      </c>
      <c r="K90" s="47">
        <f t="shared" si="65"/>
        <v>0.96799999999999997</v>
      </c>
      <c r="L90" s="47">
        <f t="shared" si="65"/>
        <v>0.97</v>
      </c>
      <c r="M90" s="47">
        <f t="shared" si="65"/>
        <v>0.97199999999999998</v>
      </c>
      <c r="N90" s="47">
        <f t="shared" si="65"/>
        <v>0.97399999999999998</v>
      </c>
      <c r="O90" s="47">
        <f t="shared" si="65"/>
        <v>0.97599999999999998</v>
      </c>
      <c r="P90" s="44">
        <f>AVERAGE(C90:O90)</f>
        <v>0.96553846153846146</v>
      </c>
      <c r="R90">
        <v>0.91353846153846152</v>
      </c>
      <c r="S90" s="24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</row>
    <row r="91" spans="1:35">
      <c r="A91" s="1"/>
      <c r="B91" s="43" t="s">
        <v>24</v>
      </c>
      <c r="C91" s="91">
        <f>C90-C89</f>
        <v>3.058937851134802E-2</v>
      </c>
      <c r="D91" s="91">
        <f t="shared" ref="D91:F91" si="66">D90-D89</f>
        <v>2.2074229033932635E-3</v>
      </c>
      <c r="E91" s="91">
        <f t="shared" si="66"/>
        <v>-8.4986285024434283E-3</v>
      </c>
      <c r="F91" s="91">
        <f t="shared" si="66"/>
        <v>-1.7259489468374412E-2</v>
      </c>
      <c r="G91" s="91">
        <f>G90-G89</f>
        <v>-1.6696207168794164E-2</v>
      </c>
      <c r="H91" s="91">
        <f t="shared" ref="H91:O91" si="67">H90-H89</f>
        <v>-6.4649485695504882E-3</v>
      </c>
      <c r="I91" s="91">
        <f t="shared" si="67"/>
        <v>1.3055915905947568E-2</v>
      </c>
      <c r="J91" s="91">
        <f t="shared" si="67"/>
        <v>1.863274730489195E-3</v>
      </c>
      <c r="K91" s="91">
        <f t="shared" si="67"/>
        <v>2.4090725405849778E-3</v>
      </c>
      <c r="L91" s="91">
        <f t="shared" si="67"/>
        <v>8.0000000000000071E-3</v>
      </c>
      <c r="M91" s="91">
        <f t="shared" si="67"/>
        <v>1.0000000000000009E-2</v>
      </c>
      <c r="N91" s="91">
        <f t="shared" si="67"/>
        <v>1.2000000000000011E-2</v>
      </c>
      <c r="O91" s="91">
        <f t="shared" si="67"/>
        <v>1.4000000000000012E-2</v>
      </c>
      <c r="P91" s="48">
        <f>(AVERAGE(C90:O90)-AVERAGE(C89:O89))</f>
        <v>3.4773685294307022E-3</v>
      </c>
      <c r="R91">
        <v>1.3911307949864282E-2</v>
      </c>
      <c r="S91" s="24"/>
      <c r="T91" s="69"/>
      <c r="U91" s="69"/>
      <c r="V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</row>
    <row r="92" spans="1:35">
      <c r="A92" s="86"/>
      <c r="B92" s="43" t="s">
        <v>26</v>
      </c>
      <c r="C92" s="135">
        <f t="shared" ref="C92:P92" si="68">C91/3%*1%</f>
        <v>1.0196459503782673E-2</v>
      </c>
      <c r="D92" s="135">
        <f t="shared" si="68"/>
        <v>7.3580763446442132E-4</v>
      </c>
      <c r="E92" s="135">
        <f t="shared" si="68"/>
        <v>-2.8328761674811433E-3</v>
      </c>
      <c r="F92" s="135">
        <f t="shared" si="68"/>
        <v>-5.7531631561248044E-3</v>
      </c>
      <c r="G92" s="135">
        <f t="shared" si="68"/>
        <v>-5.5654023895980557E-3</v>
      </c>
      <c r="H92" s="135">
        <f t="shared" si="68"/>
        <v>-2.1549828565168294E-3</v>
      </c>
      <c r="I92" s="135">
        <f t="shared" si="68"/>
        <v>4.35197196864919E-3</v>
      </c>
      <c r="J92" s="135">
        <f t="shared" si="68"/>
        <v>6.2109157682973171E-4</v>
      </c>
      <c r="K92" s="135">
        <f t="shared" si="68"/>
        <v>8.0302418019499266E-4</v>
      </c>
      <c r="L92" s="135">
        <f t="shared" si="68"/>
        <v>2.6666666666666696E-3</v>
      </c>
      <c r="M92" s="135">
        <f t="shared" si="68"/>
        <v>3.3333333333333366E-3</v>
      </c>
      <c r="N92" s="135">
        <f t="shared" si="68"/>
        <v>4.0000000000000036E-3</v>
      </c>
      <c r="O92" s="135">
        <f t="shared" si="68"/>
        <v>4.6666666666666714E-3</v>
      </c>
      <c r="P92" s="80">
        <f t="shared" si="68"/>
        <v>1.1591228431435674E-3</v>
      </c>
      <c r="R92">
        <v>4.6371026499547607E-3</v>
      </c>
      <c r="S92" s="25"/>
      <c r="T92" s="69"/>
    </row>
    <row r="93" spans="1:35" ht="15" thickBot="1">
      <c r="A93" s="143"/>
      <c r="B93" s="141" t="s">
        <v>27</v>
      </c>
      <c r="C93" s="126">
        <f>C88*C92</f>
        <v>2.0293641172544494</v>
      </c>
      <c r="D93" s="126">
        <f t="shared" ref="D93:O93" si="69">D88*D92</f>
        <v>7.4449457719302475E-2</v>
      </c>
      <c r="E93" s="126">
        <f t="shared" si="69"/>
        <v>-0.36817474034817949</v>
      </c>
      <c r="F93" s="126">
        <f t="shared" si="69"/>
        <v>-0.75403800022036094</v>
      </c>
      <c r="G93" s="126">
        <f t="shared" si="69"/>
        <v>-0.56281565764914754</v>
      </c>
      <c r="H93" s="126">
        <f t="shared" si="69"/>
        <v>-0.28348941111987636</v>
      </c>
      <c r="I93" s="126">
        <f t="shared" si="69"/>
        <v>0.55952661007218041</v>
      </c>
      <c r="J93" s="126">
        <f t="shared" si="69"/>
        <v>6.3356798422328983E-2</v>
      </c>
      <c r="K93" s="126">
        <f t="shared" si="69"/>
        <v>0.10103306592114562</v>
      </c>
      <c r="L93" s="126">
        <f t="shared" si="69"/>
        <v>0.34888659032379504</v>
      </c>
      <c r="M93" s="126">
        <f t="shared" si="69"/>
        <v>0.35287219659296704</v>
      </c>
      <c r="N93" s="126">
        <f t="shared" si="69"/>
        <v>0.5305817346341285</v>
      </c>
      <c r="O93" s="126">
        <f t="shared" si="69"/>
        <v>0.75419306658613949</v>
      </c>
      <c r="P93" s="142">
        <f>SUM(C93:O93)</f>
        <v>2.845745828188873</v>
      </c>
      <c r="R93">
        <v>6.5465870522922307</v>
      </c>
      <c r="S93" s="25"/>
    </row>
    <row r="94" spans="1:35">
      <c r="A94" s="87"/>
      <c r="B94" s="56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41"/>
      <c r="S94" s="25"/>
    </row>
    <row r="95" spans="1:35">
      <c r="A95" s="1"/>
      <c r="B95" s="42" t="s">
        <v>42</v>
      </c>
      <c r="C95" s="128">
        <v>136.294971374055</v>
      </c>
      <c r="D95" s="128">
        <v>161.97658961868302</v>
      </c>
      <c r="E95" s="128">
        <v>140.182972939043</v>
      </c>
      <c r="F95" s="128">
        <v>105.746619939257</v>
      </c>
      <c r="G95" s="128">
        <v>142.511123133806</v>
      </c>
      <c r="H95" s="128">
        <v>103.959419077256</v>
      </c>
      <c r="I95" s="128">
        <v>137.77396650311999</v>
      </c>
      <c r="J95" s="128">
        <v>146.17499698727102</v>
      </c>
      <c r="K95" s="128">
        <v>139.38683367522901</v>
      </c>
      <c r="L95" s="129">
        <v>107.05194748701</v>
      </c>
      <c r="M95" s="129">
        <v>126.91694678950401</v>
      </c>
      <c r="N95" s="129">
        <v>123.625311908472</v>
      </c>
      <c r="O95" s="129">
        <v>106.960073079854</v>
      </c>
      <c r="P95" s="57">
        <f>SUM(C95:O95)</f>
        <v>1678.5617725125601</v>
      </c>
      <c r="R95" s="2">
        <v>1574.055762241657</v>
      </c>
      <c r="S95" s="25"/>
    </row>
    <row r="96" spans="1:35">
      <c r="A96" s="1"/>
      <c r="B96" s="43">
        <v>2025</v>
      </c>
      <c r="C96" s="45">
        <v>0.89123192093080927</v>
      </c>
      <c r="D96" s="45">
        <v>0.95544864548106057</v>
      </c>
      <c r="E96" s="45">
        <v>0.93109865389616575</v>
      </c>
      <c r="F96" s="45">
        <v>0.94019046455688915</v>
      </c>
      <c r="G96" s="45">
        <v>0.94673389221488968</v>
      </c>
      <c r="H96" s="45">
        <v>0.93372887173817642</v>
      </c>
      <c r="I96" s="45">
        <v>0.92567406230868898</v>
      </c>
      <c r="J96" s="45">
        <v>0.93832106116706748</v>
      </c>
      <c r="K96" s="45">
        <v>0.94645984310688858</v>
      </c>
      <c r="L96" s="45">
        <v>0.93400000000000005</v>
      </c>
      <c r="M96" s="45">
        <v>0.93400000000000005</v>
      </c>
      <c r="N96" s="45">
        <v>0.93500000000000005</v>
      </c>
      <c r="O96" s="45">
        <v>0.93500000000000005</v>
      </c>
      <c r="P96" s="44">
        <f>AVERAGE(C96:O96)</f>
        <v>0.93437595503081805</v>
      </c>
      <c r="R96" s="6">
        <v>0.92390118261070397</v>
      </c>
      <c r="S96" s="24"/>
      <c r="T96" s="69"/>
      <c r="U96" s="69"/>
      <c r="V96" s="69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</row>
    <row r="97" spans="1:35">
      <c r="A97" s="1"/>
      <c r="B97" s="46">
        <v>2026</v>
      </c>
      <c r="C97" s="47">
        <v>0.92</v>
      </c>
      <c r="D97" s="47">
        <v>0.94</v>
      </c>
      <c r="E97" s="47">
        <v>0.93</v>
      </c>
      <c r="F97" s="47">
        <v>0.94</v>
      </c>
      <c r="G97" s="47">
        <f t="shared" ref="G97" si="70">F97+0.4%</f>
        <v>0.94399999999999995</v>
      </c>
      <c r="H97" s="47">
        <v>0.93500000000000005</v>
      </c>
      <c r="I97" s="47">
        <v>0.94</v>
      </c>
      <c r="J97" s="47">
        <v>0.94</v>
      </c>
      <c r="K97" s="47">
        <v>0.94</v>
      </c>
      <c r="L97" s="47">
        <v>0.94</v>
      </c>
      <c r="M97" s="47">
        <v>0.94</v>
      </c>
      <c r="N97" s="47">
        <v>0.94</v>
      </c>
      <c r="O97" s="47">
        <v>0.94</v>
      </c>
      <c r="P97" s="44">
        <f>AVERAGE(C97:O97)</f>
        <v>0.9376153846153843</v>
      </c>
      <c r="R97" s="6">
        <v>0.93246153846153823</v>
      </c>
      <c r="S97" s="24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</row>
    <row r="98" spans="1:35">
      <c r="A98" s="1"/>
      <c r="B98" s="43" t="s">
        <v>24</v>
      </c>
      <c r="C98" s="91">
        <f>C97-C96</f>
        <v>2.8768079069190766E-2</v>
      </c>
      <c r="D98" s="91">
        <f t="shared" ref="D98:F98" si="71">D97-D96</f>
        <v>-1.5448645481060619E-2</v>
      </c>
      <c r="E98" s="91">
        <f t="shared" si="71"/>
        <v>-1.0986538961657022E-3</v>
      </c>
      <c r="F98" s="91">
        <f t="shared" si="71"/>
        <v>-1.9046455688920272E-4</v>
      </c>
      <c r="G98" s="91">
        <f>G97-G96</f>
        <v>-2.7338922148897327E-3</v>
      </c>
      <c r="H98" s="91">
        <f t="shared" ref="H98:O98" si="72">H97-H96</f>
        <v>1.2711282618236286E-3</v>
      </c>
      <c r="I98" s="91">
        <f t="shared" si="72"/>
        <v>1.4325937691310964E-2</v>
      </c>
      <c r="J98" s="91">
        <f t="shared" si="72"/>
        <v>1.6789388329324639E-3</v>
      </c>
      <c r="K98" s="91">
        <f t="shared" si="72"/>
        <v>-6.4598431068886297E-3</v>
      </c>
      <c r="L98" s="91">
        <f t="shared" si="72"/>
        <v>5.9999999999998943E-3</v>
      </c>
      <c r="M98" s="91">
        <f t="shared" si="72"/>
        <v>5.9999999999998943E-3</v>
      </c>
      <c r="N98" s="91">
        <f t="shared" si="72"/>
        <v>4.9999999999998934E-3</v>
      </c>
      <c r="O98" s="91">
        <f t="shared" si="72"/>
        <v>4.9999999999998934E-3</v>
      </c>
      <c r="P98" s="48">
        <f>(AVERAGE(C97:O97)-AVERAGE(C96:O96))</f>
        <v>3.2394295845662446E-3</v>
      </c>
      <c r="R98" s="9">
        <v>8.5603558508342559E-3</v>
      </c>
      <c r="S98" s="24"/>
      <c r="T98" s="69"/>
      <c r="U98" s="69"/>
      <c r="V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</row>
    <row r="99" spans="1:35">
      <c r="A99" s="86"/>
      <c r="B99" s="43" t="s">
        <v>26</v>
      </c>
      <c r="C99" s="135">
        <f t="shared" ref="C99:P99" si="73">C98/3%*1%</f>
        <v>9.589359689730256E-3</v>
      </c>
      <c r="D99" s="135">
        <f t="shared" si="73"/>
        <v>-5.149548493686873E-3</v>
      </c>
      <c r="E99" s="135">
        <f t="shared" si="73"/>
        <v>-3.6621796538856743E-4</v>
      </c>
      <c r="F99" s="135">
        <f t="shared" si="73"/>
        <v>-6.348818562973424E-5</v>
      </c>
      <c r="G99" s="135">
        <f t="shared" si="73"/>
        <v>-9.1129740496324429E-4</v>
      </c>
      <c r="H99" s="135">
        <f t="shared" si="73"/>
        <v>4.237094206078762E-4</v>
      </c>
      <c r="I99" s="135">
        <f t="shared" si="73"/>
        <v>4.7753125637703215E-3</v>
      </c>
      <c r="J99" s="135">
        <f t="shared" si="73"/>
        <v>5.5964627764415464E-4</v>
      </c>
      <c r="K99" s="135">
        <f t="shared" si="73"/>
        <v>-2.1532810356295435E-3</v>
      </c>
      <c r="L99" s="135">
        <f t="shared" si="73"/>
        <v>1.9999999999999649E-3</v>
      </c>
      <c r="M99" s="135">
        <f t="shared" si="73"/>
        <v>1.9999999999999649E-3</v>
      </c>
      <c r="N99" s="135">
        <f t="shared" si="73"/>
        <v>1.6666666666666314E-3</v>
      </c>
      <c r="O99" s="135">
        <f t="shared" si="73"/>
        <v>1.6666666666666314E-3</v>
      </c>
      <c r="P99" s="80">
        <f t="shared" si="73"/>
        <v>1.0798098615220817E-3</v>
      </c>
      <c r="R99" s="10">
        <v>2.8534519502780853E-3</v>
      </c>
      <c r="S99" s="25"/>
      <c r="T99" s="69"/>
    </row>
    <row r="100" spans="1:35" ht="15" thickBot="1">
      <c r="A100" s="143"/>
      <c r="B100" s="141" t="s">
        <v>27</v>
      </c>
      <c r="C100" s="126">
        <f>C95*C99</f>
        <v>1.3069815044073021</v>
      </c>
      <c r="D100" s="126">
        <f t="shared" ref="D100:O100" si="74">D95*D99</f>
        <v>-0.83410630308342593</v>
      </c>
      <c r="E100" s="126">
        <f t="shared" si="74"/>
        <v>-5.1337523131856931E-2</v>
      </c>
      <c r="F100" s="126">
        <f t="shared" si="74"/>
        <v>-6.7136610364205047E-3</v>
      </c>
      <c r="G100" s="126">
        <f t="shared" si="74"/>
        <v>-0.12987001669023476</v>
      </c>
      <c r="H100" s="126">
        <f t="shared" si="74"/>
        <v>4.4048585223955529E-2</v>
      </c>
      <c r="I100" s="126">
        <f t="shared" si="74"/>
        <v>0.65791375320282031</v>
      </c>
      <c r="J100" s="126">
        <f t="shared" si="74"/>
        <v>8.1806292948571738E-2</v>
      </c>
      <c r="K100" s="126">
        <f t="shared" si="74"/>
        <v>-0.30013902556932004</v>
      </c>
      <c r="L100" s="126">
        <f t="shared" si="74"/>
        <v>0.21410389497401625</v>
      </c>
      <c r="M100" s="126">
        <f t="shared" si="74"/>
        <v>0.25383389357900354</v>
      </c>
      <c r="N100" s="126">
        <f t="shared" si="74"/>
        <v>0.20604218651411565</v>
      </c>
      <c r="O100" s="126">
        <f t="shared" si="74"/>
        <v>0.17826678846641955</v>
      </c>
      <c r="P100" s="142">
        <f>SUM(C100:O100)</f>
        <v>1.6208303698049464</v>
      </c>
      <c r="R100" s="11">
        <v>2.7172562224772174</v>
      </c>
      <c r="S100" s="25"/>
    </row>
    <row r="101" spans="1:35">
      <c r="A101" s="87"/>
      <c r="B101" s="56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41"/>
      <c r="R101" s="11"/>
      <c r="S101" s="25"/>
    </row>
    <row r="102" spans="1:35">
      <c r="A102" s="1"/>
      <c r="B102" s="42" t="s">
        <v>44</v>
      </c>
      <c r="C102" s="40">
        <v>27.287031498463389</v>
      </c>
      <c r="D102" s="40">
        <v>32.480557764257902</v>
      </c>
      <c r="E102" s="40">
        <v>25.674973263778998</v>
      </c>
      <c r="F102" s="40">
        <v>22.041161874240927</v>
      </c>
      <c r="G102" s="40">
        <v>29.78729675629538</v>
      </c>
      <c r="H102" s="40">
        <v>40.847735728530978</v>
      </c>
      <c r="I102" s="40">
        <v>23.57964773700391</v>
      </c>
      <c r="J102" s="40">
        <v>26.56574510708424</v>
      </c>
      <c r="K102" s="40">
        <v>25.510506312419999</v>
      </c>
      <c r="L102" s="40">
        <v>25.817861810159997</v>
      </c>
      <c r="M102" s="40">
        <v>30.530646108839996</v>
      </c>
      <c r="N102" s="40">
        <v>28.1742539595</v>
      </c>
      <c r="O102" s="40">
        <v>26.637476470799996</v>
      </c>
      <c r="P102" s="41">
        <f>SUM(C102:O102)</f>
        <v>364.93489439137568</v>
      </c>
      <c r="R102" s="2">
        <v>370.94320000000005</v>
      </c>
      <c r="S102" s="25"/>
    </row>
    <row r="103" spans="1:35">
      <c r="A103" s="4"/>
      <c r="B103" s="43">
        <v>2025</v>
      </c>
      <c r="C103" s="91">
        <v>0.8752143946299199</v>
      </c>
      <c r="D103" s="91">
        <v>0.92147917224998177</v>
      </c>
      <c r="E103" s="91">
        <v>0.91892155351836846</v>
      </c>
      <c r="F103" s="91">
        <v>0.91668826391437619</v>
      </c>
      <c r="G103" s="91">
        <v>0.91987532167422092</v>
      </c>
      <c r="H103" s="91">
        <v>0.90925246974393914</v>
      </c>
      <c r="I103" s="91">
        <v>0.91038844551469522</v>
      </c>
      <c r="J103" s="91">
        <v>0.90119728287815892</v>
      </c>
      <c r="K103" s="91">
        <v>0.89839704325762715</v>
      </c>
      <c r="L103" s="92">
        <v>0.90039704325762715</v>
      </c>
      <c r="M103" s="92">
        <v>0.90239704325762715</v>
      </c>
      <c r="N103" s="92">
        <v>0.90439704325762715</v>
      </c>
      <c r="O103" s="92">
        <v>0.90639704325762716</v>
      </c>
      <c r="P103" s="44">
        <f>AVERAGE(C103:O103)</f>
        <v>0.90653862464706125</v>
      </c>
      <c r="R103" s="6">
        <v>0.88848332206117753</v>
      </c>
      <c r="S103" s="24"/>
      <c r="T103" s="69"/>
      <c r="U103" s="69"/>
      <c r="V103" s="69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</row>
    <row r="104" spans="1:35">
      <c r="A104" s="4"/>
      <c r="B104" s="43">
        <v>2026</v>
      </c>
      <c r="C104" s="45">
        <v>0.90600000000000003</v>
      </c>
      <c r="D104" s="45">
        <f>C104+0.1%</f>
        <v>0.90700000000000003</v>
      </c>
      <c r="E104" s="45">
        <f t="shared" ref="E104:F104" si="75">D104+0.1%</f>
        <v>0.90800000000000003</v>
      </c>
      <c r="F104" s="45">
        <f t="shared" si="75"/>
        <v>0.90900000000000003</v>
      </c>
      <c r="G104" s="45">
        <f>F104+0.2%</f>
        <v>0.91100000000000003</v>
      </c>
      <c r="H104" s="45">
        <f t="shared" ref="H104:O104" si="76">G104+0.2%</f>
        <v>0.91300000000000003</v>
      </c>
      <c r="I104" s="45">
        <f t="shared" si="76"/>
        <v>0.91500000000000004</v>
      </c>
      <c r="J104" s="45">
        <f t="shared" si="76"/>
        <v>0.91700000000000004</v>
      </c>
      <c r="K104" s="45">
        <f t="shared" si="76"/>
        <v>0.91900000000000004</v>
      </c>
      <c r="L104" s="45">
        <f t="shared" si="76"/>
        <v>0.92100000000000004</v>
      </c>
      <c r="M104" s="45">
        <f t="shared" si="76"/>
        <v>0.92300000000000004</v>
      </c>
      <c r="N104" s="45">
        <f t="shared" si="76"/>
        <v>0.92500000000000004</v>
      </c>
      <c r="O104" s="45">
        <f t="shared" si="76"/>
        <v>0.92700000000000005</v>
      </c>
      <c r="P104" s="44">
        <f>AVERAGE(C104:O104)</f>
        <v>0.91546153846153844</v>
      </c>
      <c r="R104" s="6">
        <v>0.90446153846153854</v>
      </c>
      <c r="S104" s="24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</row>
    <row r="105" spans="1:35">
      <c r="A105" s="4"/>
      <c r="B105" s="46" t="s">
        <v>24</v>
      </c>
      <c r="C105" s="47">
        <f>C104-C103</f>
        <v>3.0785605370080127E-2</v>
      </c>
      <c r="D105" s="47">
        <f t="shared" ref="D105:F105" si="77">D104-D103</f>
        <v>-1.4479172249981742E-2</v>
      </c>
      <c r="E105" s="47">
        <f t="shared" si="77"/>
        <v>-1.0921553518368432E-2</v>
      </c>
      <c r="F105" s="47">
        <f t="shared" si="77"/>
        <v>-7.6882639143761589E-3</v>
      </c>
      <c r="G105" s="47">
        <f>G104-G103</f>
        <v>-8.8753216742208929E-3</v>
      </c>
      <c r="H105" s="47">
        <f t="shared" ref="H105:O105" si="78">H104-H103</f>
        <v>3.7475302560608936E-3</v>
      </c>
      <c r="I105" s="47">
        <f t="shared" si="78"/>
        <v>4.611554485304814E-3</v>
      </c>
      <c r="J105" s="47">
        <f t="shared" si="78"/>
        <v>1.5802717121841114E-2</v>
      </c>
      <c r="K105" s="47">
        <f t="shared" si="78"/>
        <v>2.0602956742372891E-2</v>
      </c>
      <c r="L105" s="47">
        <f t="shared" si="78"/>
        <v>2.0602956742372891E-2</v>
      </c>
      <c r="M105" s="47">
        <f t="shared" si="78"/>
        <v>2.0602956742372891E-2</v>
      </c>
      <c r="N105" s="47">
        <f t="shared" si="78"/>
        <v>2.0602956742372891E-2</v>
      </c>
      <c r="O105" s="47">
        <f t="shared" si="78"/>
        <v>2.0602956742372891E-2</v>
      </c>
      <c r="P105" s="44">
        <f>(AVERAGE(C104:O104)-AVERAGE(C103:O103))</f>
        <v>8.9229138144771847E-3</v>
      </c>
      <c r="R105" s="9">
        <v>1.5978216400361012E-2</v>
      </c>
      <c r="S105" s="24"/>
      <c r="T105" s="69"/>
      <c r="U105" s="69"/>
      <c r="V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</row>
    <row r="106" spans="1:35">
      <c r="A106" s="4"/>
      <c r="B106" s="43" t="s">
        <v>26</v>
      </c>
      <c r="C106" s="91">
        <f t="shared" ref="C106:P106" si="79">C105/3%*1%</f>
        <v>1.0261868456693378E-2</v>
      </c>
      <c r="D106" s="91">
        <f t="shared" si="79"/>
        <v>-4.826390749993914E-3</v>
      </c>
      <c r="E106" s="91">
        <f t="shared" si="79"/>
        <v>-3.6405178394561446E-3</v>
      </c>
      <c r="F106" s="91">
        <f t="shared" si="79"/>
        <v>-2.5627546381253863E-3</v>
      </c>
      <c r="G106" s="91">
        <f t="shared" si="79"/>
        <v>-2.9584405580736313E-3</v>
      </c>
      <c r="H106" s="91">
        <f t="shared" si="79"/>
        <v>1.2491767520202979E-3</v>
      </c>
      <c r="I106" s="91">
        <f t="shared" si="79"/>
        <v>1.5371848284349383E-3</v>
      </c>
      <c r="J106" s="91">
        <f t="shared" si="79"/>
        <v>5.2675723739470381E-3</v>
      </c>
      <c r="K106" s="91">
        <f t="shared" si="79"/>
        <v>6.8676522474576309E-3</v>
      </c>
      <c r="L106" s="91">
        <f t="shared" si="79"/>
        <v>6.8676522474576309E-3</v>
      </c>
      <c r="M106" s="91">
        <f t="shared" si="79"/>
        <v>6.8676522474576309E-3</v>
      </c>
      <c r="N106" s="91">
        <f t="shared" si="79"/>
        <v>6.8676522474576309E-3</v>
      </c>
      <c r="O106" s="91">
        <f t="shared" si="79"/>
        <v>6.8676522474576309E-3</v>
      </c>
      <c r="P106" s="48">
        <f t="shared" si="79"/>
        <v>2.9743046048257282E-3</v>
      </c>
      <c r="R106" s="10">
        <v>5.3260721334536711E-3</v>
      </c>
      <c r="S106" s="25"/>
      <c r="T106" s="69"/>
    </row>
    <row r="107" spans="1:35" ht="15" thickBot="1">
      <c r="A107" s="4"/>
      <c r="B107" s="49" t="s">
        <v>27</v>
      </c>
      <c r="C107" s="126">
        <f>C102*C106</f>
        <v>0.28001592781088008</v>
      </c>
      <c r="D107" s="126">
        <f t="shared" ref="D107:O107" si="80">D102*D106</f>
        <v>-0.15676386354805735</v>
      </c>
      <c r="E107" s="126">
        <f t="shared" si="80"/>
        <v>-9.3470198194347001E-2</v>
      </c>
      <c r="F107" s="126">
        <f t="shared" si="80"/>
        <v>-5.6486089822883369E-2</v>
      </c>
      <c r="G107" s="126">
        <f t="shared" si="80"/>
        <v>-8.8123946839199371E-2</v>
      </c>
      <c r="H107" s="126">
        <f t="shared" si="80"/>
        <v>5.1026041844749806E-2</v>
      </c>
      <c r="I107" s="126">
        <f t="shared" si="80"/>
        <v>3.6246276761162634E-2</v>
      </c>
      <c r="J107" s="126">
        <f t="shared" si="80"/>
        <v>0.13993698501939564</v>
      </c>
      <c r="K107" s="126">
        <f t="shared" si="80"/>
        <v>0.17519728601027329</v>
      </c>
      <c r="L107" s="126">
        <f t="shared" si="80"/>
        <v>0.17730809668509584</v>
      </c>
      <c r="M107" s="126">
        <f t="shared" si="80"/>
        <v>0.20967386036570856</v>
      </c>
      <c r="N107" s="126">
        <f t="shared" si="80"/>
        <v>0.19349097852540223</v>
      </c>
      <c r="O107" s="126">
        <f t="shared" si="80"/>
        <v>0.18293692515128934</v>
      </c>
      <c r="P107" s="50">
        <f>SUM(C107:O107)</f>
        <v>1.0509882797694703</v>
      </c>
      <c r="R107" s="11">
        <v>1.9070921007658244</v>
      </c>
      <c r="S107" s="25"/>
    </row>
    <row r="108" spans="1:35">
      <c r="A108" s="4"/>
      <c r="B108" s="52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51"/>
      <c r="R108" s="11"/>
      <c r="S108" s="25"/>
    </row>
    <row r="109" spans="1:35">
      <c r="A109" s="4"/>
      <c r="B109" s="42" t="s">
        <v>45</v>
      </c>
      <c r="C109" s="40">
        <v>14.216254515839877</v>
      </c>
      <c r="D109" s="40">
        <v>16.922026715113073</v>
      </c>
      <c r="E109" s="40">
        <v>13.376389242846759</v>
      </c>
      <c r="F109" s="40">
        <v>11.483211980998393</v>
      </c>
      <c r="G109" s="40">
        <v>15.518866244215431</v>
      </c>
      <c r="H109" s="40">
        <v>17.478693522666308</v>
      </c>
      <c r="I109" s="40">
        <v>16.087291153506172</v>
      </c>
      <c r="J109" s="40">
        <v>13.84047194237691</v>
      </c>
      <c r="K109" s="40">
        <v>13.290703702442865</v>
      </c>
      <c r="L109" s="40">
        <v>13.450832662713264</v>
      </c>
      <c r="M109" s="40">
        <v>15.906143386859336</v>
      </c>
      <c r="N109" s="40">
        <v>14.678488024786299</v>
      </c>
      <c r="O109" s="40">
        <v>13.877843223434319</v>
      </c>
      <c r="P109" s="41">
        <f>SUM(C109:O109)</f>
        <v>190.127216317799</v>
      </c>
      <c r="R109" s="2">
        <v>161.85320000000002</v>
      </c>
      <c r="S109" s="25"/>
    </row>
    <row r="110" spans="1:35">
      <c r="A110" s="4"/>
      <c r="B110" s="43">
        <v>2025</v>
      </c>
      <c r="C110" s="91">
        <v>0.88728987208299737</v>
      </c>
      <c r="D110" s="91">
        <v>0.93072464803827748</v>
      </c>
      <c r="E110" s="91">
        <v>0.9133911655281326</v>
      </c>
      <c r="F110" s="91">
        <v>0.94847572679655978</v>
      </c>
      <c r="G110" s="91">
        <v>0.96015433214863377</v>
      </c>
      <c r="H110" s="91">
        <v>0.94672984786039038</v>
      </c>
      <c r="I110" s="91">
        <v>0.91397291721356144</v>
      </c>
      <c r="J110" s="91">
        <v>0.94542566887801827</v>
      </c>
      <c r="K110" s="91">
        <v>0.95182175865905172</v>
      </c>
      <c r="L110" s="92">
        <v>0.93899999999999995</v>
      </c>
      <c r="M110" s="92">
        <v>0.94</v>
      </c>
      <c r="N110" s="92">
        <v>0.94</v>
      </c>
      <c r="O110" s="92">
        <v>0.94</v>
      </c>
      <c r="P110" s="44">
        <f>AVERAGE(C110:O110)</f>
        <v>0.93515276440043238</v>
      </c>
      <c r="R110" s="6">
        <v>0.91813002739047522</v>
      </c>
      <c r="S110" s="24"/>
      <c r="T110" s="69"/>
      <c r="U110" s="69"/>
      <c r="V110" s="69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</row>
    <row r="111" spans="1:35">
      <c r="A111" s="4"/>
      <c r="B111" s="43">
        <v>2026</v>
      </c>
      <c r="C111" s="45">
        <v>0.93</v>
      </c>
      <c r="D111" s="45">
        <f>C111+0.2%</f>
        <v>0.93200000000000005</v>
      </c>
      <c r="E111" s="45">
        <f t="shared" ref="E111:F111" si="81">D111+0.2%</f>
        <v>0.93400000000000005</v>
      </c>
      <c r="F111" s="45">
        <f t="shared" si="81"/>
        <v>0.93600000000000005</v>
      </c>
      <c r="G111" s="45">
        <f>F111+0.3%</f>
        <v>0.93900000000000006</v>
      </c>
      <c r="H111" s="45">
        <f t="shared" ref="H111:I111" si="82">G111+0.3%</f>
        <v>0.94200000000000006</v>
      </c>
      <c r="I111" s="45">
        <f t="shared" si="82"/>
        <v>0.94500000000000006</v>
      </c>
      <c r="J111" s="45">
        <v>0.94499999999999995</v>
      </c>
      <c r="K111" s="45">
        <v>0.94499999999999995</v>
      </c>
      <c r="L111" s="45">
        <v>0.94499999999999995</v>
      </c>
      <c r="M111" s="45">
        <v>0.94499999999999995</v>
      </c>
      <c r="N111" s="45">
        <v>0.94499999999999995</v>
      </c>
      <c r="O111" s="45">
        <v>0.94499999999999995</v>
      </c>
      <c r="P111" s="44">
        <f>AVERAGE(C111:O111)</f>
        <v>0.94061538461538474</v>
      </c>
      <c r="R111" s="6">
        <v>0.94061538461538474</v>
      </c>
      <c r="S111" s="24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</row>
    <row r="112" spans="1:35">
      <c r="A112" s="4"/>
      <c r="B112" s="46" t="s">
        <v>24</v>
      </c>
      <c r="C112" s="47">
        <f>C111-C110</f>
        <v>4.2710127917002683E-2</v>
      </c>
      <c r="D112" s="47">
        <f t="shared" ref="D112:F112" si="83">D111-D110</f>
        <v>1.2753519617225706E-3</v>
      </c>
      <c r="E112" s="47">
        <f t="shared" si="83"/>
        <v>2.0608834471867454E-2</v>
      </c>
      <c r="F112" s="47">
        <f t="shared" si="83"/>
        <v>-1.2475726796559727E-2</v>
      </c>
      <c r="G112" s="47">
        <f>G111-G110</f>
        <v>-2.1154332148633714E-2</v>
      </c>
      <c r="H112" s="47">
        <f t="shared" ref="H112:O112" si="84">H111-H110</f>
        <v>-4.7298478603903238E-3</v>
      </c>
      <c r="I112" s="47">
        <f t="shared" si="84"/>
        <v>3.102708278643862E-2</v>
      </c>
      <c r="J112" s="47">
        <f t="shared" si="84"/>
        <v>-4.2566887801831488E-4</v>
      </c>
      <c r="K112" s="47">
        <f t="shared" si="84"/>
        <v>-6.8217586590517687E-3</v>
      </c>
      <c r="L112" s="47">
        <f t="shared" si="84"/>
        <v>6.0000000000000053E-3</v>
      </c>
      <c r="M112" s="47">
        <f t="shared" si="84"/>
        <v>5.0000000000000044E-3</v>
      </c>
      <c r="N112" s="47">
        <f t="shared" si="84"/>
        <v>5.0000000000000044E-3</v>
      </c>
      <c r="O112" s="47">
        <f t="shared" si="84"/>
        <v>5.0000000000000044E-3</v>
      </c>
      <c r="P112" s="44">
        <f>(AVERAGE(C111:O111)-AVERAGE(C110:O110))</f>
        <v>5.4626202149523628E-3</v>
      </c>
      <c r="R112" s="9">
        <v>2.2485357224909519E-2</v>
      </c>
      <c r="S112" s="24"/>
      <c r="T112" s="69"/>
      <c r="U112" s="69"/>
      <c r="V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</row>
    <row r="113" spans="1:35">
      <c r="A113" s="4"/>
      <c r="B113" s="43" t="s">
        <v>26</v>
      </c>
      <c r="C113" s="91">
        <f t="shared" ref="C113:P113" si="85">C112/3%*1%</f>
        <v>1.4236709305667561E-2</v>
      </c>
      <c r="D113" s="91">
        <f t="shared" si="85"/>
        <v>4.2511732057419027E-4</v>
      </c>
      <c r="E113" s="91">
        <f t="shared" si="85"/>
        <v>6.8696114906224848E-3</v>
      </c>
      <c r="F113" s="91">
        <f t="shared" si="85"/>
        <v>-4.1585755988532425E-3</v>
      </c>
      <c r="G113" s="91">
        <f t="shared" si="85"/>
        <v>-7.051444049544572E-3</v>
      </c>
      <c r="H113" s="91">
        <f t="shared" si="85"/>
        <v>-1.5766159534634414E-3</v>
      </c>
      <c r="I113" s="91">
        <f t="shared" si="85"/>
        <v>1.0342360928812876E-2</v>
      </c>
      <c r="J113" s="91">
        <f t="shared" si="85"/>
        <v>-1.4188962600610497E-4</v>
      </c>
      <c r="K113" s="91">
        <f t="shared" si="85"/>
        <v>-2.2739195530172562E-3</v>
      </c>
      <c r="L113" s="91">
        <f t="shared" si="85"/>
        <v>2.0000000000000018E-3</v>
      </c>
      <c r="M113" s="91">
        <f t="shared" si="85"/>
        <v>1.6666666666666683E-3</v>
      </c>
      <c r="N113" s="91">
        <f t="shared" si="85"/>
        <v>1.6666666666666683E-3</v>
      </c>
      <c r="O113" s="91">
        <f t="shared" si="85"/>
        <v>1.6666666666666683E-3</v>
      </c>
      <c r="P113" s="48">
        <f t="shared" si="85"/>
        <v>1.8208734049841211E-3</v>
      </c>
      <c r="R113" s="10">
        <v>7.4951190749698408E-3</v>
      </c>
      <c r="S113" s="25"/>
      <c r="T113" s="69"/>
    </row>
    <row r="114" spans="1:35" ht="15" thickBot="1">
      <c r="A114" s="4"/>
      <c r="B114" s="49" t="s">
        <v>27</v>
      </c>
      <c r="C114" s="126">
        <f t="shared" ref="C114:O114" si="86">C109*C113</f>
        <v>0.20239268295739607</v>
      </c>
      <c r="D114" s="126">
        <f t="shared" si="86"/>
        <v>7.1938466558137361E-3</v>
      </c>
      <c r="E114" s="126">
        <f t="shared" si="86"/>
        <v>9.189059724569909E-2</v>
      </c>
      <c r="F114" s="126">
        <f t="shared" si="86"/>
        <v>-4.7753805140639122E-2</v>
      </c>
      <c r="G114" s="126">
        <f t="shared" si="86"/>
        <v>-0.10943041703345102</v>
      </c>
      <c r="H114" s="126">
        <f t="shared" si="86"/>
        <v>-2.755718705353382E-2</v>
      </c>
      <c r="I114" s="126">
        <f t="shared" si="86"/>
        <v>0.16638057147645924</v>
      </c>
      <c r="J114" s="126">
        <f t="shared" si="86"/>
        <v>-1.9638193876518489E-3</v>
      </c>
      <c r="K114" s="126">
        <f t="shared" si="86"/>
        <v>-3.0221991022343672E-2</v>
      </c>
      <c r="L114" s="126">
        <f t="shared" si="86"/>
        <v>2.6901665325426552E-2</v>
      </c>
      <c r="M114" s="126">
        <f t="shared" si="86"/>
        <v>2.651023897809892E-2</v>
      </c>
      <c r="N114" s="126">
        <f t="shared" si="86"/>
        <v>2.446414670797719E-2</v>
      </c>
      <c r="O114" s="126">
        <f t="shared" si="86"/>
        <v>2.3129738705723886E-2</v>
      </c>
      <c r="P114" s="50">
        <f>SUM(C114:O114)</f>
        <v>0.35193626841497522</v>
      </c>
      <c r="R114" s="11">
        <v>1.2954355715714938</v>
      </c>
      <c r="S114" s="25"/>
    </row>
    <row r="115" spans="1:35">
      <c r="A115" s="4"/>
      <c r="B115" s="52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51"/>
      <c r="R115" s="11"/>
      <c r="S115" s="25"/>
    </row>
    <row r="116" spans="1:35">
      <c r="A116" s="1"/>
      <c r="B116" s="42" t="s">
        <v>29</v>
      </c>
      <c r="C116" s="40">
        <v>14.278079555150303</v>
      </c>
      <c r="D116" s="40">
        <v>15.939608374800001</v>
      </c>
      <c r="E116" s="40">
        <v>11.321293030462702</v>
      </c>
      <c r="F116" s="40">
        <v>14.959558547999999</v>
      </c>
      <c r="G116" s="40">
        <v>21.569833080655197</v>
      </c>
      <c r="H116" s="40">
        <v>13.799850387087501</v>
      </c>
      <c r="I116" s="40">
        <v>8.4154894460999898</v>
      </c>
      <c r="J116" s="40">
        <v>13.354537184999902</v>
      </c>
      <c r="K116" s="40">
        <v>14.849567</v>
      </c>
      <c r="L116" s="40">
        <v>17.819721000000001</v>
      </c>
      <c r="M116" s="40">
        <v>18.612123</v>
      </c>
      <c r="N116" s="40">
        <v>13.562968</v>
      </c>
      <c r="O116" s="40">
        <v>14.652134999999999</v>
      </c>
      <c r="P116" s="41">
        <f>SUM(C116:O116)</f>
        <v>193.13476360725559</v>
      </c>
      <c r="R116" s="2">
        <v>218.45250000000001</v>
      </c>
      <c r="S116" s="25"/>
    </row>
    <row r="117" spans="1:35">
      <c r="A117" s="4"/>
      <c r="B117" s="42">
        <v>2025</v>
      </c>
      <c r="C117" s="94">
        <v>0.90139603273286706</v>
      </c>
      <c r="D117" s="94">
        <v>0.91978671759067099</v>
      </c>
      <c r="E117" s="94">
        <v>0.90077176496687539</v>
      </c>
      <c r="F117" s="94">
        <v>0.90752885729512045</v>
      </c>
      <c r="G117" s="94">
        <v>0.924881194714824</v>
      </c>
      <c r="H117" s="94">
        <v>0.92621366508135305</v>
      </c>
      <c r="I117" s="94">
        <v>0.91399530294775544</v>
      </c>
      <c r="J117" s="94">
        <v>0.89823647066327683</v>
      </c>
      <c r="K117" s="45">
        <v>0.90885506892344081</v>
      </c>
      <c r="L117" s="45">
        <v>0.91</v>
      </c>
      <c r="M117" s="45">
        <v>0.91100000000000003</v>
      </c>
      <c r="N117" s="45">
        <v>0.91200000000000003</v>
      </c>
      <c r="O117" s="45">
        <v>0.91200000000000003</v>
      </c>
      <c r="P117" s="101">
        <f>AVERAGE(C117:O117)</f>
        <v>0.91128192883970649</v>
      </c>
      <c r="R117" s="6">
        <v>0.9351439415917302</v>
      </c>
      <c r="S117" s="24"/>
      <c r="T117" s="69"/>
      <c r="U117" s="69"/>
      <c r="V117" s="69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</row>
    <row r="118" spans="1:35">
      <c r="A118" s="4"/>
      <c r="B118" s="43">
        <v>2026</v>
      </c>
      <c r="C118" s="91">
        <v>0.92</v>
      </c>
      <c r="D118" s="91">
        <v>0.92</v>
      </c>
      <c r="E118" s="91">
        <v>0.92</v>
      </c>
      <c r="F118" s="91">
        <f t="shared" ref="F118" si="87">E118+0.1%</f>
        <v>0.92100000000000004</v>
      </c>
      <c r="G118" s="91">
        <f>F118+0.2%</f>
        <v>0.92300000000000004</v>
      </c>
      <c r="H118" s="91">
        <f t="shared" ref="H118" si="88">G118+0.2%</f>
        <v>0.92500000000000004</v>
      </c>
      <c r="I118" s="91">
        <v>0.93500000000000005</v>
      </c>
      <c r="J118" s="91">
        <v>0.93500000000000005</v>
      </c>
      <c r="K118" s="91">
        <v>0.93500000000000005</v>
      </c>
      <c r="L118" s="92">
        <v>0.95499999999999996</v>
      </c>
      <c r="M118" s="92">
        <v>0.95499999999999996</v>
      </c>
      <c r="N118" s="92">
        <v>0.95499999999999996</v>
      </c>
      <c r="O118" s="92">
        <v>0.95499999999999996</v>
      </c>
      <c r="P118" s="44">
        <f>AVERAGE(C118:O118)</f>
        <v>0.93492307692307708</v>
      </c>
      <c r="R118" s="6">
        <v>0.95161538461538464</v>
      </c>
      <c r="S118" s="24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</row>
    <row r="119" spans="1:35">
      <c r="A119" s="4"/>
      <c r="B119" s="43" t="s">
        <v>24</v>
      </c>
      <c r="C119" s="45">
        <f>C118-C117</f>
        <v>1.8603967267132981E-2</v>
      </c>
      <c r="D119" s="45">
        <f t="shared" ref="D119:F119" si="89">D118-D117</f>
        <v>2.1328240932905196E-4</v>
      </c>
      <c r="E119" s="45">
        <f t="shared" si="89"/>
        <v>1.9228235033124652E-2</v>
      </c>
      <c r="F119" s="45">
        <f t="shared" si="89"/>
        <v>1.3471142704879591E-2</v>
      </c>
      <c r="G119" s="45">
        <f>G118-G117</f>
        <v>-1.8811947148239527E-3</v>
      </c>
      <c r="H119" s="45">
        <f t="shared" ref="H119:O119" si="90">H118-H117</f>
        <v>-1.2136650813530103E-3</v>
      </c>
      <c r="I119" s="45">
        <f t="shared" si="90"/>
        <v>2.1004697052244614E-2</v>
      </c>
      <c r="J119" s="45">
        <f t="shared" si="90"/>
        <v>3.6763529336723222E-2</v>
      </c>
      <c r="K119" s="45">
        <f t="shared" si="90"/>
        <v>2.6144931076559241E-2</v>
      </c>
      <c r="L119" s="45">
        <f t="shared" si="90"/>
        <v>4.4999999999999929E-2</v>
      </c>
      <c r="M119" s="45">
        <f t="shared" si="90"/>
        <v>4.3999999999999928E-2</v>
      </c>
      <c r="N119" s="45">
        <f t="shared" si="90"/>
        <v>4.2999999999999927E-2</v>
      </c>
      <c r="O119" s="45">
        <f t="shared" si="90"/>
        <v>4.2999999999999927E-2</v>
      </c>
      <c r="P119" s="44">
        <f>(AVERAGE(C118:O118)-AVERAGE(C117:O117))</f>
        <v>2.3641148083370589E-2</v>
      </c>
      <c r="R119" s="9">
        <v>1.6471443023654442E-2</v>
      </c>
      <c r="S119" s="24"/>
      <c r="T119" s="69"/>
      <c r="U119" s="69"/>
      <c r="V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</row>
    <row r="120" spans="1:35">
      <c r="A120" s="4"/>
      <c r="B120" s="46" t="s">
        <v>26</v>
      </c>
      <c r="C120" s="47">
        <f t="shared" ref="C120:P120" si="91">C119/3%*1%</f>
        <v>6.2013224223776611E-3</v>
      </c>
      <c r="D120" s="47">
        <f t="shared" si="91"/>
        <v>7.1094136443017319E-5</v>
      </c>
      <c r="E120" s="47">
        <f t="shared" si="91"/>
        <v>6.4094116777082179E-3</v>
      </c>
      <c r="F120" s="47">
        <f t="shared" si="91"/>
        <v>4.4903809016265308E-3</v>
      </c>
      <c r="G120" s="47">
        <f t="shared" si="91"/>
        <v>-6.2706490494131772E-4</v>
      </c>
      <c r="H120" s="47">
        <f t="shared" si="91"/>
        <v>-4.0455502711767011E-4</v>
      </c>
      <c r="I120" s="47">
        <f t="shared" si="91"/>
        <v>7.0015656840815392E-3</v>
      </c>
      <c r="J120" s="47">
        <f t="shared" si="91"/>
        <v>1.2254509778907741E-2</v>
      </c>
      <c r="K120" s="47">
        <f t="shared" si="91"/>
        <v>8.7149770255197483E-3</v>
      </c>
      <c r="L120" s="47">
        <f t="shared" si="91"/>
        <v>1.4999999999999979E-2</v>
      </c>
      <c r="M120" s="47">
        <f t="shared" si="91"/>
        <v>1.4666666666666644E-2</v>
      </c>
      <c r="N120" s="47">
        <f t="shared" si="91"/>
        <v>1.4333333333333309E-2</v>
      </c>
      <c r="O120" s="47">
        <f t="shared" si="91"/>
        <v>1.4333333333333309E-2</v>
      </c>
      <c r="P120" s="44">
        <f t="shared" si="91"/>
        <v>7.8803826944568636E-3</v>
      </c>
      <c r="R120" s="10">
        <v>5.4904810078848145E-3</v>
      </c>
      <c r="S120" s="25"/>
      <c r="T120" s="69"/>
    </row>
    <row r="121" spans="1:35">
      <c r="A121" s="4"/>
      <c r="B121" s="43" t="s">
        <v>27</v>
      </c>
      <c r="C121" s="185">
        <f>C116*C120</f>
        <v>8.8542974893845633E-2</v>
      </c>
      <c r="D121" s="185">
        <f t="shared" ref="D121:O121" si="92">D116*D120</f>
        <v>1.1332126926462927E-3</v>
      </c>
      <c r="E121" s="185">
        <f t="shared" si="92"/>
        <v>7.2562827756204304E-2</v>
      </c>
      <c r="F121" s="185">
        <f t="shared" si="92"/>
        <v>6.717411600070311E-2</v>
      </c>
      <c r="G121" s="185">
        <f t="shared" si="92"/>
        <v>-1.3525685330321141E-2</v>
      </c>
      <c r="H121" s="185">
        <f t="shared" si="92"/>
        <v>-5.5827988475679741E-3</v>
      </c>
      <c r="I121" s="185">
        <f t="shared" si="92"/>
        <v>5.8921602120564048E-2</v>
      </c>
      <c r="J121" s="185">
        <f t="shared" si="92"/>
        <v>0.16365330652636836</v>
      </c>
      <c r="K121" s="185">
        <f t="shared" si="92"/>
        <v>0.12941363524391622</v>
      </c>
      <c r="L121" s="185">
        <f t="shared" si="92"/>
        <v>0.26729581499999966</v>
      </c>
      <c r="M121" s="185">
        <f t="shared" si="92"/>
        <v>0.2729778039999996</v>
      </c>
      <c r="N121" s="185">
        <f t="shared" si="92"/>
        <v>0.19440254133333301</v>
      </c>
      <c r="O121" s="185">
        <f t="shared" si="92"/>
        <v>0.21001393499999962</v>
      </c>
      <c r="P121" s="186">
        <f>SUM(C121:O121)</f>
        <v>1.5069832863896908</v>
      </c>
      <c r="S121" s="25"/>
    </row>
    <row r="122" spans="1:35" ht="15" thickBot="1">
      <c r="A122" s="4"/>
      <c r="B122" s="49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50"/>
      <c r="S122" s="25"/>
    </row>
    <row r="123" spans="1:35">
      <c r="A123" s="134" t="s">
        <v>20</v>
      </c>
      <c r="B123" s="137" t="s">
        <v>46</v>
      </c>
      <c r="C123" s="138">
        <f>C124+C131+C138+C145</f>
        <v>312.34389147253023</v>
      </c>
      <c r="D123" s="138">
        <f t="shared" ref="D123:O123" si="93">D124+D131+D138+D145</f>
        <v>349.307421393266</v>
      </c>
      <c r="E123" s="138">
        <f t="shared" si="93"/>
        <v>348.38479481551889</v>
      </c>
      <c r="F123" s="138">
        <f t="shared" si="93"/>
        <v>360.88676928559937</v>
      </c>
      <c r="G123" s="138">
        <f t="shared" si="93"/>
        <v>363.19004226426603</v>
      </c>
      <c r="H123" s="138">
        <f t="shared" si="93"/>
        <v>360.09605931893265</v>
      </c>
      <c r="I123" s="138">
        <f t="shared" si="93"/>
        <v>363.55642530226601</v>
      </c>
      <c r="J123" s="138">
        <f t="shared" si="93"/>
        <v>359.11523086499511</v>
      </c>
      <c r="K123" s="138">
        <f t="shared" si="93"/>
        <v>346.38221445572208</v>
      </c>
      <c r="L123" s="138">
        <f t="shared" si="93"/>
        <v>377.68146021655997</v>
      </c>
      <c r="M123" s="138">
        <f t="shared" si="93"/>
        <v>396.11667621166481</v>
      </c>
      <c r="N123" s="138">
        <f t="shared" si="93"/>
        <v>405.99002108468557</v>
      </c>
      <c r="O123" s="138">
        <f t="shared" si="93"/>
        <v>412.55603936403548</v>
      </c>
      <c r="P123" s="139">
        <f>SUM(C123:O123)</f>
        <v>4755.6070460500423</v>
      </c>
      <c r="S123" s="181" t="s">
        <v>59</v>
      </c>
    </row>
    <row r="124" spans="1:35">
      <c r="A124" s="1"/>
      <c r="B124" s="42" t="s">
        <v>47</v>
      </c>
      <c r="C124" s="40">
        <v>213.07718633986354</v>
      </c>
      <c r="D124" s="40">
        <v>235.27272658359934</v>
      </c>
      <c r="E124" s="40">
        <v>230.83361853485218</v>
      </c>
      <c r="F124" s="40">
        <v>235.27272658359934</v>
      </c>
      <c r="G124" s="40">
        <v>235.27272658359934</v>
      </c>
      <c r="H124" s="40">
        <v>235.27272658359934</v>
      </c>
      <c r="I124" s="40">
        <v>235.27272658359934</v>
      </c>
      <c r="J124" s="40">
        <v>235.3683467323284</v>
      </c>
      <c r="K124" s="40">
        <v>217.41289984834708</v>
      </c>
      <c r="L124" s="40">
        <v>244.57881227585167</v>
      </c>
      <c r="M124" s="40">
        <v>267.14736160428981</v>
      </c>
      <c r="N124" s="40">
        <v>274.95403981064391</v>
      </c>
      <c r="O124" s="40">
        <v>281.52005808999382</v>
      </c>
      <c r="P124" s="41">
        <f>SUM(C124:O124)</f>
        <v>3141.2559561541666</v>
      </c>
      <c r="R124" s="2">
        <v>2267.0133862794341</v>
      </c>
      <c r="S124" s="25"/>
    </row>
    <row r="125" spans="1:35">
      <c r="A125" s="1"/>
      <c r="B125" s="43">
        <v>2025</v>
      </c>
      <c r="C125" s="91">
        <v>0.92575833373332961</v>
      </c>
      <c r="D125" s="91">
        <v>0.94966046235972634</v>
      </c>
      <c r="E125" s="91">
        <v>0.95110529839712377</v>
      </c>
      <c r="F125" s="91">
        <v>0.95287444873353533</v>
      </c>
      <c r="G125" s="91">
        <v>0.95473527113193535</v>
      </c>
      <c r="H125" s="91">
        <v>0.94918529495845072</v>
      </c>
      <c r="I125" s="91">
        <v>0.93847735704559765</v>
      </c>
      <c r="J125" s="91">
        <v>0.94141345317893932</v>
      </c>
      <c r="K125" s="91">
        <v>0.95484080812734906</v>
      </c>
      <c r="L125" s="92">
        <v>0.94599999999999995</v>
      </c>
      <c r="M125" s="92">
        <v>0.95</v>
      </c>
      <c r="N125" s="92">
        <v>0.95</v>
      </c>
      <c r="O125" s="92">
        <v>0.95</v>
      </c>
      <c r="P125" s="44">
        <f>AVERAGE(C125:O125)</f>
        <v>0.94723467135892192</v>
      </c>
      <c r="R125" s="6">
        <v>0.94162562986018483</v>
      </c>
      <c r="S125" s="24"/>
      <c r="T125" s="69"/>
      <c r="U125" s="69"/>
      <c r="V125" s="69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</row>
    <row r="126" spans="1:35">
      <c r="A126" s="1"/>
      <c r="B126" s="43">
        <v>2026</v>
      </c>
      <c r="C126" s="45">
        <v>0.94</v>
      </c>
      <c r="D126" s="45">
        <v>0.94062562750076495</v>
      </c>
      <c r="E126" s="45">
        <v>0.94262562750076495</v>
      </c>
      <c r="F126" s="45">
        <v>0.95</v>
      </c>
      <c r="G126" s="45">
        <v>0.94662562750076495</v>
      </c>
      <c r="H126" s="45">
        <v>0.94862562750076496</v>
      </c>
      <c r="I126" s="45">
        <v>0.94962562750076496</v>
      </c>
      <c r="J126" s="45">
        <v>0.95</v>
      </c>
      <c r="K126" s="45">
        <v>0.95</v>
      </c>
      <c r="L126" s="45">
        <v>0.95</v>
      </c>
      <c r="M126" s="45">
        <v>0.95</v>
      </c>
      <c r="N126" s="45">
        <v>0.95</v>
      </c>
      <c r="O126" s="45">
        <v>0.95</v>
      </c>
      <c r="P126" s="44">
        <f>AVERAGE(C126:O126)</f>
        <v>0.9475483182695249</v>
      </c>
      <c r="R126" s="6">
        <v>0.94702918403887315</v>
      </c>
      <c r="S126" s="24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</row>
    <row r="127" spans="1:35">
      <c r="A127" s="1"/>
      <c r="B127" s="46" t="s">
        <v>24</v>
      </c>
      <c r="C127" s="47">
        <v>2.9055824729254942E-2</v>
      </c>
      <c r="D127" s="47">
        <v>1.8638667528935948E-2</v>
      </c>
      <c r="E127" s="47">
        <v>4.0000000000000036E-3</v>
      </c>
      <c r="F127" s="47">
        <v>4.2706001858279219E-3</v>
      </c>
      <c r="G127" s="47">
        <v>-1.1838881239587096E-2</v>
      </c>
      <c r="H127" s="47">
        <v>3.9392046886609355E-3</v>
      </c>
      <c r="I127" s="47">
        <v>4.3575013853429656E-3</v>
      </c>
      <c r="J127" s="47">
        <v>9.1844968122409831E-3</v>
      </c>
      <c r="K127" s="47">
        <v>3.0000000000000027E-3</v>
      </c>
      <c r="L127" s="47">
        <v>5.6387902322729833E-3</v>
      </c>
      <c r="M127" s="47">
        <v>3.0000000000000027E-3</v>
      </c>
      <c r="N127" s="47">
        <v>0</v>
      </c>
      <c r="O127" s="47">
        <v>-3.0000000000000027E-3</v>
      </c>
      <c r="P127" s="44">
        <f>(AVERAGE(C126:O126)-AVERAGE(C125:O125))</f>
        <v>3.1364691060298266E-4</v>
      </c>
      <c r="R127" s="9">
        <v>5.403554178688319E-3</v>
      </c>
      <c r="S127" s="24"/>
      <c r="T127" s="69"/>
      <c r="U127" s="69"/>
      <c r="V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</row>
    <row r="128" spans="1:35">
      <c r="A128" s="1"/>
      <c r="B128" s="43" t="s">
        <v>26</v>
      </c>
      <c r="C128" s="91">
        <f t="shared" ref="C128:O128" si="94">C127/3%*1%</f>
        <v>9.6852749097516479E-3</v>
      </c>
      <c r="D128" s="91">
        <f t="shared" si="94"/>
        <v>6.2128891763119833E-3</v>
      </c>
      <c r="E128" s="91">
        <f t="shared" si="94"/>
        <v>1.3333333333333348E-3</v>
      </c>
      <c r="F128" s="91">
        <f t="shared" si="94"/>
        <v>1.4235333952759741E-3</v>
      </c>
      <c r="G128" s="91">
        <f t="shared" si="94"/>
        <v>-3.9462937465290322E-3</v>
      </c>
      <c r="H128" s="91">
        <f t="shared" si="94"/>
        <v>1.3130682295536453E-3</v>
      </c>
      <c r="I128" s="91">
        <f t="shared" si="94"/>
        <v>1.4525004617809887E-3</v>
      </c>
      <c r="J128" s="91">
        <f t="shared" si="94"/>
        <v>3.0614989374136616E-3</v>
      </c>
      <c r="K128" s="91">
        <f t="shared" si="94"/>
        <v>1.0000000000000009E-3</v>
      </c>
      <c r="L128" s="91">
        <f t="shared" si="94"/>
        <v>1.8795967440909944E-3</v>
      </c>
      <c r="M128" s="91">
        <f t="shared" si="94"/>
        <v>1.0000000000000009E-3</v>
      </c>
      <c r="N128" s="91">
        <f t="shared" si="94"/>
        <v>0</v>
      </c>
      <c r="O128" s="91">
        <f t="shared" si="94"/>
        <v>-1.0000000000000009E-3</v>
      </c>
      <c r="P128" s="48">
        <f t="shared" ref="P128" si="95">P127/3%*1%</f>
        <v>1.0454897020099424E-4</v>
      </c>
      <c r="R128" s="10">
        <v>1.8011847262294398E-3</v>
      </c>
      <c r="S128" s="25"/>
      <c r="T128" s="69"/>
    </row>
    <row r="129" spans="1:35" ht="15" thickBot="1">
      <c r="A129" s="1"/>
      <c r="B129" s="49" t="s">
        <v>27</v>
      </c>
      <c r="C129" s="126">
        <f>C124*C128</f>
        <v>2.0637111266979571</v>
      </c>
      <c r="D129" s="126">
        <f t="shared" ref="D129:O129" si="96">D124*D128</f>
        <v>1.4617233764726529</v>
      </c>
      <c r="E129" s="126">
        <f t="shared" si="96"/>
        <v>0.30777815804646991</v>
      </c>
      <c r="F129" s="126">
        <f t="shared" si="96"/>
        <v>0.33491858328938712</v>
      </c>
      <c r="G129" s="126">
        <f t="shared" si="96"/>
        <v>-0.9284552896456929</v>
      </c>
      <c r="H129" s="126">
        <f t="shared" si="96"/>
        <v>0.30892914255738563</v>
      </c>
      <c r="I129" s="126">
        <f t="shared" si="96"/>
        <v>0.34173374400715034</v>
      </c>
      <c r="J129" s="126">
        <f t="shared" si="96"/>
        <v>0.72057994342183374</v>
      </c>
      <c r="K129" s="126">
        <f t="shared" si="96"/>
        <v>0.21741289984834727</v>
      </c>
      <c r="L129" s="126">
        <f t="shared" si="96"/>
        <v>0.45970953922733332</v>
      </c>
      <c r="M129" s="126">
        <f t="shared" si="96"/>
        <v>0.26714736160429003</v>
      </c>
      <c r="N129" s="126">
        <f t="shared" si="96"/>
        <v>0</v>
      </c>
      <c r="O129" s="126">
        <f t="shared" si="96"/>
        <v>-0.28152005808999409</v>
      </c>
      <c r="P129" s="50">
        <f>SUM(C129:O129)</f>
        <v>5.2736685274371204</v>
      </c>
      <c r="R129" s="11">
        <v>3.7064401917644849</v>
      </c>
      <c r="S129" s="25"/>
    </row>
    <row r="130" spans="1:35">
      <c r="A130" s="1"/>
      <c r="B130" s="52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51"/>
      <c r="R130" s="11"/>
      <c r="S130" s="25"/>
    </row>
    <row r="131" spans="1:35">
      <c r="A131" s="1"/>
      <c r="B131" s="42" t="s">
        <v>48</v>
      </c>
      <c r="C131" s="40">
        <v>85.766666666666666</v>
      </c>
      <c r="D131" s="40">
        <v>98.166666666666671</v>
      </c>
      <c r="E131" s="40">
        <v>101.26666666666668</v>
      </c>
      <c r="F131" s="40">
        <v>108.5</v>
      </c>
      <c r="G131" s="40">
        <v>110.56666666666668</v>
      </c>
      <c r="H131" s="40">
        <v>106.43333333333332</v>
      </c>
      <c r="I131" s="40">
        <v>110.56666666666668</v>
      </c>
      <c r="J131" s="40">
        <v>107.46666666666667</v>
      </c>
      <c r="K131" s="40">
        <v>111.60000000000001</v>
      </c>
      <c r="L131" s="40">
        <v>115.73333333333333</v>
      </c>
      <c r="M131" s="40">
        <v>111.60000000000001</v>
      </c>
      <c r="N131" s="40">
        <v>113.66666666666667</v>
      </c>
      <c r="O131" s="40">
        <v>113.66666666666667</v>
      </c>
      <c r="P131" s="41">
        <f>SUM(C131:O131)</f>
        <v>1395.0000000000002</v>
      </c>
      <c r="R131" s="2">
        <v>907.58949339799995</v>
      </c>
      <c r="S131" s="25"/>
    </row>
    <row r="132" spans="1:35">
      <c r="A132" s="1"/>
      <c r="B132" s="42">
        <v>2025</v>
      </c>
      <c r="C132" s="54">
        <v>0.97666981000314335</v>
      </c>
      <c r="D132" s="54">
        <v>0.99562713271473147</v>
      </c>
      <c r="E132" s="54">
        <v>0.99176473076923066</v>
      </c>
      <c r="F132" s="54">
        <v>0.96857401340710381</v>
      </c>
      <c r="G132" s="54">
        <v>0.98760628983047771</v>
      </c>
      <c r="H132" s="54">
        <v>0.94656583684932327</v>
      </c>
      <c r="I132" s="54">
        <v>1</v>
      </c>
      <c r="J132" s="54">
        <v>0.99111232675578786</v>
      </c>
      <c r="K132" s="54">
        <v>0.95552377517817055</v>
      </c>
      <c r="L132" s="54">
        <v>0.97799999999999998</v>
      </c>
      <c r="M132" s="54">
        <v>0.97799999999999998</v>
      </c>
      <c r="N132" s="54">
        <v>0.97799999999999998</v>
      </c>
      <c r="O132" s="54">
        <v>0.97799999999999998</v>
      </c>
      <c r="P132" s="44">
        <f>AVERAGE(C132:O132)</f>
        <v>0.97888030119292047</v>
      </c>
      <c r="R132" s="17">
        <v>0.97423422712858454</v>
      </c>
      <c r="S132" s="24"/>
      <c r="T132" s="69"/>
      <c r="U132" s="69"/>
      <c r="V132" s="69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</row>
    <row r="133" spans="1:35">
      <c r="A133" s="1"/>
      <c r="B133" s="43">
        <v>2026</v>
      </c>
      <c r="C133" s="91">
        <f>97%</f>
        <v>0.97</v>
      </c>
      <c r="D133" s="91">
        <v>0.98</v>
      </c>
      <c r="E133" s="91">
        <v>0.98</v>
      </c>
      <c r="F133" s="91">
        <v>0.98</v>
      </c>
      <c r="G133" s="91">
        <v>0.98</v>
      </c>
      <c r="H133" s="91">
        <v>0.98</v>
      </c>
      <c r="I133" s="91">
        <v>0.98</v>
      </c>
      <c r="J133" s="91">
        <v>0.98</v>
      </c>
      <c r="K133" s="91">
        <v>0.98499999999999999</v>
      </c>
      <c r="L133" s="92">
        <v>0.98</v>
      </c>
      <c r="M133" s="92">
        <v>0.98</v>
      </c>
      <c r="N133" s="92">
        <v>0.98</v>
      </c>
      <c r="O133" s="92">
        <v>0.98</v>
      </c>
      <c r="P133" s="44">
        <f>AVERAGE(C133:O133)</f>
        <v>0.97961538461538467</v>
      </c>
      <c r="R133" s="17">
        <v>0.97738461538461519</v>
      </c>
      <c r="S133" s="24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</row>
    <row r="134" spans="1:35">
      <c r="A134" s="1"/>
      <c r="B134" s="43" t="s">
        <v>24</v>
      </c>
      <c r="C134" s="45">
        <f>C133-C132</f>
        <v>-6.6698100031433727E-3</v>
      </c>
      <c r="D134" s="45">
        <f t="shared" ref="D134:F134" si="97">D133-D132</f>
        <v>-1.5627132714731484E-2</v>
      </c>
      <c r="E134" s="45">
        <f t="shared" si="97"/>
        <v>-1.176473076923068E-2</v>
      </c>
      <c r="F134" s="45">
        <f t="shared" si="97"/>
        <v>1.1425986592896176E-2</v>
      </c>
      <c r="G134" s="45">
        <f>G133-G132</f>
        <v>-7.6062898304777304E-3</v>
      </c>
      <c r="H134" s="45">
        <f t="shared" ref="H134:O134" si="98">H133-H132</f>
        <v>3.343416315067671E-2</v>
      </c>
      <c r="I134" s="45">
        <f t="shared" si="98"/>
        <v>-2.0000000000000018E-2</v>
      </c>
      <c r="J134" s="45">
        <f t="shared" si="98"/>
        <v>-1.1112326755787882E-2</v>
      </c>
      <c r="K134" s="45">
        <f t="shared" si="98"/>
        <v>2.9476224821829433E-2</v>
      </c>
      <c r="L134" s="45">
        <f t="shared" si="98"/>
        <v>2.0000000000000018E-3</v>
      </c>
      <c r="M134" s="45">
        <f t="shared" si="98"/>
        <v>2.0000000000000018E-3</v>
      </c>
      <c r="N134" s="45">
        <f t="shared" si="98"/>
        <v>2.0000000000000018E-3</v>
      </c>
      <c r="O134" s="45">
        <f t="shared" si="98"/>
        <v>2.0000000000000018E-3</v>
      </c>
      <c r="P134" s="44">
        <f>(AVERAGE(C133:O133)-AVERAGE(C132:O132))</f>
        <v>7.350834224642E-4</v>
      </c>
      <c r="R134" s="9">
        <v>3.1503882560306451E-3</v>
      </c>
      <c r="S134" s="24"/>
      <c r="T134" s="69"/>
      <c r="U134" s="69"/>
      <c r="V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</row>
    <row r="135" spans="1:35">
      <c r="A135" s="1"/>
      <c r="B135" s="46" t="s">
        <v>26</v>
      </c>
      <c r="C135" s="47">
        <f>C134/3%*1%</f>
        <v>-2.223270001047791E-3</v>
      </c>
      <c r="D135" s="47">
        <f t="shared" ref="D135:N135" si="99">D134/3%*1%</f>
        <v>-5.2090442382438287E-3</v>
      </c>
      <c r="E135" s="47">
        <f t="shared" si="99"/>
        <v>-3.921576923076894E-3</v>
      </c>
      <c r="F135" s="47">
        <f t="shared" si="99"/>
        <v>3.8086621976320591E-3</v>
      </c>
      <c r="G135" s="47">
        <f t="shared" si="99"/>
        <v>-2.5354299434925771E-3</v>
      </c>
      <c r="H135" s="47">
        <f t="shared" si="99"/>
        <v>1.114472105022557E-2</v>
      </c>
      <c r="I135" s="47">
        <f t="shared" si="99"/>
        <v>-6.6666666666666732E-3</v>
      </c>
      <c r="J135" s="47">
        <f t="shared" si="99"/>
        <v>-3.7041089185959608E-3</v>
      </c>
      <c r="K135" s="47">
        <f t="shared" si="99"/>
        <v>9.825408273943145E-3</v>
      </c>
      <c r="L135" s="47">
        <f t="shared" si="99"/>
        <v>6.666666666666674E-4</v>
      </c>
      <c r="M135" s="47">
        <f t="shared" si="99"/>
        <v>6.666666666666674E-4</v>
      </c>
      <c r="N135" s="47">
        <f t="shared" si="99"/>
        <v>6.666666666666674E-4</v>
      </c>
      <c r="O135" s="47">
        <f>O134/3%*1%</f>
        <v>6.666666666666674E-4</v>
      </c>
      <c r="P135" s="44">
        <f t="shared" ref="P135" si="100">P134/3%*1%</f>
        <v>2.4502780748806668E-4</v>
      </c>
      <c r="R135" s="10">
        <v>1.0501294186768817E-3</v>
      </c>
      <c r="S135" s="25"/>
      <c r="T135" s="69"/>
    </row>
    <row r="136" spans="1:35">
      <c r="A136" s="1"/>
      <c r="B136" s="43" t="s">
        <v>27</v>
      </c>
      <c r="C136" s="185">
        <f t="shared" ref="C136:H136" si="101">C131*C135</f>
        <v>-0.19068245708986553</v>
      </c>
      <c r="D136" s="185">
        <f t="shared" si="101"/>
        <v>-0.51135450938760252</v>
      </c>
      <c r="E136" s="185">
        <f t="shared" si="101"/>
        <v>-0.39712502307692016</v>
      </c>
      <c r="F136" s="185">
        <f t="shared" si="101"/>
        <v>0.41323984844307843</v>
      </c>
      <c r="G136" s="185">
        <f t="shared" si="101"/>
        <v>-0.28033403741882928</v>
      </c>
      <c r="H136" s="185">
        <f t="shared" si="101"/>
        <v>1.1861698104456748</v>
      </c>
      <c r="I136" s="185">
        <f t="shared" ref="I136:O136" si="102">I131*I135</f>
        <v>-0.73711111111111194</v>
      </c>
      <c r="J136" s="185">
        <f t="shared" si="102"/>
        <v>-0.39806823845177924</v>
      </c>
      <c r="K136" s="185">
        <f t="shared" si="102"/>
        <v>1.0965155633720551</v>
      </c>
      <c r="L136" s="185">
        <f t="shared" si="102"/>
        <v>7.7155555555555644E-2</v>
      </c>
      <c r="M136" s="185">
        <f t="shared" si="102"/>
        <v>7.4400000000000091E-2</v>
      </c>
      <c r="N136" s="185">
        <f t="shared" si="102"/>
        <v>7.5777777777777861E-2</v>
      </c>
      <c r="O136" s="185">
        <f t="shared" si="102"/>
        <v>7.5777777777777861E-2</v>
      </c>
      <c r="P136" s="186">
        <f>SUM(C136:O136)</f>
        <v>0.48436095683581104</v>
      </c>
      <c r="R136" s="11">
        <v>0.60396588036291132</v>
      </c>
      <c r="S136" s="25"/>
    </row>
    <row r="137" spans="1:35" ht="15" thickBot="1">
      <c r="A137" s="1"/>
      <c r="B137" s="49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50"/>
      <c r="R137" s="11"/>
      <c r="S137" s="25"/>
    </row>
    <row r="138" spans="1:35">
      <c r="A138" s="1"/>
      <c r="B138" s="56" t="s">
        <v>49</v>
      </c>
      <c r="C138" s="127">
        <v>12.3</v>
      </c>
      <c r="D138" s="127">
        <v>14.299999999999999</v>
      </c>
      <c r="E138" s="127">
        <v>14.97</v>
      </c>
      <c r="F138" s="127">
        <v>15.749999999999998</v>
      </c>
      <c r="G138" s="127">
        <v>16</v>
      </c>
      <c r="H138" s="127">
        <v>16.89</v>
      </c>
      <c r="I138" s="127">
        <v>16.34</v>
      </c>
      <c r="J138" s="127">
        <v>15</v>
      </c>
      <c r="K138" s="127">
        <v>16</v>
      </c>
      <c r="L138" s="127">
        <v>16</v>
      </c>
      <c r="M138" s="127">
        <v>16</v>
      </c>
      <c r="N138" s="127">
        <v>16</v>
      </c>
      <c r="O138" s="127">
        <v>16</v>
      </c>
      <c r="P138" s="51">
        <f>SUM(C138:O138)</f>
        <v>201.55</v>
      </c>
      <c r="R138" s="2">
        <v>151.06214703930988</v>
      </c>
      <c r="S138" s="25"/>
    </row>
    <row r="139" spans="1:35">
      <c r="A139" s="1"/>
      <c r="B139" s="42">
        <v>2025</v>
      </c>
      <c r="C139" s="54">
        <v>0.97754636115477456</v>
      </c>
      <c r="D139" s="54">
        <v>0.97941622573080755</v>
      </c>
      <c r="E139" s="54">
        <v>0.97920275691909842</v>
      </c>
      <c r="F139" s="54">
        <v>0.95126697928718207</v>
      </c>
      <c r="G139" s="54">
        <v>0.98475914918019702</v>
      </c>
      <c r="H139" s="54">
        <v>0.97148304286475651</v>
      </c>
      <c r="I139" s="54">
        <v>0.90040820504949148</v>
      </c>
      <c r="J139" s="54">
        <v>0.98141029954496928</v>
      </c>
      <c r="K139" s="54">
        <v>0.97031158029289821</v>
      </c>
      <c r="L139" s="54">
        <v>0.97081158029289816</v>
      </c>
      <c r="M139" s="54">
        <v>0.9713115802928981</v>
      </c>
      <c r="N139" s="54">
        <v>0.97181158029289805</v>
      </c>
      <c r="O139" s="54">
        <v>0.97231158029289799</v>
      </c>
      <c r="P139" s="44">
        <f>AVERAGE(C139:O139)</f>
        <v>0.96785007086121289</v>
      </c>
      <c r="R139" s="17">
        <v>0.96106264534005637</v>
      </c>
      <c r="S139" s="24"/>
      <c r="T139" s="69"/>
      <c r="U139" s="69"/>
      <c r="V139" s="69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 spans="1:35">
      <c r="A140" s="1"/>
      <c r="B140" s="43">
        <v>2026</v>
      </c>
      <c r="C140" s="91">
        <f>AVERAGE(C139:E139)</f>
        <v>0.97872178126822684</v>
      </c>
      <c r="D140" s="91">
        <f>C140+0.05%</f>
        <v>0.97922178126822679</v>
      </c>
      <c r="E140" s="91">
        <f t="shared" ref="E140:J140" si="103">D140+0.05%</f>
        <v>0.97972178126822673</v>
      </c>
      <c r="F140" s="91">
        <v>0.95499999999999996</v>
      </c>
      <c r="G140" s="91">
        <v>0.96</v>
      </c>
      <c r="H140" s="91">
        <v>0.97</v>
      </c>
      <c r="I140" s="91">
        <f t="shared" si="103"/>
        <v>0.97049999999999992</v>
      </c>
      <c r="J140" s="91">
        <f t="shared" si="103"/>
        <v>0.97099999999999986</v>
      </c>
      <c r="K140" s="91">
        <v>0.98222178126822646</v>
      </c>
      <c r="L140" s="92">
        <v>0.98222178126822646</v>
      </c>
      <c r="M140" s="92">
        <v>0.98222178126822646</v>
      </c>
      <c r="N140" s="92">
        <v>0.98222178126822646</v>
      </c>
      <c r="O140" s="92">
        <v>0.98222178126822646</v>
      </c>
      <c r="P140" s="44">
        <f>AVERAGE(C140:O140)</f>
        <v>0.97502109616506238</v>
      </c>
      <c r="R140" s="17">
        <v>0.96659337308785098</v>
      </c>
      <c r="S140" s="24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</row>
    <row r="141" spans="1:35">
      <c r="A141" s="1"/>
      <c r="B141" s="43" t="s">
        <v>24</v>
      </c>
      <c r="C141" s="45">
        <f>C140-C139</f>
        <v>1.1754201134522857E-3</v>
      </c>
      <c r="D141" s="45">
        <f t="shared" ref="D141:F141" si="104">D140-D139</f>
        <v>-1.9444446258076731E-4</v>
      </c>
      <c r="E141" s="45">
        <f t="shared" si="104"/>
        <v>5.1902434912831641E-4</v>
      </c>
      <c r="F141" s="45">
        <f t="shared" si="104"/>
        <v>3.7330207128178916E-3</v>
      </c>
      <c r="G141" s="45">
        <f>G140-G139</f>
        <v>-2.475914918019706E-2</v>
      </c>
      <c r="H141" s="45">
        <f t="shared" ref="H141:O141" si="105">H140-H139</f>
        <v>-1.4830428647565341E-3</v>
      </c>
      <c r="I141" s="45">
        <f t="shared" si="105"/>
        <v>7.0091794950508435E-2</v>
      </c>
      <c r="J141" s="45">
        <f t="shared" si="105"/>
        <v>-1.0410299544969415E-2</v>
      </c>
      <c r="K141" s="45">
        <f t="shared" si="105"/>
        <v>1.1910200975328245E-2</v>
      </c>
      <c r="L141" s="45">
        <f t="shared" si="105"/>
        <v>1.14102009753283E-2</v>
      </c>
      <c r="M141" s="45">
        <f t="shared" si="105"/>
        <v>1.0910200975328355E-2</v>
      </c>
      <c r="N141" s="45">
        <f t="shared" si="105"/>
        <v>1.041020097532841E-2</v>
      </c>
      <c r="O141" s="45">
        <f t="shared" si="105"/>
        <v>9.9102009753284648E-3</v>
      </c>
      <c r="P141" s="44">
        <f>(AVERAGE(C140:O140)-AVERAGE(C139:O139))</f>
        <v>7.1710253038494987E-3</v>
      </c>
      <c r="R141" s="9">
        <v>5.5307277477946171E-3</v>
      </c>
      <c r="S141" s="24"/>
      <c r="T141" s="69"/>
      <c r="U141" s="69"/>
      <c r="V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</row>
    <row r="142" spans="1:35">
      <c r="A142" s="1"/>
      <c r="B142" s="46" t="s">
        <v>26</v>
      </c>
      <c r="C142" s="47">
        <f>C141/3%*1%</f>
        <v>3.9180670448409527E-4</v>
      </c>
      <c r="D142" s="47">
        <f t="shared" ref="D142:O142" si="106">D141/3%*1%</f>
        <v>-6.4814820860255778E-5</v>
      </c>
      <c r="E142" s="47">
        <f t="shared" si="106"/>
        <v>1.7300811637610547E-4</v>
      </c>
      <c r="F142" s="47">
        <f t="shared" si="106"/>
        <v>1.244340237605964E-3</v>
      </c>
      <c r="G142" s="47">
        <f t="shared" si="106"/>
        <v>-8.2530497267323533E-3</v>
      </c>
      <c r="H142" s="47">
        <f t="shared" si="106"/>
        <v>-4.9434762158551138E-4</v>
      </c>
      <c r="I142" s="47">
        <f t="shared" si="106"/>
        <v>2.3363931650169478E-2</v>
      </c>
      <c r="J142" s="47">
        <f t="shared" si="106"/>
        <v>-3.4700998483231382E-3</v>
      </c>
      <c r="K142" s="47">
        <f t="shared" si="106"/>
        <v>3.9700669917760818E-3</v>
      </c>
      <c r="L142" s="47">
        <f t="shared" si="106"/>
        <v>3.8034003251094335E-3</v>
      </c>
      <c r="M142" s="47">
        <f t="shared" si="106"/>
        <v>3.6367336584427852E-3</v>
      </c>
      <c r="N142" s="47">
        <f t="shared" si="106"/>
        <v>3.4700669917761369E-3</v>
      </c>
      <c r="O142" s="47">
        <f t="shared" si="106"/>
        <v>3.3034003251094885E-3</v>
      </c>
      <c r="P142" s="44">
        <f>P141/3%*1%</f>
        <v>2.3903417679498329E-3</v>
      </c>
      <c r="R142" s="10">
        <v>1.843575915931539E-3</v>
      </c>
      <c r="T142" s="69"/>
    </row>
    <row r="143" spans="1:35">
      <c r="A143" s="1"/>
      <c r="B143" s="43" t="s">
        <v>27</v>
      </c>
      <c r="C143" s="185">
        <f>C138*C142</f>
        <v>4.8192224651543722E-3</v>
      </c>
      <c r="D143" s="185">
        <f t="shared" ref="D143:O143" si="107">D138*D142</f>
        <v>-9.2685193830165753E-4</v>
      </c>
      <c r="E143" s="185">
        <f t="shared" si="107"/>
        <v>2.589931502150299E-3</v>
      </c>
      <c r="F143" s="185">
        <f t="shared" si="107"/>
        <v>1.9598358742293931E-2</v>
      </c>
      <c r="G143" s="185">
        <f t="shared" si="107"/>
        <v>-0.13204879562771765</v>
      </c>
      <c r="H143" s="185">
        <f t="shared" si="107"/>
        <v>-8.3495313285792874E-3</v>
      </c>
      <c r="I143" s="185">
        <f t="shared" si="107"/>
        <v>0.38176664316376929</v>
      </c>
      <c r="J143" s="185">
        <f t="shared" si="107"/>
        <v>-5.2051497724847073E-2</v>
      </c>
      <c r="K143" s="185">
        <f t="shared" si="107"/>
        <v>6.3521071868417309E-2</v>
      </c>
      <c r="L143" s="185">
        <f t="shared" si="107"/>
        <v>6.0854405201750936E-2</v>
      </c>
      <c r="M143" s="185">
        <f t="shared" si="107"/>
        <v>5.8187738535084563E-2</v>
      </c>
      <c r="N143" s="185">
        <f t="shared" si="107"/>
        <v>5.552107186841819E-2</v>
      </c>
      <c r="O143" s="185">
        <f t="shared" si="107"/>
        <v>5.2854405201751817E-2</v>
      </c>
      <c r="P143" s="186">
        <f>SUM(C143:O143)</f>
        <v>0.5063361719293451</v>
      </c>
      <c r="R143" s="11">
        <v>0.30779154281974752</v>
      </c>
    </row>
    <row r="144" spans="1:35" ht="15" thickBot="1">
      <c r="A144" s="1"/>
      <c r="B144" s="49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50"/>
      <c r="R144" s="11"/>
    </row>
    <row r="145" spans="1:35">
      <c r="A145" s="1"/>
      <c r="B145" s="52" t="s">
        <v>32</v>
      </c>
      <c r="C145" s="127">
        <v>1.2000384660000036</v>
      </c>
      <c r="D145" s="127">
        <v>1.568028143000004</v>
      </c>
      <c r="E145" s="127">
        <v>1.3145096140000019</v>
      </c>
      <c r="F145" s="127">
        <v>1.364042702000003</v>
      </c>
      <c r="G145" s="127">
        <v>1.3506490140000007</v>
      </c>
      <c r="H145" s="127">
        <v>1.499999402000002</v>
      </c>
      <c r="I145" s="127">
        <v>1.3770320520000028</v>
      </c>
      <c r="J145" s="127">
        <v>1.2802174660000027</v>
      </c>
      <c r="K145" s="127">
        <v>1.3693146073750027</v>
      </c>
      <c r="L145" s="127">
        <v>1.3693146073750027</v>
      </c>
      <c r="M145" s="127">
        <v>1.3693146073750027</v>
      </c>
      <c r="N145" s="127">
        <v>1.3693146073750027</v>
      </c>
      <c r="O145" s="127">
        <v>1.3693146073750027</v>
      </c>
      <c r="P145" s="51">
        <f t="shared" ref="P145" si="108">SUM(C145:O145)</f>
        <v>17.801089895875034</v>
      </c>
      <c r="R145" s="2">
        <v>25.158461979000005</v>
      </c>
      <c r="S145" s="25"/>
    </row>
    <row r="146" spans="1:35">
      <c r="A146" s="1"/>
      <c r="B146" s="42">
        <v>2025</v>
      </c>
      <c r="C146" s="40">
        <v>0.67625920520100991</v>
      </c>
      <c r="D146" s="40">
        <v>0.7547504076957614</v>
      </c>
      <c r="E146" s="40">
        <v>0.74996368003564196</v>
      </c>
      <c r="F146" s="40">
        <v>0.79353273904005772</v>
      </c>
      <c r="G146" s="40">
        <v>0.82866881969158313</v>
      </c>
      <c r="H146" s="40">
        <v>0.82618649937509958</v>
      </c>
      <c r="I146" s="40">
        <v>0.78753454466236039</v>
      </c>
      <c r="J146" s="40">
        <v>0.77927382830881409</v>
      </c>
      <c r="K146" s="40">
        <v>0.80600000000000005</v>
      </c>
      <c r="L146" s="40">
        <v>0.8</v>
      </c>
      <c r="M146" s="40">
        <v>0.8</v>
      </c>
      <c r="N146" s="40">
        <v>0.8</v>
      </c>
      <c r="O146" s="40">
        <v>0.8</v>
      </c>
      <c r="P146" s="41">
        <f>AVERAGE(C146:O146)</f>
        <v>0.78478228646233306</v>
      </c>
      <c r="R146" s="6">
        <v>0.76595420583729579</v>
      </c>
      <c r="S146" s="24"/>
      <c r="T146" s="69"/>
      <c r="U146" s="69"/>
      <c r="V146" s="69"/>
      <c r="W146" s="75"/>
      <c r="X146" s="76"/>
      <c r="Y146" s="75"/>
      <c r="Z146" s="76"/>
      <c r="AA146" s="75"/>
      <c r="AB146" s="76"/>
      <c r="AC146" s="75"/>
      <c r="AD146" s="76"/>
      <c r="AE146" s="75"/>
      <c r="AF146" s="76"/>
      <c r="AG146" s="75"/>
      <c r="AH146" s="76"/>
      <c r="AI146" s="75"/>
    </row>
    <row r="147" spans="1:35">
      <c r="A147" s="1"/>
      <c r="B147" s="42">
        <v>2026</v>
      </c>
      <c r="C147" s="40">
        <v>0.8</v>
      </c>
      <c r="D147" s="40">
        <v>0.80600000000000005</v>
      </c>
      <c r="E147" s="40">
        <v>0.80600000000000005</v>
      </c>
      <c r="F147" s="40">
        <v>0.82</v>
      </c>
      <c r="G147" s="40">
        <v>0.83</v>
      </c>
      <c r="H147" s="40">
        <v>0.82499999999999996</v>
      </c>
      <c r="I147" s="40">
        <v>0.81</v>
      </c>
      <c r="J147" s="40">
        <v>0.81</v>
      </c>
      <c r="K147" s="40">
        <v>0.80600000000000005</v>
      </c>
      <c r="L147" s="40">
        <v>0.80600000000000005</v>
      </c>
      <c r="M147" s="40">
        <v>0.80600000000000005</v>
      </c>
      <c r="N147" s="40">
        <v>0.80600000000000005</v>
      </c>
      <c r="O147" s="40">
        <v>0.80600000000000005</v>
      </c>
      <c r="P147" s="41">
        <f>AVERAGE(C147:O147)</f>
        <v>0.81053846153846176</v>
      </c>
      <c r="R147" s="6">
        <v>0.80553846153846165</v>
      </c>
      <c r="S147" s="24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</row>
    <row r="148" spans="1:35">
      <c r="A148" s="1"/>
      <c r="B148" s="43" t="s">
        <v>24</v>
      </c>
      <c r="C148" s="91">
        <f>C147-C146</f>
        <v>0.12374079479899014</v>
      </c>
      <c r="D148" s="91">
        <f t="shared" ref="D148:F148" si="109">D147-D146</f>
        <v>5.1249592304238645E-2</v>
      </c>
      <c r="E148" s="91">
        <f t="shared" si="109"/>
        <v>5.6036319964358094E-2</v>
      </c>
      <c r="F148" s="91">
        <f t="shared" si="109"/>
        <v>2.6467260959942229E-2</v>
      </c>
      <c r="G148" s="91">
        <f>G147-G146</f>
        <v>1.331180308416835E-3</v>
      </c>
      <c r="H148" s="91">
        <f t="shared" ref="H148:O148" si="110">H147-H146</f>
        <v>-1.1864993750996256E-3</v>
      </c>
      <c r="I148" s="91">
        <f t="shared" si="110"/>
        <v>2.2465455337639662E-2</v>
      </c>
      <c r="J148" s="91">
        <f t="shared" si="110"/>
        <v>3.0726171691185966E-2</v>
      </c>
      <c r="K148" s="91">
        <f t="shared" si="110"/>
        <v>0</v>
      </c>
      <c r="L148" s="92">
        <f t="shared" si="110"/>
        <v>6.0000000000000053E-3</v>
      </c>
      <c r="M148" s="92">
        <f t="shared" si="110"/>
        <v>6.0000000000000053E-3</v>
      </c>
      <c r="N148" s="92">
        <f t="shared" si="110"/>
        <v>6.0000000000000053E-3</v>
      </c>
      <c r="O148" s="92">
        <f t="shared" si="110"/>
        <v>6.0000000000000053E-3</v>
      </c>
      <c r="P148" s="44">
        <f>(AVERAGE(C147:O147)-AVERAGE(C146:O146))</f>
        <v>2.5756175076128707E-2</v>
      </c>
      <c r="R148" s="9">
        <v>3.958425570116586E-2</v>
      </c>
      <c r="S148" s="24"/>
      <c r="T148" s="69"/>
      <c r="U148" s="69"/>
      <c r="V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</row>
    <row r="149" spans="1:35">
      <c r="A149" s="1"/>
      <c r="B149" s="43" t="s">
        <v>26</v>
      </c>
      <c r="C149" s="45">
        <f>C148/3%*1%</f>
        <v>4.1246931599663389E-2</v>
      </c>
      <c r="D149" s="45">
        <f t="shared" ref="D149:O149" si="111">D148/3%*1%</f>
        <v>1.7083197434746216E-2</v>
      </c>
      <c r="E149" s="45">
        <f t="shared" si="111"/>
        <v>1.86787733214527E-2</v>
      </c>
      <c r="F149" s="45">
        <f t="shared" si="111"/>
        <v>8.8224203199807442E-3</v>
      </c>
      <c r="G149" s="45">
        <f t="shared" si="111"/>
        <v>4.437267694722784E-4</v>
      </c>
      <c r="H149" s="45">
        <f t="shared" si="111"/>
        <v>-3.9549979169987526E-4</v>
      </c>
      <c r="I149" s="45">
        <f t="shared" si="111"/>
        <v>7.488485112546555E-3</v>
      </c>
      <c r="J149" s="45">
        <f t="shared" si="111"/>
        <v>1.0242057230395323E-2</v>
      </c>
      <c r="K149" s="45">
        <f t="shared" si="111"/>
        <v>0</v>
      </c>
      <c r="L149" s="45">
        <f t="shared" si="111"/>
        <v>2.0000000000000018E-3</v>
      </c>
      <c r="M149" s="45">
        <f t="shared" si="111"/>
        <v>2.0000000000000018E-3</v>
      </c>
      <c r="N149" s="45">
        <f t="shared" si="111"/>
        <v>2.0000000000000018E-3</v>
      </c>
      <c r="O149" s="45">
        <f t="shared" si="111"/>
        <v>2.0000000000000018E-3</v>
      </c>
      <c r="P149" s="44">
        <f>P148/3%*1%</f>
        <v>8.5853916920429034E-3</v>
      </c>
      <c r="R149" s="10">
        <v>1.3194751900388622E-2</v>
      </c>
      <c r="S149" s="25"/>
      <c r="T149" s="69"/>
    </row>
    <row r="150" spans="1:35" ht="15" thickBot="1">
      <c r="A150" s="86"/>
      <c r="B150" s="46" t="s">
        <v>27</v>
      </c>
      <c r="C150" s="182">
        <f>C145*C149</f>
        <v>4.9497904524067132E-2</v>
      </c>
      <c r="D150" s="182">
        <f t="shared" ref="D150:K150" si="112">D145*D149</f>
        <v>2.6786934350107542E-2</v>
      </c>
      <c r="E150" s="182">
        <f t="shared" si="112"/>
        <v>2.4553427108776324E-2</v>
      </c>
      <c r="F150" s="182">
        <f t="shared" si="112"/>
        <v>1.2034158051446265E-2</v>
      </c>
      <c r="G150" s="182">
        <f t="shared" si="112"/>
        <v>5.9931912367313842E-4</v>
      </c>
      <c r="H150" s="182">
        <f t="shared" si="112"/>
        <v>-5.9324945104093823E-4</v>
      </c>
      <c r="I150" s="182">
        <f t="shared" si="112"/>
        <v>1.0311884020901455E-2</v>
      </c>
      <c r="J150" s="182">
        <f t="shared" si="112"/>
        <v>1.3112060554123707E-2</v>
      </c>
      <c r="K150" s="182">
        <f t="shared" si="112"/>
        <v>0</v>
      </c>
      <c r="L150" s="182">
        <f>L145*L149</f>
        <v>2.7386292147500079E-3</v>
      </c>
      <c r="M150" s="182">
        <f t="shared" ref="M150:O150" si="113">M145*M149</f>
        <v>2.7386292147500079E-3</v>
      </c>
      <c r="N150" s="182">
        <f t="shared" si="113"/>
        <v>2.7386292147500079E-3</v>
      </c>
      <c r="O150" s="182">
        <f t="shared" si="113"/>
        <v>2.7386292147500079E-3</v>
      </c>
      <c r="P150" s="184">
        <f>SUM(C150:O150)</f>
        <v>0.14725695514105469</v>
      </c>
      <c r="R150" s="11">
        <v>0.25773571572092102</v>
      </c>
      <c r="S150" s="25"/>
    </row>
    <row r="151" spans="1:35">
      <c r="A151" s="144"/>
      <c r="B151" s="145" t="s">
        <v>50</v>
      </c>
      <c r="C151" s="146">
        <f>C152</f>
        <v>183.19004524886876</v>
      </c>
      <c r="D151" s="146">
        <f t="shared" ref="D151:P151" si="114">D152</f>
        <v>194.38499245852185</v>
      </c>
      <c r="E151" s="146">
        <f t="shared" si="114"/>
        <v>198.45588235294119</v>
      </c>
      <c r="F151" s="146">
        <f t="shared" si="114"/>
        <v>193.36726998491704</v>
      </c>
      <c r="G151" s="146">
        <f t="shared" si="114"/>
        <v>201.50904977375566</v>
      </c>
      <c r="H151" s="146">
        <f t="shared" si="114"/>
        <v>210.66855203619909</v>
      </c>
      <c r="I151" s="146">
        <f t="shared" si="114"/>
        <v>213.72171945701356</v>
      </c>
      <c r="J151" s="146">
        <f t="shared" si="114"/>
        <v>216.77488687782807</v>
      </c>
      <c r="K151" s="146">
        <f t="shared" si="114"/>
        <v>219.82805429864254</v>
      </c>
      <c r="L151" s="146">
        <f t="shared" si="114"/>
        <v>209.65082956259428</v>
      </c>
      <c r="M151" s="146">
        <f t="shared" si="114"/>
        <v>219.82805429864254</v>
      </c>
      <c r="N151" s="146">
        <f t="shared" si="114"/>
        <v>213.72171945701356</v>
      </c>
      <c r="O151" s="146">
        <f t="shared" si="114"/>
        <v>223.89894419306182</v>
      </c>
      <c r="P151" s="147">
        <f t="shared" si="114"/>
        <v>2698.9999999999995</v>
      </c>
      <c r="R151" s="11"/>
      <c r="S151" s="181" t="s">
        <v>59</v>
      </c>
    </row>
    <row r="152" spans="1:35">
      <c r="A152" s="173"/>
      <c r="B152" s="136" t="s">
        <v>48</v>
      </c>
      <c r="C152" s="180">
        <v>183.19004524886876</v>
      </c>
      <c r="D152" s="180">
        <v>194.38499245852185</v>
      </c>
      <c r="E152" s="180">
        <v>198.45588235294119</v>
      </c>
      <c r="F152" s="180">
        <v>193.36726998491704</v>
      </c>
      <c r="G152" s="180">
        <v>201.50904977375566</v>
      </c>
      <c r="H152" s="180">
        <v>210.66855203619909</v>
      </c>
      <c r="I152" s="180">
        <v>213.72171945701356</v>
      </c>
      <c r="J152" s="180">
        <v>216.77488687782807</v>
      </c>
      <c r="K152" s="180">
        <v>219.82805429864254</v>
      </c>
      <c r="L152" s="180">
        <v>209.65082956259428</v>
      </c>
      <c r="M152" s="180">
        <v>219.82805429864254</v>
      </c>
      <c r="N152" s="180">
        <v>213.72171945701356</v>
      </c>
      <c r="O152" s="180">
        <v>223.89894419306182</v>
      </c>
      <c r="P152" s="148">
        <f>SUM(C152:O152)</f>
        <v>2698.9999999999995</v>
      </c>
      <c r="R152" s="2">
        <v>1363.1961638193222</v>
      </c>
    </row>
    <row r="153" spans="1:35">
      <c r="A153" s="174"/>
      <c r="B153" s="56">
        <v>2025</v>
      </c>
      <c r="C153" s="175">
        <v>0.97030050899098508</v>
      </c>
      <c r="D153" s="175">
        <v>0.95704490684900623</v>
      </c>
      <c r="E153" s="175">
        <v>0.99309662500000007</v>
      </c>
      <c r="F153" s="175">
        <v>0.95905979838424771</v>
      </c>
      <c r="G153" s="175">
        <v>0.98034379618143219</v>
      </c>
      <c r="H153" s="175">
        <v>0.9704204599756876</v>
      </c>
      <c r="I153" s="175">
        <v>0.99470547385206021</v>
      </c>
      <c r="J153" s="175">
        <v>0.99465165726629523</v>
      </c>
      <c r="K153" s="175">
        <v>0.98871470819516971</v>
      </c>
      <c r="L153" s="175">
        <v>0.97699999999999998</v>
      </c>
      <c r="M153" s="175">
        <v>0.97699999999999998</v>
      </c>
      <c r="N153" s="175">
        <v>0.97699999999999998</v>
      </c>
      <c r="O153" s="175">
        <v>0.97699999999999998</v>
      </c>
      <c r="P153" s="48">
        <f>AVERAGE(C153:O153)</f>
        <v>0.9781798411303757</v>
      </c>
      <c r="R153" s="6">
        <v>0.95928552411261936</v>
      </c>
    </row>
    <row r="154" spans="1:35">
      <c r="A154" s="176"/>
      <c r="B154" s="42">
        <v>2026</v>
      </c>
      <c r="C154" s="165">
        <v>0.97</v>
      </c>
      <c r="D154" s="165">
        <v>0.98</v>
      </c>
      <c r="E154" s="165">
        <v>0.99</v>
      </c>
      <c r="F154" s="165">
        <v>0.97699999999999998</v>
      </c>
      <c r="G154" s="165">
        <v>0.98</v>
      </c>
      <c r="H154" s="165">
        <v>0.98</v>
      </c>
      <c r="I154" s="165">
        <v>0.99</v>
      </c>
      <c r="J154" s="165">
        <v>0.97699999999999998</v>
      </c>
      <c r="K154" s="165">
        <v>0.98</v>
      </c>
      <c r="L154" s="165">
        <v>0.98</v>
      </c>
      <c r="M154" s="165">
        <v>0.97699999999999998</v>
      </c>
      <c r="N154" s="165">
        <v>0.97699999999999998</v>
      </c>
      <c r="O154" s="165">
        <v>0.97699999999999998</v>
      </c>
      <c r="P154" s="44">
        <f>AVERAGE(C154:O154)</f>
        <v>0.97961538461538489</v>
      </c>
      <c r="R154" s="6">
        <v>0.97646153846153871</v>
      </c>
    </row>
    <row r="155" spans="1:35">
      <c r="A155" s="176"/>
      <c r="B155" s="43" t="s">
        <v>24</v>
      </c>
      <c r="C155" s="91">
        <f>C154-C153</f>
        <v>-3.0050899098510442E-4</v>
      </c>
      <c r="D155" s="91">
        <f t="shared" ref="D155:O155" si="115">D154-D153</f>
        <v>2.2955093150993755E-2</v>
      </c>
      <c r="E155" s="91">
        <f t="shared" si="115"/>
        <v>-3.096625000000075E-3</v>
      </c>
      <c r="F155" s="91">
        <f t="shared" si="115"/>
        <v>1.7940201615752271E-2</v>
      </c>
      <c r="G155" s="91">
        <f t="shared" si="115"/>
        <v>-3.4379618143220991E-4</v>
      </c>
      <c r="H155" s="91">
        <f t="shared" si="115"/>
        <v>9.5795400243123829E-3</v>
      </c>
      <c r="I155" s="91">
        <f t="shared" si="115"/>
        <v>-4.7054738520602157E-3</v>
      </c>
      <c r="J155" s="91">
        <f t="shared" si="115"/>
        <v>-1.7651657266295251E-2</v>
      </c>
      <c r="K155" s="91">
        <f t="shared" si="115"/>
        <v>-8.7147081951697292E-3</v>
      </c>
      <c r="L155" s="92">
        <f t="shared" si="115"/>
        <v>3.0000000000000027E-3</v>
      </c>
      <c r="M155" s="92">
        <f t="shared" si="115"/>
        <v>0</v>
      </c>
      <c r="N155" s="92">
        <f t="shared" si="115"/>
        <v>0</v>
      </c>
      <c r="O155" s="92">
        <f t="shared" si="115"/>
        <v>0</v>
      </c>
      <c r="P155" s="44">
        <f>(AVERAGE(C154:O154)-AVERAGE(C153:O153))</f>
        <v>1.4355434850091831E-3</v>
      </c>
      <c r="R155" s="9">
        <v>1.7176014348919355E-2</v>
      </c>
    </row>
    <row r="156" spans="1:35">
      <c r="A156" s="176"/>
      <c r="B156" s="43" t="s">
        <v>26</v>
      </c>
      <c r="C156" s="45">
        <f>C155/3%*1%</f>
        <v>-1.0016966366170149E-4</v>
      </c>
      <c r="D156" s="45">
        <f t="shared" ref="D156:N156" si="116">D155/3%*1%</f>
        <v>7.6516977169979183E-3</v>
      </c>
      <c r="E156" s="45">
        <f t="shared" si="116"/>
        <v>-1.0322083333333585E-3</v>
      </c>
      <c r="F156" s="45">
        <f t="shared" si="116"/>
        <v>5.9800672052507577E-3</v>
      </c>
      <c r="G156" s="45">
        <f t="shared" si="116"/>
        <v>-1.1459872714406999E-4</v>
      </c>
      <c r="H156" s="45">
        <f t="shared" si="116"/>
        <v>3.1931800081041279E-3</v>
      </c>
      <c r="I156" s="45">
        <f t="shared" si="116"/>
        <v>-1.5684912840200722E-3</v>
      </c>
      <c r="J156" s="45">
        <f t="shared" si="116"/>
        <v>-5.8838857554317503E-3</v>
      </c>
      <c r="K156" s="45">
        <f t="shared" si="116"/>
        <v>-2.9049027317232436E-3</v>
      </c>
      <c r="L156" s="45">
        <f t="shared" si="116"/>
        <v>1.0000000000000009E-3</v>
      </c>
      <c r="M156" s="45">
        <f t="shared" si="116"/>
        <v>0</v>
      </c>
      <c r="N156" s="45">
        <f t="shared" si="116"/>
        <v>0</v>
      </c>
      <c r="O156" s="45">
        <f>O155/3%*1%</f>
        <v>0</v>
      </c>
      <c r="P156" s="44">
        <f>P155/3%*1%</f>
        <v>4.7851449500306109E-4</v>
      </c>
      <c r="R156" s="10">
        <v>5.7253381163064523E-3</v>
      </c>
    </row>
    <row r="157" spans="1:35">
      <c r="A157" s="176"/>
      <c r="B157" s="46" t="s">
        <v>27</v>
      </c>
      <c r="C157" s="183">
        <f>C152*C156</f>
        <v>-1.8350085218751061E-2</v>
      </c>
      <c r="D157" s="183">
        <f t="shared" ref="D157:N157" si="117">D152*D156</f>
        <v>1.4873752030135292</v>
      </c>
      <c r="E157" s="183">
        <f t="shared" si="117"/>
        <v>-0.2048478155637305</v>
      </c>
      <c r="F157" s="183">
        <f t="shared" si="117"/>
        <v>1.1563492698056717</v>
      </c>
      <c r="G157" s="183">
        <f t="shared" si="117"/>
        <v>-2.3092680612083444E-2</v>
      </c>
      <c r="H157" s="183">
        <f t="shared" si="117"/>
        <v>0.67270260869823506</v>
      </c>
      <c r="I157" s="183">
        <f t="shared" si="117"/>
        <v>-0.33522065417410885</v>
      </c>
      <c r="J157" s="183">
        <f t="shared" si="117"/>
        <v>-1.2754786690357816</v>
      </c>
      <c r="K157" s="183">
        <f t="shared" si="117"/>
        <v>-0.63857911544153223</v>
      </c>
      <c r="L157" s="183">
        <f t="shared" si="117"/>
        <v>0.20965082956259448</v>
      </c>
      <c r="M157" s="183">
        <f t="shared" si="117"/>
        <v>0</v>
      </c>
      <c r="N157" s="183">
        <f t="shared" si="117"/>
        <v>0</v>
      </c>
      <c r="O157" s="183">
        <f>O152*O156</f>
        <v>0</v>
      </c>
      <c r="P157" s="184">
        <f>SUM(C157:O157)</f>
        <v>1.0305088910340428</v>
      </c>
      <c r="R157" s="11">
        <v>5.2864305138325589</v>
      </c>
    </row>
    <row r="158" spans="1:35" ht="15" thickBot="1">
      <c r="A158" s="177"/>
      <c r="B158" s="178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1"/>
      <c r="R158" s="53"/>
    </row>
    <row r="159" spans="1:35">
      <c r="A159" s="87" t="s">
        <v>51</v>
      </c>
      <c r="B159" s="87"/>
      <c r="C159" s="172">
        <f t="shared" ref="C159:P159" si="118">C3+C59+C87+C123+C81+C152</f>
        <v>1239.0428930653079</v>
      </c>
      <c r="D159" s="172">
        <f t="shared" si="118"/>
        <v>1309.7939521918563</v>
      </c>
      <c r="E159" s="172">
        <f t="shared" si="118"/>
        <v>1288.7681669826004</v>
      </c>
      <c r="F159" s="172">
        <f t="shared" si="118"/>
        <v>1274.0727213931293</v>
      </c>
      <c r="G159" s="172">
        <f t="shared" si="118"/>
        <v>1328.1167706280762</v>
      </c>
      <c r="H159" s="172">
        <f t="shared" si="118"/>
        <v>1331.1440985617746</v>
      </c>
      <c r="I159" s="172">
        <f t="shared" si="118"/>
        <v>1345.317389763484</v>
      </c>
      <c r="J159" s="172">
        <f t="shared" si="118"/>
        <v>1325.4887784152802</v>
      </c>
      <c r="K159" s="172">
        <f t="shared" si="118"/>
        <v>1338.9427037165597</v>
      </c>
      <c r="L159" s="172">
        <f t="shared" si="118"/>
        <v>1308.3148674032075</v>
      </c>
      <c r="M159" s="172">
        <f t="shared" si="118"/>
        <v>1333.9577803418365</v>
      </c>
      <c r="N159" s="172">
        <f t="shared" si="118"/>
        <v>1400.8937250450681</v>
      </c>
      <c r="O159" s="172">
        <f t="shared" si="118"/>
        <v>1403.9089676713113</v>
      </c>
      <c r="P159" s="172">
        <f t="shared" si="118"/>
        <v>17227.762815179492</v>
      </c>
    </row>
    <row r="160" spans="1:35">
      <c r="A160" s="18" t="s">
        <v>52</v>
      </c>
      <c r="B160" s="18" t="s">
        <v>53</v>
      </c>
      <c r="C160" s="33">
        <f t="shared" ref="C160:O160" si="119">C86+C9+C16+C23+C30+C37+C65+C72+C79+C100+C114+C129+C136+C143+C93+C150+C157+C121+C107+C44+C58</f>
        <v>11.099912146497589</v>
      </c>
      <c r="D160" s="33">
        <f t="shared" si="119"/>
        <v>2.5133813829090759</v>
      </c>
      <c r="E160" s="33">
        <f t="shared" si="119"/>
        <v>-0.96089970788429424</v>
      </c>
      <c r="F160" s="33">
        <f t="shared" si="119"/>
        <v>0.91985374776311413</v>
      </c>
      <c r="G160" s="33">
        <f t="shared" si="119"/>
        <v>-3.0553097832891192</v>
      </c>
      <c r="H160" s="33">
        <f t="shared" si="119"/>
        <v>1.1537174230319844</v>
      </c>
      <c r="I160" s="33">
        <f t="shared" si="119"/>
        <v>1.4048812215069435</v>
      </c>
      <c r="J160" s="33">
        <f t="shared" si="119"/>
        <v>-0.36993329387774698</v>
      </c>
      <c r="K160" s="33">
        <f t="shared" si="119"/>
        <v>1.7522632824551314</v>
      </c>
      <c r="L160" s="33">
        <f t="shared" si="119"/>
        <v>2.7766595790276702</v>
      </c>
      <c r="M160" s="33">
        <f t="shared" si="119"/>
        <v>2.5723675953204728</v>
      </c>
      <c r="N160" s="33">
        <f t="shared" si="119"/>
        <v>2.2567621980467449</v>
      </c>
      <c r="O160" s="33">
        <f t="shared" si="119"/>
        <v>2.2329086142759142</v>
      </c>
      <c r="P160" s="36">
        <f>P86+P9+P16+P23+P30+P37+P65+P72+P79+P100+P114+P129+P136+P143+P93+P150+P157+P121+P107+P44+P51+P58</f>
        <v>25.933947219336197</v>
      </c>
      <c r="Q160" s="2"/>
      <c r="R160" s="36">
        <f>R86+R9+R16+R23+R30+R37+R65+R72+R79+R100+R114+R129+R136+R143+R93+R150+R157+R121+R107+R44+R51+R58</f>
        <v>49.735013684795895</v>
      </c>
      <c r="S160" s="187">
        <f>P160+P166+P173</f>
        <v>90.394097137352105</v>
      </c>
    </row>
    <row r="161" spans="1:19" ht="15" thickBot="1">
      <c r="A161" s="35" t="s">
        <v>54</v>
      </c>
      <c r="B161" s="160" t="s">
        <v>55</v>
      </c>
      <c r="C161" s="126">
        <v>95.696257044499205</v>
      </c>
      <c r="D161" s="126">
        <v>95.696257044499205</v>
      </c>
      <c r="E161" s="126">
        <v>104.076745103924</v>
      </c>
      <c r="F161" s="126">
        <v>104.076745103924</v>
      </c>
      <c r="G161" s="126">
        <v>104.076745103924</v>
      </c>
      <c r="H161" s="126">
        <v>104.076745103924</v>
      </c>
      <c r="I161" s="126">
        <v>104.076745103924</v>
      </c>
      <c r="J161" s="126">
        <v>104.076745103924</v>
      </c>
      <c r="K161" s="126">
        <v>104.076745103924</v>
      </c>
      <c r="L161" s="126">
        <v>104.148702992651</v>
      </c>
      <c r="M161" s="126">
        <v>104.148702992651</v>
      </c>
      <c r="N161" s="126">
        <v>104.148702992651</v>
      </c>
      <c r="O161" s="126">
        <v>129.720221806133</v>
      </c>
      <c r="P161" s="50">
        <f>SUM(C161:O161)</f>
        <v>1362.0960606005519</v>
      </c>
      <c r="Q161" s="155"/>
      <c r="S161" s="181" t="s">
        <v>59</v>
      </c>
    </row>
    <row r="162" spans="1:19">
      <c r="A162" s="1"/>
      <c r="B162" s="56">
        <v>2025</v>
      </c>
      <c r="C162" s="130"/>
      <c r="D162" s="130"/>
      <c r="E162" s="130">
        <v>0.75007910644140519</v>
      </c>
      <c r="F162" s="130">
        <v>0.79798406067551464</v>
      </c>
      <c r="G162" s="130">
        <v>0.80017403716776003</v>
      </c>
      <c r="H162" s="130">
        <v>0.86463759242669969</v>
      </c>
      <c r="I162" s="130">
        <v>0.86549634849203372</v>
      </c>
      <c r="J162" s="130">
        <v>0.90870000718329924</v>
      </c>
      <c r="K162" s="130">
        <v>0.85</v>
      </c>
      <c r="L162" s="130">
        <v>0.85</v>
      </c>
      <c r="M162" s="130">
        <v>0.85</v>
      </c>
      <c r="N162" s="130">
        <v>0.85</v>
      </c>
      <c r="O162" s="130">
        <v>0.85</v>
      </c>
      <c r="P162" s="55">
        <f>AVERAGE(C162:O162)</f>
        <v>0.83973374112606469</v>
      </c>
    </row>
    <row r="163" spans="1:19">
      <c r="A163" s="1"/>
      <c r="B163" s="42">
        <v>2026</v>
      </c>
      <c r="C163" s="54">
        <v>0.85</v>
      </c>
      <c r="D163" s="54">
        <f>C163+0.2%</f>
        <v>0.85199999999999998</v>
      </c>
      <c r="E163" s="54">
        <f>D163+0.2%</f>
        <v>0.85399999999999998</v>
      </c>
      <c r="F163" s="54">
        <f t="shared" ref="F163:H163" si="120">E163+0.2%</f>
        <v>0.85599999999999998</v>
      </c>
      <c r="G163" s="54">
        <v>0.86</v>
      </c>
      <c r="H163" s="54">
        <f t="shared" si="120"/>
        <v>0.86199999999999999</v>
      </c>
      <c r="I163" s="54">
        <f>H163+0.3%</f>
        <v>0.86499999999999999</v>
      </c>
      <c r="J163" s="54">
        <v>0.9</v>
      </c>
      <c r="K163" s="54">
        <f t="shared" ref="K163:O163" si="121">J163+0.3%</f>
        <v>0.90300000000000002</v>
      </c>
      <c r="L163" s="54">
        <f t="shared" si="121"/>
        <v>0.90600000000000003</v>
      </c>
      <c r="M163" s="54">
        <f t="shared" si="121"/>
        <v>0.90900000000000003</v>
      </c>
      <c r="N163" s="54">
        <f t="shared" si="121"/>
        <v>0.91200000000000003</v>
      </c>
      <c r="O163" s="54">
        <f t="shared" si="121"/>
        <v>0.91500000000000004</v>
      </c>
      <c r="P163" s="44">
        <f>AVERAGE(C163:O163)</f>
        <v>0.88030769230769246</v>
      </c>
    </row>
    <row r="164" spans="1:19">
      <c r="A164" s="1"/>
      <c r="B164" s="43" t="s">
        <v>24</v>
      </c>
      <c r="C164" s="91"/>
      <c r="D164" s="91"/>
      <c r="E164" s="91">
        <f t="shared" ref="E164:O164" si="122">E163-E162</f>
        <v>0.1039208935585948</v>
      </c>
      <c r="F164" s="91">
        <f t="shared" si="122"/>
        <v>5.8015939324485344E-2</v>
      </c>
      <c r="G164" s="91">
        <f t="shared" si="122"/>
        <v>5.9825962832239954E-2</v>
      </c>
      <c r="H164" s="91">
        <f t="shared" si="122"/>
        <v>-2.6375924266996975E-3</v>
      </c>
      <c r="I164" s="91">
        <f t="shared" si="122"/>
        <v>-4.9634849203372688E-4</v>
      </c>
      <c r="J164" s="91">
        <f t="shared" si="122"/>
        <v>-8.7000071832992187E-3</v>
      </c>
      <c r="K164" s="91">
        <f t="shared" si="122"/>
        <v>5.3000000000000047E-2</v>
      </c>
      <c r="L164" s="92">
        <f t="shared" si="122"/>
        <v>5.600000000000005E-2</v>
      </c>
      <c r="M164" s="92">
        <f t="shared" si="122"/>
        <v>5.9000000000000052E-2</v>
      </c>
      <c r="N164" s="92">
        <f t="shared" si="122"/>
        <v>6.2000000000000055E-2</v>
      </c>
      <c r="O164" s="92">
        <f t="shared" si="122"/>
        <v>6.5000000000000058E-2</v>
      </c>
      <c r="P164" s="44">
        <f>(AVERAGE(C163:O163)-AVERAGE(C162:O162))</f>
        <v>4.0573951181627765E-2</v>
      </c>
    </row>
    <row r="165" spans="1:19">
      <c r="A165" s="1"/>
      <c r="B165" s="43" t="s">
        <v>26</v>
      </c>
      <c r="C165" s="45"/>
      <c r="D165" s="45"/>
      <c r="E165" s="45">
        <f t="shared" ref="E165:N165" si="123">E164/3%*1%</f>
        <v>3.4640297852864932E-2</v>
      </c>
      <c r="F165" s="45">
        <f t="shared" si="123"/>
        <v>1.9338646441495116E-2</v>
      </c>
      <c r="G165" s="45">
        <f t="shared" si="123"/>
        <v>1.9941987610746652E-2</v>
      </c>
      <c r="H165" s="45">
        <f t="shared" si="123"/>
        <v>-8.7919747556656591E-4</v>
      </c>
      <c r="I165" s="45">
        <f t="shared" si="123"/>
        <v>-1.6544949734457565E-4</v>
      </c>
      <c r="J165" s="45">
        <f t="shared" si="123"/>
        <v>-2.9000023944330735E-3</v>
      </c>
      <c r="K165" s="45">
        <f t="shared" si="123"/>
        <v>1.7666666666666685E-2</v>
      </c>
      <c r="L165" s="45">
        <f t="shared" si="123"/>
        <v>1.8666666666666686E-2</v>
      </c>
      <c r="M165" s="45">
        <f t="shared" si="123"/>
        <v>1.9666666666666686E-2</v>
      </c>
      <c r="N165" s="45">
        <f t="shared" si="123"/>
        <v>2.0666666666666687E-2</v>
      </c>
      <c r="O165" s="45">
        <f>O164/3%*1%</f>
        <v>2.1666666666666688E-2</v>
      </c>
      <c r="P165" s="44">
        <f t="shared" ref="P165" si="124">P164/3%*1%</f>
        <v>1.3524650393875924E-2</v>
      </c>
    </row>
    <row r="166" spans="1:19">
      <c r="A166" s="1"/>
      <c r="B166" s="156" t="s">
        <v>27</v>
      </c>
      <c r="C166" s="157"/>
      <c r="D166" s="157"/>
      <c r="E166" s="158">
        <f t="shared" ref="E166:K166" si="125">E161*E165</f>
        <v>3.6052494499566294</v>
      </c>
      <c r="F166" s="158">
        <f t="shared" si="125"/>
        <v>2.0127033763463942</v>
      </c>
      <c r="G166" s="158">
        <f t="shared" si="125"/>
        <v>2.0754971614292899</v>
      </c>
      <c r="H166" s="158">
        <f t="shared" si="125"/>
        <v>-9.1504011560554932E-2</v>
      </c>
      <c r="I166" s="158">
        <f t="shared" si="125"/>
        <v>-1.721944516270375E-2</v>
      </c>
      <c r="J166" s="158">
        <f t="shared" si="125"/>
        <v>-0.30182281000618028</v>
      </c>
      <c r="K166" s="158">
        <f t="shared" si="125"/>
        <v>1.8386891635026592</v>
      </c>
      <c r="L166" s="158">
        <f>L161*L165</f>
        <v>1.9441091225294873</v>
      </c>
      <c r="M166" s="158">
        <f t="shared" ref="M166:O166" si="126">M161*M165</f>
        <v>2.0482578255221382</v>
      </c>
      <c r="N166" s="158">
        <f t="shared" si="126"/>
        <v>2.1524065285147893</v>
      </c>
      <c r="O166" s="158">
        <f t="shared" si="126"/>
        <v>2.8106048057995512</v>
      </c>
      <c r="P166" s="57">
        <f>SUM(C166:O166)</f>
        <v>18.076971166871502</v>
      </c>
    </row>
    <row r="167" spans="1:19">
      <c r="A167" s="1"/>
      <c r="B167" s="43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48"/>
    </row>
    <row r="168" spans="1:19" ht="15" thickBot="1">
      <c r="A168" s="35" t="s">
        <v>54</v>
      </c>
      <c r="B168" s="160" t="s">
        <v>56</v>
      </c>
      <c r="C168" s="126">
        <v>79.098962288548989</v>
      </c>
      <c r="D168" s="126">
        <v>79.098962288548989</v>
      </c>
      <c r="E168" s="126">
        <v>85.744754279660214</v>
      </c>
      <c r="F168" s="126">
        <v>85.744754279660214</v>
      </c>
      <c r="G168" s="126">
        <v>85.744754279660214</v>
      </c>
      <c r="H168" s="126">
        <v>85.744754279660214</v>
      </c>
      <c r="I168" s="126">
        <v>85.744754279660214</v>
      </c>
      <c r="J168" s="126">
        <v>85.744754279660214</v>
      </c>
      <c r="K168" s="126">
        <v>85.744754279660214</v>
      </c>
      <c r="L168" s="126">
        <v>85.744754279660214</v>
      </c>
      <c r="M168" s="126">
        <v>85.744754279660214</v>
      </c>
      <c r="N168" s="126">
        <v>85.744754279660214</v>
      </c>
      <c r="O168" s="126">
        <v>100.81151428563699</v>
      </c>
      <c r="P168" s="50">
        <f>SUM(C168:O168)</f>
        <v>1116.4569816593373</v>
      </c>
      <c r="S168" s="181" t="s">
        <v>59</v>
      </c>
    </row>
    <row r="169" spans="1:19">
      <c r="A169" s="1"/>
      <c r="B169" s="56">
        <v>2025</v>
      </c>
      <c r="C169" s="161"/>
      <c r="D169" s="162"/>
      <c r="E169" s="162">
        <v>0.59351405317387784</v>
      </c>
      <c r="F169" s="162">
        <v>0.66567256584592371</v>
      </c>
      <c r="G169" s="162">
        <v>0.71679676604836773</v>
      </c>
      <c r="H169" s="162">
        <v>0.35644337945704851</v>
      </c>
      <c r="I169" s="162">
        <v>0.67264634990802574</v>
      </c>
      <c r="J169" s="162">
        <v>0.83667341692316965</v>
      </c>
      <c r="K169" s="162">
        <v>0.74427201558262923</v>
      </c>
      <c r="L169" s="162">
        <v>0.85</v>
      </c>
      <c r="M169" s="162">
        <v>0.85</v>
      </c>
      <c r="N169" s="162">
        <v>0.85</v>
      </c>
      <c r="O169" s="162">
        <v>0.85</v>
      </c>
      <c r="P169" s="163">
        <f>AVERAGE(C169:O169)</f>
        <v>0.72600168608536741</v>
      </c>
    </row>
    <row r="170" spans="1:19">
      <c r="A170" s="1"/>
      <c r="B170" s="42">
        <v>2026</v>
      </c>
      <c r="C170" s="164">
        <v>0.85</v>
      </c>
      <c r="D170" s="165">
        <f>C170+0.3%</f>
        <v>0.85299999999999998</v>
      </c>
      <c r="E170" s="165">
        <f t="shared" ref="E170:O170" si="127">D170+0.3%</f>
        <v>0.85599999999999998</v>
      </c>
      <c r="F170" s="165">
        <v>0.86</v>
      </c>
      <c r="G170" s="165">
        <f t="shared" si="127"/>
        <v>0.86299999999999999</v>
      </c>
      <c r="H170" s="165">
        <f t="shared" si="127"/>
        <v>0.86599999999999999</v>
      </c>
      <c r="I170" s="165">
        <v>0.87</v>
      </c>
      <c r="J170" s="165">
        <f t="shared" si="127"/>
        <v>0.873</v>
      </c>
      <c r="K170" s="165">
        <f t="shared" si="127"/>
        <v>0.876</v>
      </c>
      <c r="L170" s="165">
        <v>0.88</v>
      </c>
      <c r="M170" s="165">
        <f t="shared" si="127"/>
        <v>0.88300000000000001</v>
      </c>
      <c r="N170" s="165">
        <f t="shared" si="127"/>
        <v>0.88600000000000001</v>
      </c>
      <c r="O170" s="165">
        <f t="shared" si="127"/>
        <v>0.88900000000000001</v>
      </c>
      <c r="P170" s="44">
        <f>AVERAGE(C170:O170)</f>
        <v>0.86961538461538457</v>
      </c>
    </row>
    <row r="171" spans="1:19">
      <c r="A171" s="1"/>
      <c r="B171" s="43" t="s">
        <v>24</v>
      </c>
      <c r="C171" s="166"/>
      <c r="D171" s="91"/>
      <c r="E171" s="91">
        <f t="shared" ref="E171:O171" si="128">E170-E169</f>
        <v>0.26248594682612214</v>
      </c>
      <c r="F171" s="91">
        <f t="shared" si="128"/>
        <v>0.19432743415407627</v>
      </c>
      <c r="G171" s="91">
        <f t="shared" si="128"/>
        <v>0.14620323395163226</v>
      </c>
      <c r="H171" s="91">
        <f t="shared" si="128"/>
        <v>0.50955662054295148</v>
      </c>
      <c r="I171" s="91">
        <f t="shared" si="128"/>
        <v>0.19735365009197425</v>
      </c>
      <c r="J171" s="91">
        <f t="shared" si="128"/>
        <v>3.6326583076830343E-2</v>
      </c>
      <c r="K171" s="91">
        <f t="shared" si="128"/>
        <v>0.13172798441737077</v>
      </c>
      <c r="L171" s="92">
        <f t="shared" si="128"/>
        <v>3.0000000000000027E-2</v>
      </c>
      <c r="M171" s="92">
        <f t="shared" si="128"/>
        <v>3.3000000000000029E-2</v>
      </c>
      <c r="N171" s="92">
        <f t="shared" si="128"/>
        <v>3.6000000000000032E-2</v>
      </c>
      <c r="O171" s="92">
        <f t="shared" si="128"/>
        <v>3.9000000000000035E-2</v>
      </c>
      <c r="P171" s="44">
        <f>(AVERAGE(C170:O170)-AVERAGE(C169:O169))</f>
        <v>0.14361369853001715</v>
      </c>
    </row>
    <row r="172" spans="1:19">
      <c r="A172" s="1"/>
      <c r="B172" s="43" t="s">
        <v>26</v>
      </c>
      <c r="C172" s="167"/>
      <c r="D172" s="45"/>
      <c r="E172" s="45">
        <f t="shared" ref="E172:N172" si="129">E171/3%*1%</f>
        <v>8.749531560870738E-2</v>
      </c>
      <c r="F172" s="45">
        <f t="shared" si="129"/>
        <v>6.47758113846921E-2</v>
      </c>
      <c r="G172" s="45">
        <f t="shared" si="129"/>
        <v>4.8734411317210756E-2</v>
      </c>
      <c r="H172" s="45">
        <f t="shared" si="129"/>
        <v>0.16985220684765051</v>
      </c>
      <c r="I172" s="45">
        <f t="shared" si="129"/>
        <v>6.5784550030658084E-2</v>
      </c>
      <c r="J172" s="45">
        <f t="shared" si="129"/>
        <v>1.2108861025610117E-2</v>
      </c>
      <c r="K172" s="45">
        <f t="shared" si="129"/>
        <v>4.3909328139123592E-2</v>
      </c>
      <c r="L172" s="45">
        <f t="shared" si="129"/>
        <v>1.0000000000000009E-2</v>
      </c>
      <c r="M172" s="45">
        <f t="shared" si="129"/>
        <v>1.100000000000001E-2</v>
      </c>
      <c r="N172" s="45">
        <f t="shared" si="129"/>
        <v>1.2000000000000011E-2</v>
      </c>
      <c r="O172" s="45">
        <f>O171/3%*1%</f>
        <v>1.3000000000000012E-2</v>
      </c>
      <c r="P172" s="44">
        <f t="shared" ref="P172" si="130">P171/3%*1%</f>
        <v>4.7871232843339051E-2</v>
      </c>
    </row>
    <row r="173" spans="1:19">
      <c r="A173" s="159"/>
      <c r="B173" s="156" t="s">
        <v>27</v>
      </c>
      <c r="C173" s="168"/>
      <c r="D173" s="157"/>
      <c r="E173" s="158">
        <f t="shared" ref="E173:K173" si="131">E168*E172</f>
        <v>7.5022643374899332</v>
      </c>
      <c r="F173" s="158">
        <f t="shared" si="131"/>
        <v>5.5541860304460409</v>
      </c>
      <c r="G173" s="158">
        <f t="shared" si="131"/>
        <v>4.1787201233581284</v>
      </c>
      <c r="H173" s="158">
        <f t="shared" si="131"/>
        <v>14.563935740009812</v>
      </c>
      <c r="I173" s="158">
        <f t="shared" si="131"/>
        <v>5.6406800777767909</v>
      </c>
      <c r="J173" s="158">
        <f t="shared" si="131"/>
        <v>1.0382713132474939</v>
      </c>
      <c r="K173" s="158">
        <f t="shared" si="131"/>
        <v>3.7649945518741221</v>
      </c>
      <c r="L173" s="158">
        <f>L168*L172</f>
        <v>0.85744754279660285</v>
      </c>
      <c r="M173" s="158">
        <f t="shared" ref="M173:O173" si="132">M168*M172</f>
        <v>0.94319229707626318</v>
      </c>
      <c r="N173" s="158">
        <f t="shared" si="132"/>
        <v>1.0289370513559235</v>
      </c>
      <c r="O173" s="158">
        <f t="shared" si="132"/>
        <v>1.3105496857132821</v>
      </c>
      <c r="P173" s="57">
        <f>SUM(C173:O173)</f>
        <v>46.383178751144399</v>
      </c>
    </row>
    <row r="174" spans="1:19" ht="15" thickBot="1">
      <c r="B174" s="56"/>
      <c r="C174" s="169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1"/>
    </row>
  </sheetData>
  <conditionalFormatting sqref="R8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{FDB1936F-0BDB-4106-BC58-9F60D4453C1D}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{17BD5C2E-C3E6-4BC6-BBA7-EF64D8C45AC2}</x14:id>
        </ext>
      </extLst>
    </cfRule>
  </conditionalFormatting>
  <conditionalFormatting sqref="R9:R10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{D2AC16BD-2B20-428F-97EE-DC86BA80DEAB}</x14:id>
        </ext>
      </extLst>
    </cfRule>
  </conditionalFormatting>
  <conditionalFormatting sqref="R15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{06E4577F-4403-4FF4-9142-C929529A2B56}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{D6239E16-3342-46FC-A3A1-2625C660ADA1}</x14:id>
        </ext>
      </extLst>
    </cfRule>
  </conditionalFormatting>
  <conditionalFormatting sqref="R16:R17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{58338918-806F-4FB8-9427-FB84BB7A3548}</x14:id>
        </ext>
      </extLst>
    </cfRule>
  </conditionalFormatting>
  <conditionalFormatting sqref="R22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{83A07BB5-A490-46A3-918B-85164215611E}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{6F63844F-761C-4DC7-BE56-51C0387D98F5}</x14:id>
        </ext>
      </extLst>
    </cfRule>
  </conditionalFormatting>
  <conditionalFormatting sqref="R23:R24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{D6AF0045-674C-4902-BFD9-9DA38CE8D2A3}</x14:id>
        </ext>
      </extLst>
    </cfRule>
  </conditionalFormatting>
  <conditionalFormatting sqref="R2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{FD75BF37-2CCE-4D69-93F2-EFEA69F8317F}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{A53114BC-C1D8-4842-B78A-E4DBC2FD8E0D}</x14:id>
        </ext>
      </extLst>
    </cfRule>
  </conditionalFormatting>
  <conditionalFormatting sqref="R30:R31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{6463611D-8DEB-4762-A741-D6F222516E12}</x14:id>
        </ext>
      </extLst>
    </cfRule>
  </conditionalFormatting>
  <conditionalFormatting sqref="R36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{091EB203-FC1F-4EA0-8DA4-7A5DBC886F34}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{07F43A19-81C6-4562-BBB0-A665A9C5B50B}</x14:id>
        </ext>
      </extLst>
    </cfRule>
  </conditionalFormatting>
  <conditionalFormatting sqref="R37:R3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{45DCAF12-5544-440B-926C-88B681807512}</x14:id>
        </ext>
      </extLst>
    </cfRule>
  </conditionalFormatting>
  <conditionalFormatting sqref="R43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{42BEF4B8-F74D-4BAA-B152-2EF9D79A36E2}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{803B6F32-1862-4987-9948-4AB26989C9C5}</x14:id>
        </ext>
      </extLst>
    </cfRule>
  </conditionalFormatting>
  <conditionalFormatting sqref="R44:R45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{BCA2070F-F167-4740-A23F-34E81B1F83D6}</x14:id>
        </ext>
      </extLst>
    </cfRule>
  </conditionalFormatting>
  <conditionalFormatting sqref="R50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{980CAF17-00C2-46E1-BF9A-8FC11212786A}</x14:id>
        </ext>
      </extLs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{B9B8FF87-1801-4722-8565-01149D66164D}</x14:id>
        </ext>
      </extLst>
    </cfRule>
  </conditionalFormatting>
  <conditionalFormatting sqref="R51:R52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{41AAE2DE-42CA-4906-92C9-3BA43DB298C4}</x14:id>
        </ext>
      </extLst>
    </cfRule>
  </conditionalFormatting>
  <conditionalFormatting sqref="R5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{D90C7DE0-5F08-4653-B2E7-CEC6DF87E540}</x14:id>
        </ext>
      </extLst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{1420CE69-BDF3-4ED3-B02A-1092B16325BB}</x14:id>
        </ext>
      </extLst>
    </cfRule>
  </conditionalFormatting>
  <conditionalFormatting sqref="R58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{675B11CC-A9F7-43B9-A113-789D543553C8}</x14:id>
        </ext>
      </extLst>
    </cfRule>
  </conditionalFormatting>
  <conditionalFormatting sqref="R9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{D321E447-0488-4B40-8DB8-5FF5FACF0A91}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{A62B39DE-A854-43A0-AFFD-B541727ECE5A}</x14:id>
        </ext>
      </extLst>
    </cfRule>
  </conditionalFormatting>
  <conditionalFormatting sqref="R100:R10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{832AE656-21B3-4EDB-8D77-E53AD1ACBCD9}</x14:id>
        </ext>
      </extLst>
    </cfRule>
  </conditionalFormatting>
  <conditionalFormatting sqref="R10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{D7404461-5146-4C61-B9A5-0C098FC52F9A}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{CF603A95-AF2F-4C87-8CCC-6F0B550291B4}</x14:id>
        </ext>
      </extLst>
    </cfRule>
  </conditionalFormatting>
  <conditionalFormatting sqref="R107:R108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{FC184AA3-3B78-4297-8A48-942FB9233BE2}</x14:id>
        </ext>
      </extLst>
    </cfRule>
  </conditionalFormatting>
  <conditionalFormatting sqref="R11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{DE19A1B2-0710-4493-B0E4-B5BF11754D38}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{329651AE-A216-4FC5-BD77-69DFEA0BEF3D}</x14:id>
        </ext>
      </extLst>
    </cfRule>
  </conditionalFormatting>
  <conditionalFormatting sqref="R114:R11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{E3400EF0-6214-406E-B31B-DACCD4EDC687}</x14:id>
        </ext>
      </extLst>
    </cfRule>
  </conditionalFormatting>
  <conditionalFormatting sqref="R120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{F8FF541A-7350-4C66-AA59-B325968DADF8}</x14:id>
        </ext>
      </extLs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{AAA20B38-F96C-4E27-B99D-B67463B283D2}</x14:id>
        </ext>
      </extLst>
    </cfRule>
  </conditionalFormatting>
  <conditionalFormatting sqref="R12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{A836C791-9B17-4AAD-91D2-2EF506CC1F62}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{7F64C924-CB63-4F71-BF03-DBFD040A761F}</x14:id>
        </ext>
      </extLst>
    </cfRule>
  </conditionalFormatting>
  <conditionalFormatting sqref="R129:R13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{5B6AF69D-8333-4BA9-B41D-986BC12B3ACC}</x14:id>
        </ext>
      </extLst>
    </cfRule>
  </conditionalFormatting>
  <conditionalFormatting sqref="R13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{708CC222-D286-4A28-8A24-44733734E23D}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{54E443C0-A8BF-43E6-99E3-534DBDB6696B}</x14:id>
        </ext>
      </extLst>
    </cfRule>
  </conditionalFormatting>
  <conditionalFormatting sqref="R136:R137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{A6C82676-8BC5-4F5A-9DD5-BCD1A7A76AB4}</x14:id>
        </ext>
      </extLst>
    </cfRule>
  </conditionalFormatting>
  <conditionalFormatting sqref="R14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{F42C33D1-D03F-418C-B445-AA57A0311669}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{758BA70F-7B23-4130-8089-6FEBDAF90597}</x14:id>
        </ext>
      </extLst>
    </cfRule>
  </conditionalFormatting>
  <conditionalFormatting sqref="R143:R14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{9F6AC217-96A8-46F6-B444-748633724027}</x14:id>
        </ext>
      </extLst>
    </cfRule>
  </conditionalFormatting>
  <conditionalFormatting sqref="R14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{31FF7103-7342-4424-B84C-7B57DA7DB4F3}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{7E1FA9E4-360B-4162-BAD1-9BF43F1EC536}</x14:id>
        </ext>
      </extLst>
    </cfRule>
  </conditionalFormatting>
  <conditionalFormatting sqref="R150:R15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{5CED79AE-1548-406E-986B-D8DD58987805}</x14:id>
        </ext>
      </extLst>
    </cfRule>
  </conditionalFormatting>
  <conditionalFormatting sqref="R156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{5C261A05-B151-40FD-9D2A-13D85C46D148}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{46FB554C-E651-42B7-A47B-A3DA0B381604}</x14:id>
        </ext>
      </extLst>
    </cfRule>
  </conditionalFormatting>
  <conditionalFormatting sqref="R157:R15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{2AFAE7AA-86F8-449D-8A4F-A3ABE009ACCD}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B1936F-0BDB-4106-BC58-9F60D4453C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BD5C2E-C3E6-4BC6-BBA7-EF64D8C45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2AC16BD-2B20-428F-97EE-DC86BA80D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R9:R10</xm:sqref>
        </x14:conditionalFormatting>
        <x14:conditionalFormatting xmlns:xm="http://schemas.microsoft.com/office/excel/2006/main">
          <x14:cfRule type="dataBar" id="{06E4577F-4403-4FF4-9142-C929529A2B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239E16-3342-46FC-A3A1-2625C660AD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8338918-806F-4FB8-9427-FB84BB7A3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R16:R17</xm:sqref>
        </x14:conditionalFormatting>
        <x14:conditionalFormatting xmlns:xm="http://schemas.microsoft.com/office/excel/2006/main">
          <x14:cfRule type="dataBar" id="{83A07BB5-A490-46A3-918B-8516421561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63844F-761C-4DC7-BE56-51C0387D9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6AF0045-674C-4902-BFD9-9DA38CE8D2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R23:R24</xm:sqref>
        </x14:conditionalFormatting>
        <x14:conditionalFormatting xmlns:xm="http://schemas.microsoft.com/office/excel/2006/main">
          <x14:cfRule type="dataBar" id="{FD75BF37-2CCE-4D69-93F2-EFEA69F831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3114BC-C1D8-4842-B78A-E4DBC2FD8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463611D-8DEB-4762-A741-D6F222516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R30:R31</xm:sqref>
        </x14:conditionalFormatting>
        <x14:conditionalFormatting xmlns:xm="http://schemas.microsoft.com/office/excel/2006/main">
          <x14:cfRule type="dataBar" id="{091EB203-FC1F-4EA0-8DA4-7A5DBC886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F43A19-81C6-4562-BBB0-A665A9C5B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45DCAF12-5544-440B-926C-88B681807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R37:R38</xm:sqref>
        </x14:conditionalFormatting>
        <x14:conditionalFormatting xmlns:xm="http://schemas.microsoft.com/office/excel/2006/main">
          <x14:cfRule type="dataBar" id="{42BEF4B8-F74D-4BAA-B152-2EF9D79A36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3B6F32-1862-4987-9948-4AB26989C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BCA2070F-F167-4740-A23F-34E81B1F83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R44:R45</xm:sqref>
        </x14:conditionalFormatting>
        <x14:conditionalFormatting xmlns:xm="http://schemas.microsoft.com/office/excel/2006/main">
          <x14:cfRule type="dataBar" id="{980CAF17-00C2-46E1-BF9A-8FC112127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B8FF87-1801-4722-8565-01149D661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41AAE2DE-42CA-4906-92C9-3BA43DB29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R51:R52</xm:sqref>
        </x14:conditionalFormatting>
        <x14:conditionalFormatting xmlns:xm="http://schemas.microsoft.com/office/excel/2006/main">
          <x14:cfRule type="dataBar" id="{D90C7DE0-5F08-4653-B2E7-CEC6DF87E5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20CE69-BDF3-4ED3-B02A-1092B16325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675B11CC-A9F7-43B9-A113-789D543553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D321E447-0488-4B40-8DB8-5FF5FACF0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2B39DE-A854-43A0-AFFD-B541727EC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R99</xm:sqref>
        </x14:conditionalFormatting>
        <x14:conditionalFormatting xmlns:xm="http://schemas.microsoft.com/office/excel/2006/main">
          <x14:cfRule type="dataBar" id="{832AE656-21B3-4EDB-8D77-E53AD1ACB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R100:R101</xm:sqref>
        </x14:conditionalFormatting>
        <x14:conditionalFormatting xmlns:xm="http://schemas.microsoft.com/office/excel/2006/main">
          <x14:cfRule type="dataBar" id="{D7404461-5146-4C61-B9A5-0C098FC52F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603A95-AF2F-4C87-8CCC-6F0B55029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R106</xm:sqref>
        </x14:conditionalFormatting>
        <x14:conditionalFormatting xmlns:xm="http://schemas.microsoft.com/office/excel/2006/main">
          <x14:cfRule type="dataBar" id="{FC184AA3-3B78-4297-8A48-942FB9233B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R107:R108</xm:sqref>
        </x14:conditionalFormatting>
        <x14:conditionalFormatting xmlns:xm="http://schemas.microsoft.com/office/excel/2006/main">
          <x14:cfRule type="dataBar" id="{DE19A1B2-0710-4493-B0E4-B5BF11754D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9651AE-A216-4FC5-BD77-69DFEA0BEF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R113</xm:sqref>
        </x14:conditionalFormatting>
        <x14:conditionalFormatting xmlns:xm="http://schemas.microsoft.com/office/excel/2006/main">
          <x14:cfRule type="dataBar" id="{E3400EF0-6214-406E-B31B-DACCD4EDC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R114:R115</xm:sqref>
        </x14:conditionalFormatting>
        <x14:conditionalFormatting xmlns:xm="http://schemas.microsoft.com/office/excel/2006/main">
          <x14:cfRule type="dataBar" id="{F8FF541A-7350-4C66-AA59-B325968DA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A20B38-F96C-4E27-B99D-B67463B28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R120</xm:sqref>
        </x14:conditionalFormatting>
        <x14:conditionalFormatting xmlns:xm="http://schemas.microsoft.com/office/excel/2006/main">
          <x14:cfRule type="dataBar" id="{A836C791-9B17-4AAD-91D2-2EF506CC1F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64C924-CB63-4F71-BF03-DBFD040A7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R128</xm:sqref>
        </x14:conditionalFormatting>
        <x14:conditionalFormatting xmlns:xm="http://schemas.microsoft.com/office/excel/2006/main">
          <x14:cfRule type="dataBar" id="{5B6AF69D-8333-4BA9-B41D-986BC12B3A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R129:R130</xm:sqref>
        </x14:conditionalFormatting>
        <x14:conditionalFormatting xmlns:xm="http://schemas.microsoft.com/office/excel/2006/main">
          <x14:cfRule type="dataBar" id="{708CC222-D286-4A28-8A24-44733734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E443C0-A8BF-43E6-99E3-534DBDB66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R135</xm:sqref>
        </x14:conditionalFormatting>
        <x14:conditionalFormatting xmlns:xm="http://schemas.microsoft.com/office/excel/2006/main">
          <x14:cfRule type="dataBar" id="{A6C82676-8BC5-4F5A-9DD5-BCD1A7A76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R136:R137</xm:sqref>
        </x14:conditionalFormatting>
        <x14:conditionalFormatting xmlns:xm="http://schemas.microsoft.com/office/excel/2006/main">
          <x14:cfRule type="dataBar" id="{F42C33D1-D03F-418C-B445-AA57A0311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8BA70F-7B23-4130-8089-6FEBDAF90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R142</xm:sqref>
        </x14:conditionalFormatting>
        <x14:conditionalFormatting xmlns:xm="http://schemas.microsoft.com/office/excel/2006/main">
          <x14:cfRule type="dataBar" id="{9F6AC217-96A8-46F6-B444-748633724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R143:R144</xm:sqref>
        </x14:conditionalFormatting>
        <x14:conditionalFormatting xmlns:xm="http://schemas.microsoft.com/office/excel/2006/main">
          <x14:cfRule type="dataBar" id="{31FF7103-7342-4424-B84C-7B57DA7DB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1FA9E4-360B-4162-BAD1-9BF43F1EC5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R149</xm:sqref>
        </x14:conditionalFormatting>
        <x14:conditionalFormatting xmlns:xm="http://schemas.microsoft.com/office/excel/2006/main">
          <x14:cfRule type="dataBar" id="{5CED79AE-1548-406E-986B-D8DD58987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R150:R151</xm:sqref>
        </x14:conditionalFormatting>
        <x14:conditionalFormatting xmlns:xm="http://schemas.microsoft.com/office/excel/2006/main">
          <x14:cfRule type="dataBar" id="{5C261A05-B151-40FD-9D2A-13D85C46D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FB554C-E651-42B7-A47B-A3DA0B3816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2AFAE7AA-86F8-449D-8A4F-A3ABE009A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R157:R158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6B57-F62A-4B9D-9760-580FA5C28FC7}">
  <dimension ref="A1:O3"/>
  <sheetViews>
    <sheetView workbookViewId="0">
      <selection activeCell="B3" sqref="B3:N3"/>
    </sheetView>
  </sheetViews>
  <sheetFormatPr defaultRowHeight="14.45"/>
  <sheetData>
    <row r="1" spans="1:15">
      <c r="A1" t="s">
        <v>69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</row>
    <row r="2" spans="1:15">
      <c r="A2" t="s">
        <v>70</v>
      </c>
      <c r="B2" s="29">
        <v>63.724601079999985</v>
      </c>
      <c r="C2" s="29">
        <v>69.9680295</v>
      </c>
      <c r="D2" s="29">
        <v>63.240815549999965</v>
      </c>
      <c r="E2" s="29">
        <v>58.223476920000003</v>
      </c>
      <c r="F2" s="29">
        <v>67.569671889999938</v>
      </c>
      <c r="G2" s="29">
        <v>34.755653929999994</v>
      </c>
      <c r="H2" s="29">
        <v>66.853062550000033</v>
      </c>
      <c r="I2" s="29">
        <v>81.033466769999976</v>
      </c>
      <c r="J2" s="29">
        <v>79.003237000000013</v>
      </c>
      <c r="K2" s="29">
        <v>73.717478207999989</v>
      </c>
      <c r="L2" s="29">
        <v>83</v>
      </c>
      <c r="M2" s="29">
        <v>83</v>
      </c>
      <c r="N2" s="29">
        <v>83.5</v>
      </c>
      <c r="O2" s="29">
        <f>SUM(B2:N2)</f>
        <v>907.58949339799995</v>
      </c>
    </row>
    <row r="3" spans="1:15">
      <c r="A3" t="s">
        <v>71</v>
      </c>
      <c r="B3" s="29">
        <v>77.102979669999996</v>
      </c>
      <c r="C3" s="29">
        <v>78.293534679999993</v>
      </c>
      <c r="D3" s="29">
        <v>84.673473600000008</v>
      </c>
      <c r="E3" s="29">
        <v>88.31119661999999</v>
      </c>
      <c r="F3" s="29">
        <v>92.724424139999996</v>
      </c>
      <c r="G3" s="29">
        <v>74.002721580000014</v>
      </c>
      <c r="H3" s="29">
        <v>111.21382591999999</v>
      </c>
      <c r="I3" s="29">
        <v>134.59587372000001</v>
      </c>
      <c r="J3" s="29">
        <v>132.17097772</v>
      </c>
      <c r="K3" s="29">
        <v>124.62094311999999</v>
      </c>
      <c r="L3" s="29">
        <v>119.26</v>
      </c>
      <c r="M3" s="29">
        <v>123</v>
      </c>
      <c r="N3" s="29">
        <v>123.22621304932231</v>
      </c>
      <c r="O3" s="29">
        <f>SUM(B3:N3)</f>
        <v>1363.1961638193222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Suyargulova, Gulshat (Contractor)</dc:creator>
  <cp:keywords/>
  <dc:description/>
  <cp:lastModifiedBy/>
  <cp:revision/>
  <dcterms:created xsi:type="dcterms:W3CDTF">2024-09-17T11:43:46Z</dcterms:created>
  <dcterms:modified xsi:type="dcterms:W3CDTF">2026-08-10T09:14:02Z</dcterms:modified>
  <cp:category/>
  <cp:contentStatus/>
</cp:coreProperties>
</file>