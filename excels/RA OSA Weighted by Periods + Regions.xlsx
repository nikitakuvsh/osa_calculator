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s\osa_calculator\excels\"/>
    </mc:Choice>
  </mc:AlternateContent>
  <xr:revisionPtr revIDLastSave="0" documentId="13_ncr:1_{5D6DE71B-6A8A-4F48-98D2-50AB2CF748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port" sheetId="1" r:id="rId1"/>
    <sheet name="DM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0" i="2" l="1"/>
  <c r="AG40" i="2" s="1"/>
  <c r="R40" i="2"/>
  <c r="AF39" i="2"/>
  <c r="AG39" i="2" s="1"/>
  <c r="R39" i="2"/>
  <c r="AF38" i="2"/>
  <c r="AG38" i="2" s="1"/>
  <c r="R38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AF37" i="2" s="1"/>
  <c r="R37" i="2"/>
  <c r="AF36" i="2"/>
  <c r="AG36" i="2" s="1"/>
  <c r="R36" i="2"/>
  <c r="AF35" i="2"/>
  <c r="AG35" i="2" s="1"/>
  <c r="R35" i="2"/>
  <c r="AG34" i="2"/>
  <c r="AF34" i="2"/>
  <c r="R34" i="2"/>
  <c r="AG33" i="2"/>
  <c r="AF33" i="2"/>
  <c r="R33" i="2"/>
  <c r="AF32" i="2"/>
  <c r="R32" i="2"/>
  <c r="AG32" i="2" s="1"/>
  <c r="AF31" i="2"/>
  <c r="AG31" i="2" s="1"/>
  <c r="R31" i="2"/>
  <c r="AF30" i="2"/>
  <c r="AG30" i="2" s="1"/>
  <c r="R30" i="2"/>
  <c r="AF29" i="2"/>
  <c r="AG29" i="2" s="1"/>
  <c r="R29" i="2"/>
  <c r="AF28" i="2"/>
  <c r="AG28" i="2" s="1"/>
  <c r="R28" i="2"/>
  <c r="AF27" i="2"/>
  <c r="AG27" i="2" s="1"/>
  <c r="R27" i="2"/>
  <c r="AG26" i="2"/>
  <c r="AF26" i="2"/>
  <c r="R26" i="2"/>
  <c r="AG25" i="2"/>
  <c r="AF25" i="2"/>
  <c r="R25" i="2"/>
  <c r="AF24" i="2"/>
  <c r="R24" i="2"/>
  <c r="AG24" i="2" s="1"/>
  <c r="AF23" i="2"/>
  <c r="AG23" i="2" s="1"/>
  <c r="R23" i="2"/>
  <c r="AF22" i="2"/>
  <c r="AG22" i="2" s="1"/>
  <c r="R22" i="2"/>
  <c r="AF21" i="2"/>
  <c r="AG21" i="2" s="1"/>
  <c r="R21" i="2"/>
  <c r="AF20" i="2"/>
  <c r="AG20" i="2" s="1"/>
  <c r="R20" i="2"/>
  <c r="AF19" i="2"/>
  <c r="AG19" i="2" s="1"/>
  <c r="R19" i="2"/>
  <c r="AG18" i="2"/>
  <c r="AF18" i="2"/>
  <c r="R18" i="2"/>
  <c r="AG17" i="2"/>
  <c r="AF17" i="2"/>
  <c r="R17" i="2"/>
  <c r="AF16" i="2"/>
  <c r="AG16" i="2" s="1"/>
  <c r="R16" i="2"/>
  <c r="AF15" i="2"/>
  <c r="AG15" i="2" s="1"/>
  <c r="R15" i="2"/>
  <c r="AF14" i="2"/>
  <c r="AG14" i="2" s="1"/>
  <c r="R14" i="2"/>
  <c r="AF13" i="2"/>
  <c r="AG13" i="2" s="1"/>
  <c r="R13" i="2"/>
  <c r="AF12" i="2"/>
  <c r="AG12" i="2" s="1"/>
  <c r="R12" i="2"/>
  <c r="AF11" i="2"/>
  <c r="AG11" i="2" s="1"/>
  <c r="R11" i="2"/>
  <c r="AG10" i="2"/>
  <c r="AF10" i="2"/>
  <c r="R10" i="2"/>
  <c r="AG9" i="2"/>
  <c r="AF9" i="2"/>
  <c r="R9" i="2"/>
  <c r="AF8" i="2"/>
  <c r="AG8" i="2" s="1"/>
  <c r="R8" i="2"/>
  <c r="AF7" i="2"/>
  <c r="AG7" i="2" s="1"/>
  <c r="R7" i="2"/>
  <c r="AF6" i="2"/>
  <c r="AG6" i="2" s="1"/>
  <c r="R6" i="2"/>
  <c r="AF5" i="2"/>
  <c r="AG5" i="2" s="1"/>
  <c r="R5" i="2"/>
  <c r="AF4" i="2"/>
  <c r="AG4" i="2" s="1"/>
  <c r="R4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AG37" i="2" l="1"/>
  <c r="AF1" i="2"/>
</calcChain>
</file>

<file path=xl/sharedStrings.xml><?xml version="1.0" encoding="utf-8"?>
<sst xmlns="http://schemas.openxmlformats.org/spreadsheetml/2006/main" count="5534" uniqueCount="174">
  <si>
    <t>full_period_name</t>
  </si>
  <si>
    <t>OSA After</t>
  </si>
  <si>
    <t>retailer_name</t>
  </si>
  <si>
    <t>demand_region</t>
  </si>
  <si>
    <t>2026 P01</t>
  </si>
  <si>
    <t xml:space="preserve"> Лысов А.С.</t>
  </si>
  <si>
    <t>Center</t>
  </si>
  <si>
    <t>"""Осень"""</t>
  </si>
  <si>
    <t>North</t>
  </si>
  <si>
    <t>4 лапы</t>
  </si>
  <si>
    <t>Moscow</t>
  </si>
  <si>
    <t>89_Хороший ТД</t>
  </si>
  <si>
    <t>PetShop.ru</t>
  </si>
  <si>
    <t>Siberia</t>
  </si>
  <si>
    <t>South</t>
  </si>
  <si>
    <t>RegX5_LAR</t>
  </si>
  <si>
    <t>Far East</t>
  </si>
  <si>
    <t>RegX5_SS</t>
  </si>
  <si>
    <t>SMART - дискаунтер</t>
  </si>
  <si>
    <t>SPAR Волга</t>
  </si>
  <si>
    <t>SPAR Калининград</t>
  </si>
  <si>
    <t>Авокадо</t>
  </si>
  <si>
    <t>Авоська (ООО Авоська-Два)</t>
  </si>
  <si>
    <t>Аникс</t>
  </si>
  <si>
    <t>Арслан ООО (Августина)</t>
  </si>
  <si>
    <t>Арт-Маркет</t>
  </si>
  <si>
    <t>Арыш Мае</t>
  </si>
  <si>
    <t>Ассорти</t>
  </si>
  <si>
    <t>АТАК</t>
  </si>
  <si>
    <t>Ашан</t>
  </si>
  <si>
    <t>Байрам</t>
  </si>
  <si>
    <t>Бегемот система универсамов</t>
  </si>
  <si>
    <t>Белый Кролик</t>
  </si>
  <si>
    <t>Бетховен</t>
  </si>
  <si>
    <t>Близкий</t>
  </si>
  <si>
    <t>Брезгина К.А.</t>
  </si>
  <si>
    <t>Быстроном</t>
  </si>
  <si>
    <t>Вега (Киров)</t>
  </si>
  <si>
    <t>Везунчик</t>
  </si>
  <si>
    <t>Верный</t>
  </si>
  <si>
    <t>Впрок-Сервис</t>
  </si>
  <si>
    <t>Высшая лига</t>
  </si>
  <si>
    <t>Гиперглобус</t>
  </si>
  <si>
    <t>Глобус Киров</t>
  </si>
  <si>
    <t>Гулливер</t>
  </si>
  <si>
    <t>Десяточка North</t>
  </si>
  <si>
    <t>Детский Мир (Москва)</t>
  </si>
  <si>
    <t>Дикси</t>
  </si>
  <si>
    <t>Домашкино</t>
  </si>
  <si>
    <t>Дружок</t>
  </si>
  <si>
    <t>Европа</t>
  </si>
  <si>
    <t>Заботливые цены</t>
  </si>
  <si>
    <t>Заповедник</t>
  </si>
  <si>
    <t>Зооветсервис ООО</t>
  </si>
  <si>
    <t>ЗООДИСКОНТ</t>
  </si>
  <si>
    <t>ЗооОптТорг</t>
  </si>
  <si>
    <t>Зоосмак</t>
  </si>
  <si>
    <t>ЗооТерра</t>
  </si>
  <si>
    <t>ИП Гулян Д.Г.</t>
  </si>
  <si>
    <t>ИП Феоктистов М.В.</t>
  </si>
  <si>
    <t>ИП Щебетовский</t>
  </si>
  <si>
    <t>ИП Ястребков А.Н.</t>
  </si>
  <si>
    <t>Караван Волга</t>
  </si>
  <si>
    <t>Кировский</t>
  </si>
  <si>
    <t>Командор</t>
  </si>
  <si>
    <t>Кот и Пес</t>
  </si>
  <si>
    <t>Котопес</t>
  </si>
  <si>
    <t>Кэш&amp;Керри</t>
  </si>
  <si>
    <t>Лама</t>
  </si>
  <si>
    <t>Лента HM</t>
  </si>
  <si>
    <t>Лента SM</t>
  </si>
  <si>
    <t>Лидер-Крым</t>
  </si>
  <si>
    <t>Линия</t>
  </si>
  <si>
    <t>Лион</t>
  </si>
  <si>
    <t>Локальная сеть "Любимец"</t>
  </si>
  <si>
    <t>Лотос</t>
  </si>
  <si>
    <t>Любимчик 2.0</t>
  </si>
  <si>
    <t>Магазинчик-Крым</t>
  </si>
  <si>
    <t>Магнит ГМ</t>
  </si>
  <si>
    <t>Магнит Косметик</t>
  </si>
  <si>
    <t>Магнит ММ</t>
  </si>
  <si>
    <t>Магнит МЦ</t>
  </si>
  <si>
    <t>Магнолия</t>
  </si>
  <si>
    <t>Макси</t>
  </si>
  <si>
    <t>Малашинская</t>
  </si>
  <si>
    <t>Мария-Ра</t>
  </si>
  <si>
    <t>Метро</t>
  </si>
  <si>
    <t>Метрополис</t>
  </si>
  <si>
    <t>Миндаль</t>
  </si>
  <si>
    <t>Мир Корма</t>
  </si>
  <si>
    <t>Монетка Урал</t>
  </si>
  <si>
    <t>МТК ООО</t>
  </si>
  <si>
    <t>Народный</t>
  </si>
  <si>
    <t>Нем</t>
  </si>
  <si>
    <t>Неотрейд ООО</t>
  </si>
  <si>
    <t>Николаевский</t>
  </si>
  <si>
    <t>ОБЛПО ПО</t>
  </si>
  <si>
    <t>ОКЕЙ</t>
  </si>
  <si>
    <t>ООО ТВК-Р</t>
  </si>
  <si>
    <t>ООО Формат</t>
  </si>
  <si>
    <t>Панин</t>
  </si>
  <si>
    <t>Перекресток</t>
  </si>
  <si>
    <t>Пловдив</t>
  </si>
  <si>
    <t>Победа (Гулливер)</t>
  </si>
  <si>
    <t>ПУД</t>
  </si>
  <si>
    <t>Пятерочка</t>
  </si>
  <si>
    <t>Раз Два</t>
  </si>
  <si>
    <t>Реми</t>
  </si>
  <si>
    <t>Самбери</t>
  </si>
  <si>
    <t>Семь шагов</t>
  </si>
  <si>
    <t>Семь+Я ООО</t>
  </si>
  <si>
    <t>Сибагро</t>
  </si>
  <si>
    <t>Сима Ленд</t>
  </si>
  <si>
    <t>Спутник-Николаевский</t>
  </si>
  <si>
    <t>Таубер</t>
  </si>
  <si>
    <t>ТД "Милый дом"</t>
  </si>
  <si>
    <t>Титан</t>
  </si>
  <si>
    <t>Холлифуд</t>
  </si>
  <si>
    <t>Хороший (Командор)</t>
  </si>
  <si>
    <t>Хороший ВЛ</t>
  </si>
  <si>
    <t>Челухин</t>
  </si>
  <si>
    <t>Шамса-Маркет</t>
  </si>
  <si>
    <t>ЭКОНОМИЯ</t>
  </si>
  <si>
    <t>Экономыч</t>
  </si>
  <si>
    <t>Яблоко</t>
  </si>
  <si>
    <t>Яблоко (Крым)</t>
  </si>
  <si>
    <t>Ярче</t>
  </si>
  <si>
    <t>2026 P02</t>
  </si>
  <si>
    <t>2026 P03</t>
  </si>
  <si>
    <t>2026 P04</t>
  </si>
  <si>
    <t>Маяк</t>
  </si>
  <si>
    <t>2026 P05</t>
  </si>
  <si>
    <t>Баско</t>
  </si>
  <si>
    <t>2026 P06</t>
  </si>
  <si>
    <t>Абсолют</t>
  </si>
  <si>
    <t>2026 P07</t>
  </si>
  <si>
    <t>Народный (Санкт-Петербург)</t>
  </si>
  <si>
    <t>ООО Оптима-Волга</t>
  </si>
  <si>
    <t>2026 P08</t>
  </si>
  <si>
    <t>2026 P09</t>
  </si>
  <si>
    <t>Total</t>
  </si>
  <si>
    <t>Applied filters:
OSA-D_OSA is OSA
distributor_region is RF
mars_year is 2026
na_rka_segment is not BTC, Other SPT, Other SS, Опт, or Other E-com</t>
  </si>
  <si>
    <t>2025 DMR9 version</t>
  </si>
  <si>
    <t>2026 DMR9 version (preliminary)</t>
  </si>
  <si>
    <t>NA/reg</t>
  </si>
  <si>
    <t>Client</t>
  </si>
  <si>
    <t>Region</t>
  </si>
  <si>
    <t>Comments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</si>
  <si>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</si>
  <si>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</si>
  <si>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</si>
  <si>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</si>
  <si>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</si>
  <si>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</si>
  <si>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</si>
  <si>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</si>
  <si>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</si>
  <si>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</si>
  <si>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</si>
  <si>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</si>
  <si>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</si>
  <si>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FY</t>
  </si>
  <si>
    <t>Reg</t>
  </si>
  <si>
    <t>top-50</t>
  </si>
  <si>
    <t>Исключение Гулливер (группа с Победой).</t>
  </si>
  <si>
    <t>Bethoven</t>
  </si>
  <si>
    <t>Konta (Четыре лапы)</t>
  </si>
  <si>
    <t>Семишагофф</t>
  </si>
  <si>
    <t>RFE</t>
  </si>
  <si>
    <t>Исключение. Близкий, Раз-Два (группа Самбери),</t>
  </si>
  <si>
    <t>Яндекс Лавка</t>
  </si>
  <si>
    <t>Evrotorg</t>
  </si>
  <si>
    <t>Belarus</t>
  </si>
  <si>
    <t>Dobronom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</si>
</sst>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;\-0.0%;0.0%"/>
    <numFmt numFmtId="165" formatCode="_-* #,##0_-;\-* #,##0_-;_-* &quot;-&quot;??_-;_-@_-"/>
  </numFmts>
  <fonts count="6" x14ac:knownFonts="1">
    <font>
      <sz val="11"/>
      <name val="Aptos Narrow"/>
    </font>
    <font>
      <b/>
      <sz val="11"/>
      <name val="Aptos Narrow"/>
    </font>
    <font>
      <sz val="11"/>
      <name val="Aptos Narrow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Mars Centra"/>
    </font>
    <font>
      <sz val="11"/>
      <color theme="1"/>
      <name val="Mars Centra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4" fontId="1" fillId="0" borderId="0" xfId="0" applyNumberFormat="1" applyFont="1"/>
    <xf numFmtId="165" fontId="0" fillId="0" borderId="2" xfId="1" applyNumberFormat="1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5" fontId="0" fillId="2" borderId="2" xfId="1" applyNumberFormat="1" applyFont="1" applyFill="1" applyBorder="1"/>
    <xf numFmtId="165" fontId="0" fillId="4" borderId="2" xfId="1" applyNumberFormat="1" applyFont="1" applyFill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1"/>
  <sheetViews>
    <sheetView workbookViewId="0"/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3">
        <v>0.99973295496775316</v>
      </c>
      <c r="C2" t="s">
        <v>5</v>
      </c>
      <c r="D2" t="s">
        <v>6</v>
      </c>
    </row>
    <row r="3" spans="1:4" x14ac:dyDescent="0.3">
      <c r="A3" t="s">
        <v>4</v>
      </c>
      <c r="B3" s="3">
        <v>0.42952361162593139</v>
      </c>
      <c r="C3" t="s">
        <v>7</v>
      </c>
      <c r="D3" t="s">
        <v>8</v>
      </c>
    </row>
    <row r="4" spans="1:4" x14ac:dyDescent="0.3">
      <c r="A4" t="s">
        <v>4</v>
      </c>
      <c r="B4" s="3">
        <v>0.92475902419674716</v>
      </c>
      <c r="C4" t="s">
        <v>9</v>
      </c>
      <c r="D4" t="s">
        <v>6</v>
      </c>
    </row>
    <row r="5" spans="1:4" x14ac:dyDescent="0.3">
      <c r="A5" t="s">
        <v>4</v>
      </c>
      <c r="B5" s="3">
        <v>0.93740633119559436</v>
      </c>
      <c r="C5" t="s">
        <v>9</v>
      </c>
      <c r="D5" t="s">
        <v>10</v>
      </c>
    </row>
    <row r="6" spans="1:4" x14ac:dyDescent="0.3">
      <c r="A6" t="s">
        <v>4</v>
      </c>
      <c r="B6" s="3">
        <v>0.91172422071589032</v>
      </c>
      <c r="C6" t="s">
        <v>9</v>
      </c>
      <c r="D6" t="s">
        <v>8</v>
      </c>
    </row>
    <row r="7" spans="1:4" x14ac:dyDescent="0.3">
      <c r="A7" t="s">
        <v>4</v>
      </c>
      <c r="B7" s="3">
        <v>0.71416238134083065</v>
      </c>
      <c r="C7" t="s">
        <v>11</v>
      </c>
      <c r="D7" t="s">
        <v>8</v>
      </c>
    </row>
    <row r="8" spans="1:4" x14ac:dyDescent="0.3">
      <c r="A8" t="s">
        <v>4</v>
      </c>
      <c r="B8" s="3">
        <v>0.61008625435859787</v>
      </c>
      <c r="C8" t="s">
        <v>12</v>
      </c>
      <c r="D8" t="s">
        <v>6</v>
      </c>
    </row>
    <row r="9" spans="1:4" x14ac:dyDescent="0.3">
      <c r="A9" t="s">
        <v>4</v>
      </c>
      <c r="B9" s="3">
        <v>0.67454514296226242</v>
      </c>
      <c r="C9" t="s">
        <v>12</v>
      </c>
      <c r="D9" t="s">
        <v>10</v>
      </c>
    </row>
    <row r="10" spans="1:4" x14ac:dyDescent="0.3">
      <c r="A10" t="s">
        <v>4</v>
      </c>
      <c r="B10" s="3">
        <v>0.63938220355498609</v>
      </c>
      <c r="C10" t="s">
        <v>12</v>
      </c>
      <c r="D10" t="s">
        <v>8</v>
      </c>
    </row>
    <row r="11" spans="1:4" x14ac:dyDescent="0.3">
      <c r="A11" t="s">
        <v>4</v>
      </c>
      <c r="B11" s="3">
        <v>0.6798954584011111</v>
      </c>
      <c r="C11" t="s">
        <v>12</v>
      </c>
      <c r="D11" t="s">
        <v>13</v>
      </c>
    </row>
    <row r="12" spans="1:4" x14ac:dyDescent="0.3">
      <c r="A12" t="s">
        <v>4</v>
      </c>
      <c r="B12" s="3">
        <v>0.52664892757495507</v>
      </c>
      <c r="C12" t="s">
        <v>12</v>
      </c>
      <c r="D12" t="s">
        <v>14</v>
      </c>
    </row>
    <row r="13" spans="1:4" x14ac:dyDescent="0.3">
      <c r="A13" t="s">
        <v>4</v>
      </c>
      <c r="B13" s="3">
        <v>0.91312994408703807</v>
      </c>
      <c r="C13" t="s">
        <v>15</v>
      </c>
    </row>
    <row r="14" spans="1:4" x14ac:dyDescent="0.3">
      <c r="A14" t="s">
        <v>4</v>
      </c>
      <c r="B14" s="3">
        <v>0.93162803864688071</v>
      </c>
      <c r="C14" t="s">
        <v>15</v>
      </c>
      <c r="D14" t="s">
        <v>16</v>
      </c>
    </row>
    <row r="15" spans="1:4" x14ac:dyDescent="0.3">
      <c r="A15" t="s">
        <v>4</v>
      </c>
      <c r="B15" s="3">
        <v>0.69306711680056787</v>
      </c>
      <c r="C15" t="s">
        <v>15</v>
      </c>
      <c r="D15" t="s">
        <v>13</v>
      </c>
    </row>
    <row r="16" spans="1:4" x14ac:dyDescent="0.3">
      <c r="A16" t="s">
        <v>4</v>
      </c>
      <c r="B16" s="3">
        <v>0.93219383958366653</v>
      </c>
      <c r="C16" t="s">
        <v>17</v>
      </c>
      <c r="D16" t="s">
        <v>16</v>
      </c>
    </row>
    <row r="17" spans="1:4" x14ac:dyDescent="0.3">
      <c r="A17" t="s">
        <v>4</v>
      </c>
      <c r="B17" s="3">
        <v>0.95207377434217544</v>
      </c>
      <c r="C17" t="s">
        <v>17</v>
      </c>
      <c r="D17" t="s">
        <v>8</v>
      </c>
    </row>
    <row r="18" spans="1:4" x14ac:dyDescent="0.3">
      <c r="A18" t="s">
        <v>4</v>
      </c>
      <c r="B18" s="3">
        <v>0.84582201234555621</v>
      </c>
      <c r="C18" t="s">
        <v>17</v>
      </c>
      <c r="D18" t="s">
        <v>13</v>
      </c>
    </row>
    <row r="19" spans="1:4" x14ac:dyDescent="0.3">
      <c r="A19" t="s">
        <v>4</v>
      </c>
      <c r="B19" s="3">
        <v>0.93154630238472746</v>
      </c>
      <c r="C19" t="s">
        <v>18</v>
      </c>
      <c r="D19" t="s">
        <v>10</v>
      </c>
    </row>
    <row r="20" spans="1:4" x14ac:dyDescent="0.3">
      <c r="A20" t="s">
        <v>4</v>
      </c>
      <c r="B20" s="3">
        <v>0.87419048216343231</v>
      </c>
      <c r="C20" t="s">
        <v>19</v>
      </c>
      <c r="D20" t="s">
        <v>10</v>
      </c>
    </row>
    <row r="21" spans="1:4" x14ac:dyDescent="0.3">
      <c r="A21" t="s">
        <v>4</v>
      </c>
      <c r="B21" s="3">
        <v>0.87695301956942984</v>
      </c>
      <c r="C21" t="s">
        <v>20</v>
      </c>
      <c r="D21" t="s">
        <v>8</v>
      </c>
    </row>
    <row r="22" spans="1:4" x14ac:dyDescent="0.3">
      <c r="A22" t="s">
        <v>4</v>
      </c>
      <c r="B22" s="3">
        <v>0.50356977194584851</v>
      </c>
      <c r="C22" t="s">
        <v>21</v>
      </c>
      <c r="D22" t="s">
        <v>6</v>
      </c>
    </row>
    <row r="23" spans="1:4" x14ac:dyDescent="0.3">
      <c r="A23" t="s">
        <v>4</v>
      </c>
      <c r="B23" s="3">
        <v>0.54336364888670896</v>
      </c>
      <c r="C23" t="s">
        <v>21</v>
      </c>
      <c r="D23" t="s">
        <v>10</v>
      </c>
    </row>
    <row r="24" spans="1:4" x14ac:dyDescent="0.3">
      <c r="A24" t="s">
        <v>4</v>
      </c>
      <c r="B24" s="3">
        <v>0.89591175385456656</v>
      </c>
      <c r="C24" t="s">
        <v>22</v>
      </c>
      <c r="D24" t="s">
        <v>10</v>
      </c>
    </row>
    <row r="25" spans="1:4" x14ac:dyDescent="0.3">
      <c r="A25" t="s">
        <v>4</v>
      </c>
      <c r="B25" s="3">
        <v>0.4588755690920821</v>
      </c>
      <c r="C25" t="s">
        <v>23</v>
      </c>
      <c r="D25" t="s">
        <v>13</v>
      </c>
    </row>
    <row r="26" spans="1:4" x14ac:dyDescent="0.3">
      <c r="A26" t="s">
        <v>4</v>
      </c>
      <c r="B26" s="3">
        <v>0.56606081385724394</v>
      </c>
      <c r="C26" t="s">
        <v>24</v>
      </c>
      <c r="D26" t="s">
        <v>6</v>
      </c>
    </row>
    <row r="27" spans="1:4" x14ac:dyDescent="0.3">
      <c r="A27" t="s">
        <v>4</v>
      </c>
      <c r="B27" s="3">
        <v>0.61997129297509979</v>
      </c>
      <c r="C27" t="s">
        <v>25</v>
      </c>
    </row>
    <row r="28" spans="1:4" x14ac:dyDescent="0.3">
      <c r="A28" t="s">
        <v>4</v>
      </c>
      <c r="B28" s="3">
        <v>0.72128718196764585</v>
      </c>
      <c r="C28" t="s">
        <v>25</v>
      </c>
      <c r="D28" t="s">
        <v>16</v>
      </c>
    </row>
    <row r="29" spans="1:4" x14ac:dyDescent="0.3">
      <c r="A29" t="s">
        <v>4</v>
      </c>
      <c r="B29" s="3">
        <v>0.43670105493538541</v>
      </c>
      <c r="C29" t="s">
        <v>26</v>
      </c>
      <c r="D29" t="s">
        <v>6</v>
      </c>
    </row>
    <row r="30" spans="1:4" x14ac:dyDescent="0.3">
      <c r="A30" t="s">
        <v>4</v>
      </c>
      <c r="B30" s="3">
        <v>0.83571055205099887</v>
      </c>
      <c r="C30" t="s">
        <v>27</v>
      </c>
      <c r="D30" t="s">
        <v>14</v>
      </c>
    </row>
    <row r="31" spans="1:4" x14ac:dyDescent="0.3">
      <c r="A31" t="s">
        <v>4</v>
      </c>
      <c r="B31" s="3">
        <v>0.74429224699579766</v>
      </c>
      <c r="C31" t="s">
        <v>28</v>
      </c>
      <c r="D31" t="s">
        <v>8</v>
      </c>
    </row>
    <row r="32" spans="1:4" x14ac:dyDescent="0.3">
      <c r="A32" t="s">
        <v>4</v>
      </c>
      <c r="B32" s="3">
        <v>0.74512972738389094</v>
      </c>
      <c r="C32" t="s">
        <v>28</v>
      </c>
      <c r="D32" t="s">
        <v>14</v>
      </c>
    </row>
    <row r="33" spans="1:4" x14ac:dyDescent="0.3">
      <c r="A33" t="s">
        <v>4</v>
      </c>
      <c r="B33" s="3">
        <v>0.81330902570931263</v>
      </c>
      <c r="C33" t="s">
        <v>29</v>
      </c>
      <c r="D33" t="s">
        <v>6</v>
      </c>
    </row>
    <row r="34" spans="1:4" x14ac:dyDescent="0.3">
      <c r="A34" t="s">
        <v>4</v>
      </c>
      <c r="B34" s="3">
        <v>0.81782425595015451</v>
      </c>
      <c r="C34" t="s">
        <v>29</v>
      </c>
      <c r="D34" t="s">
        <v>10</v>
      </c>
    </row>
    <row r="35" spans="1:4" x14ac:dyDescent="0.3">
      <c r="A35" t="s">
        <v>4</v>
      </c>
      <c r="B35" s="3">
        <v>0.78624018146879693</v>
      </c>
      <c r="C35" t="s">
        <v>29</v>
      </c>
      <c r="D35" t="s">
        <v>8</v>
      </c>
    </row>
    <row r="36" spans="1:4" x14ac:dyDescent="0.3">
      <c r="A36" t="s">
        <v>4</v>
      </c>
      <c r="B36" s="3">
        <v>0.88634887578085653</v>
      </c>
      <c r="C36" t="s">
        <v>29</v>
      </c>
      <c r="D36" t="s">
        <v>13</v>
      </c>
    </row>
    <row r="37" spans="1:4" x14ac:dyDescent="0.3">
      <c r="A37" t="s">
        <v>4</v>
      </c>
      <c r="B37" s="3">
        <v>0.84316982343413815</v>
      </c>
      <c r="C37" t="s">
        <v>29</v>
      </c>
      <c r="D37" t="s">
        <v>14</v>
      </c>
    </row>
    <row r="38" spans="1:4" x14ac:dyDescent="0.3">
      <c r="A38" t="s">
        <v>4</v>
      </c>
      <c r="B38" s="3">
        <v>0.72956116429429685</v>
      </c>
      <c r="C38" t="s">
        <v>30</v>
      </c>
      <c r="D38" t="s">
        <v>6</v>
      </c>
    </row>
    <row r="39" spans="1:4" x14ac:dyDescent="0.3">
      <c r="A39" t="s">
        <v>4</v>
      </c>
      <c r="B39" s="3">
        <v>0.42635103036601529</v>
      </c>
      <c r="C39" t="s">
        <v>31</v>
      </c>
      <c r="D39" t="s">
        <v>13</v>
      </c>
    </row>
    <row r="40" spans="1:4" x14ac:dyDescent="0.3">
      <c r="A40" t="s">
        <v>4</v>
      </c>
      <c r="B40" s="3">
        <v>0.90752901536844488</v>
      </c>
      <c r="C40" t="s">
        <v>32</v>
      </c>
    </row>
    <row r="41" spans="1:4" x14ac:dyDescent="0.3">
      <c r="A41" t="s">
        <v>4</v>
      </c>
      <c r="B41" s="3">
        <v>0.4035481510223527</v>
      </c>
      <c r="C41" t="s">
        <v>32</v>
      </c>
      <c r="D41" t="s">
        <v>6</v>
      </c>
    </row>
    <row r="42" spans="1:4" x14ac:dyDescent="0.3">
      <c r="A42" t="s">
        <v>4</v>
      </c>
      <c r="B42" s="3">
        <v>0.87148998844380676</v>
      </c>
      <c r="C42" t="s">
        <v>32</v>
      </c>
      <c r="D42" t="s">
        <v>16</v>
      </c>
    </row>
    <row r="43" spans="1:4" x14ac:dyDescent="0.3">
      <c r="A43" t="s">
        <v>4</v>
      </c>
      <c r="B43" s="3">
        <v>0.91341372798952014</v>
      </c>
      <c r="C43" t="s">
        <v>32</v>
      </c>
      <c r="D43" t="s">
        <v>13</v>
      </c>
    </row>
    <row r="44" spans="1:4" x14ac:dyDescent="0.3">
      <c r="A44" t="s">
        <v>4</v>
      </c>
      <c r="B44" s="3">
        <v>0.63300337595914036</v>
      </c>
      <c r="C44" t="s">
        <v>33</v>
      </c>
      <c r="D44" t="s">
        <v>10</v>
      </c>
    </row>
    <row r="45" spans="1:4" x14ac:dyDescent="0.3">
      <c r="A45" t="s">
        <v>4</v>
      </c>
      <c r="B45" s="3">
        <v>0.94962563286957069</v>
      </c>
      <c r="C45" t="s">
        <v>34</v>
      </c>
    </row>
    <row r="46" spans="1:4" x14ac:dyDescent="0.3">
      <c r="A46" t="s">
        <v>4</v>
      </c>
      <c r="B46" s="3">
        <v>0.90505987443536984</v>
      </c>
      <c r="C46" t="s">
        <v>34</v>
      </c>
      <c r="D46" t="s">
        <v>16</v>
      </c>
    </row>
    <row r="47" spans="1:4" x14ac:dyDescent="0.3">
      <c r="A47" t="s">
        <v>4</v>
      </c>
      <c r="B47" s="3">
        <v>0.83360215329501275</v>
      </c>
      <c r="C47" t="s">
        <v>35</v>
      </c>
      <c r="D47" t="s">
        <v>16</v>
      </c>
    </row>
    <row r="48" spans="1:4" x14ac:dyDescent="0.3">
      <c r="A48" t="s">
        <v>4</v>
      </c>
      <c r="B48" s="3">
        <v>0.77632255704669306</v>
      </c>
      <c r="C48" t="s">
        <v>36</v>
      </c>
      <c r="D48" t="s">
        <v>13</v>
      </c>
    </row>
    <row r="49" spans="1:4" x14ac:dyDescent="0.3">
      <c r="A49" t="s">
        <v>4</v>
      </c>
      <c r="B49" s="3">
        <v>0.8216237069886293</v>
      </c>
      <c r="C49" t="s">
        <v>37</v>
      </c>
      <c r="D49" t="s">
        <v>10</v>
      </c>
    </row>
    <row r="50" spans="1:4" x14ac:dyDescent="0.3">
      <c r="A50" t="s">
        <v>4</v>
      </c>
      <c r="B50" s="3">
        <v>0.57878613802563428</v>
      </c>
      <c r="C50" t="s">
        <v>38</v>
      </c>
    </row>
    <row r="51" spans="1:4" x14ac:dyDescent="0.3">
      <c r="A51" t="s">
        <v>4</v>
      </c>
      <c r="B51" s="3">
        <v>0.74459995628109643</v>
      </c>
      <c r="C51" t="s">
        <v>38</v>
      </c>
      <c r="D51" t="s">
        <v>14</v>
      </c>
    </row>
    <row r="52" spans="1:4" x14ac:dyDescent="0.3">
      <c r="A52" t="s">
        <v>4</v>
      </c>
      <c r="B52" s="3">
        <v>0.92925140900577818</v>
      </c>
      <c r="C52" t="s">
        <v>39</v>
      </c>
      <c r="D52" t="s">
        <v>6</v>
      </c>
    </row>
    <row r="53" spans="1:4" x14ac:dyDescent="0.3">
      <c r="A53" t="s">
        <v>4</v>
      </c>
      <c r="B53" s="3">
        <v>0.93274585012133793</v>
      </c>
      <c r="C53" t="s">
        <v>39</v>
      </c>
      <c r="D53" t="s">
        <v>10</v>
      </c>
    </row>
    <row r="54" spans="1:4" x14ac:dyDescent="0.3">
      <c r="A54" t="s">
        <v>4</v>
      </c>
      <c r="B54" s="3">
        <v>0.93235715029606403</v>
      </c>
      <c r="C54" t="s">
        <v>39</v>
      </c>
      <c r="D54" t="s">
        <v>8</v>
      </c>
    </row>
    <row r="55" spans="1:4" x14ac:dyDescent="0.3">
      <c r="A55" t="s">
        <v>4</v>
      </c>
      <c r="B55" s="3">
        <v>0.67570732140278034</v>
      </c>
      <c r="C55" t="s">
        <v>40</v>
      </c>
      <c r="D55" t="s">
        <v>6</v>
      </c>
    </row>
    <row r="56" spans="1:4" x14ac:dyDescent="0.3">
      <c r="A56" t="s">
        <v>4</v>
      </c>
      <c r="B56" s="3">
        <v>0.56391828535855415</v>
      </c>
      <c r="C56" t="s">
        <v>41</v>
      </c>
    </row>
    <row r="57" spans="1:4" x14ac:dyDescent="0.3">
      <c r="A57" t="s">
        <v>4</v>
      </c>
      <c r="B57" s="3">
        <v>0.43665293769251101</v>
      </c>
      <c r="C57" t="s">
        <v>41</v>
      </c>
      <c r="D57" t="s">
        <v>8</v>
      </c>
    </row>
    <row r="58" spans="1:4" x14ac:dyDescent="0.3">
      <c r="A58" t="s">
        <v>4</v>
      </c>
      <c r="B58" s="3">
        <v>0.90012876336458636</v>
      </c>
      <c r="C58" t="s">
        <v>42</v>
      </c>
      <c r="D58" t="s">
        <v>10</v>
      </c>
    </row>
    <row r="59" spans="1:4" x14ac:dyDescent="0.3">
      <c r="A59" t="s">
        <v>4</v>
      </c>
      <c r="B59" s="3">
        <v>0.90101331317349387</v>
      </c>
      <c r="C59" t="s">
        <v>42</v>
      </c>
      <c r="D59" t="s">
        <v>8</v>
      </c>
    </row>
    <row r="60" spans="1:4" x14ac:dyDescent="0.3">
      <c r="A60" t="s">
        <v>4</v>
      </c>
      <c r="B60" s="3">
        <v>0.76285874207104254</v>
      </c>
      <c r="C60" t="s">
        <v>43</v>
      </c>
      <c r="D60" t="s">
        <v>10</v>
      </c>
    </row>
    <row r="61" spans="1:4" x14ac:dyDescent="0.3">
      <c r="A61" t="s">
        <v>4</v>
      </c>
      <c r="B61" s="3">
        <v>0.95990285705881595</v>
      </c>
      <c r="C61" t="s">
        <v>44</v>
      </c>
      <c r="D61" t="s">
        <v>6</v>
      </c>
    </row>
    <row r="62" spans="1:4" x14ac:dyDescent="0.3">
      <c r="A62" t="s">
        <v>4</v>
      </c>
      <c r="B62" s="3">
        <v>0.97384890177555528</v>
      </c>
      <c r="C62" t="s">
        <v>44</v>
      </c>
      <c r="D62" t="s">
        <v>14</v>
      </c>
    </row>
    <row r="63" spans="1:4" x14ac:dyDescent="0.3">
      <c r="A63" t="s">
        <v>4</v>
      </c>
      <c r="B63" s="3">
        <v>0.38959853210756368</v>
      </c>
      <c r="C63" t="s">
        <v>45</v>
      </c>
      <c r="D63" t="s">
        <v>8</v>
      </c>
    </row>
    <row r="64" spans="1:4" x14ac:dyDescent="0.3">
      <c r="A64" t="s">
        <v>4</v>
      </c>
      <c r="B64" s="3">
        <v>0.33893048413014037</v>
      </c>
      <c r="C64" t="s">
        <v>46</v>
      </c>
      <c r="D64" t="s">
        <v>10</v>
      </c>
    </row>
    <row r="65" spans="1:4" x14ac:dyDescent="0.3">
      <c r="A65" t="s">
        <v>4</v>
      </c>
      <c r="B65" s="3">
        <v>0.87511088276059579</v>
      </c>
      <c r="C65" t="s">
        <v>47</v>
      </c>
      <c r="D65" t="s">
        <v>10</v>
      </c>
    </row>
    <row r="66" spans="1:4" x14ac:dyDescent="0.3">
      <c r="A66" t="s">
        <v>4</v>
      </c>
      <c r="B66" s="3">
        <v>0.8920682589130382</v>
      </c>
      <c r="C66" t="s">
        <v>47</v>
      </c>
      <c r="D66" t="s">
        <v>8</v>
      </c>
    </row>
    <row r="67" spans="1:4" x14ac:dyDescent="0.3">
      <c r="A67" t="s">
        <v>4</v>
      </c>
      <c r="B67" s="3">
        <v>0.90625344597357915</v>
      </c>
      <c r="C67" t="s">
        <v>47</v>
      </c>
      <c r="D67" t="s">
        <v>14</v>
      </c>
    </row>
    <row r="68" spans="1:4" x14ac:dyDescent="0.3">
      <c r="A68" t="s">
        <v>4</v>
      </c>
      <c r="B68" s="3">
        <v>0.71424805556122228</v>
      </c>
      <c r="C68" t="s">
        <v>48</v>
      </c>
      <c r="D68" t="s">
        <v>6</v>
      </c>
    </row>
    <row r="69" spans="1:4" x14ac:dyDescent="0.3">
      <c r="A69" t="s">
        <v>4</v>
      </c>
      <c r="B69" s="3">
        <v>0.85560049395062487</v>
      </c>
      <c r="C69" t="s">
        <v>48</v>
      </c>
      <c r="D69" t="s">
        <v>10</v>
      </c>
    </row>
    <row r="70" spans="1:4" x14ac:dyDescent="0.3">
      <c r="A70" t="s">
        <v>4</v>
      </c>
      <c r="B70" s="3">
        <v>0.72565081520583108</v>
      </c>
      <c r="C70" t="s">
        <v>48</v>
      </c>
      <c r="D70" t="s">
        <v>14</v>
      </c>
    </row>
    <row r="71" spans="1:4" x14ac:dyDescent="0.3">
      <c r="A71" t="s">
        <v>4</v>
      </c>
      <c r="B71" s="3">
        <v>0.69485732365555719</v>
      </c>
      <c r="C71" t="s">
        <v>49</v>
      </c>
    </row>
    <row r="72" spans="1:4" x14ac:dyDescent="0.3">
      <c r="A72" t="s">
        <v>4</v>
      </c>
      <c r="B72" s="3">
        <v>0.82900306211841579</v>
      </c>
      <c r="C72" t="s">
        <v>49</v>
      </c>
      <c r="D72" t="s">
        <v>16</v>
      </c>
    </row>
    <row r="73" spans="1:4" x14ac:dyDescent="0.3">
      <c r="A73" t="s">
        <v>4</v>
      </c>
      <c r="B73" s="3">
        <v>0.90829456729199964</v>
      </c>
      <c r="C73" t="s">
        <v>50</v>
      </c>
      <c r="D73" t="s">
        <v>10</v>
      </c>
    </row>
    <row r="74" spans="1:4" x14ac:dyDescent="0.3">
      <c r="A74" t="s">
        <v>4</v>
      </c>
      <c r="B74" s="3">
        <v>0.83630323329798317</v>
      </c>
      <c r="C74" t="s">
        <v>50</v>
      </c>
      <c r="D74" t="s">
        <v>14</v>
      </c>
    </row>
    <row r="75" spans="1:4" x14ac:dyDescent="0.3">
      <c r="A75" t="s">
        <v>4</v>
      </c>
      <c r="B75" s="3">
        <v>0.90269750377663116</v>
      </c>
      <c r="C75" t="s">
        <v>51</v>
      </c>
      <c r="D75" t="s">
        <v>8</v>
      </c>
    </row>
    <row r="76" spans="1:4" x14ac:dyDescent="0.3">
      <c r="A76" t="s">
        <v>4</v>
      </c>
      <c r="B76" s="3">
        <v>0.58254411351411639</v>
      </c>
      <c r="C76" t="s">
        <v>52</v>
      </c>
      <c r="D76" t="s">
        <v>6</v>
      </c>
    </row>
    <row r="77" spans="1:4" x14ac:dyDescent="0.3">
      <c r="A77" t="s">
        <v>4</v>
      </c>
      <c r="B77" s="3">
        <v>0.75469639694197543</v>
      </c>
      <c r="C77" t="s">
        <v>52</v>
      </c>
      <c r="D77" t="s">
        <v>13</v>
      </c>
    </row>
    <row r="78" spans="1:4" x14ac:dyDescent="0.3">
      <c r="A78" t="s">
        <v>4</v>
      </c>
      <c r="B78" s="3">
        <v>0.92082763811053414</v>
      </c>
      <c r="C78" t="s">
        <v>53</v>
      </c>
      <c r="D78" t="s">
        <v>8</v>
      </c>
    </row>
    <row r="79" spans="1:4" x14ac:dyDescent="0.3">
      <c r="A79" t="s">
        <v>4</v>
      </c>
      <c r="B79" s="3">
        <v>0.77393456323316812</v>
      </c>
      <c r="C79" t="s">
        <v>54</v>
      </c>
    </row>
    <row r="80" spans="1:4" x14ac:dyDescent="0.3">
      <c r="A80" t="s">
        <v>4</v>
      </c>
      <c r="B80" s="3">
        <v>0.75366844440699121</v>
      </c>
      <c r="C80" t="s">
        <v>54</v>
      </c>
      <c r="D80" t="s">
        <v>16</v>
      </c>
    </row>
    <row r="81" spans="1:4" x14ac:dyDescent="0.3">
      <c r="A81" t="s">
        <v>4</v>
      </c>
      <c r="B81" s="3">
        <v>0.75116191518858044</v>
      </c>
      <c r="C81" t="s">
        <v>54</v>
      </c>
      <c r="D81" t="s">
        <v>10</v>
      </c>
    </row>
    <row r="82" spans="1:4" x14ac:dyDescent="0.3">
      <c r="A82" t="s">
        <v>4</v>
      </c>
      <c r="B82" s="3">
        <v>0.79672275799665182</v>
      </c>
      <c r="C82" t="s">
        <v>54</v>
      </c>
      <c r="D82" t="s">
        <v>13</v>
      </c>
    </row>
    <row r="83" spans="1:4" x14ac:dyDescent="0.3">
      <c r="A83" t="s">
        <v>4</v>
      </c>
      <c r="B83" s="3">
        <v>0.3943596547613159</v>
      </c>
      <c r="C83" t="s">
        <v>54</v>
      </c>
      <c r="D83" t="s">
        <v>14</v>
      </c>
    </row>
    <row r="84" spans="1:4" x14ac:dyDescent="0.3">
      <c r="A84" t="s">
        <v>4</v>
      </c>
      <c r="B84" s="3">
        <v>0.64216098572365066</v>
      </c>
      <c r="C84" t="s">
        <v>55</v>
      </c>
      <c r="D84" t="s">
        <v>6</v>
      </c>
    </row>
    <row r="85" spans="1:4" x14ac:dyDescent="0.3">
      <c r="A85" t="s">
        <v>4</v>
      </c>
      <c r="B85" s="3">
        <v>0.84725455558176743</v>
      </c>
      <c r="C85" t="s">
        <v>55</v>
      </c>
      <c r="D85" t="s">
        <v>10</v>
      </c>
    </row>
    <row r="86" spans="1:4" x14ac:dyDescent="0.3">
      <c r="A86" t="s">
        <v>4</v>
      </c>
      <c r="B86" s="3">
        <v>0.79969226378567193</v>
      </c>
      <c r="C86" t="s">
        <v>55</v>
      </c>
      <c r="D86" t="s">
        <v>8</v>
      </c>
    </row>
    <row r="87" spans="1:4" x14ac:dyDescent="0.3">
      <c r="A87" t="s">
        <v>4</v>
      </c>
      <c r="B87" s="3">
        <v>0.69154842055138577</v>
      </c>
      <c r="C87" t="s">
        <v>55</v>
      </c>
      <c r="D87" t="s">
        <v>13</v>
      </c>
    </row>
    <row r="88" spans="1:4" x14ac:dyDescent="0.3">
      <c r="A88" t="s">
        <v>4</v>
      </c>
      <c r="B88" s="3">
        <v>0.77152785556205106</v>
      </c>
      <c r="C88" t="s">
        <v>55</v>
      </c>
      <c r="D88" t="s">
        <v>14</v>
      </c>
    </row>
    <row r="89" spans="1:4" x14ac:dyDescent="0.3">
      <c r="A89" t="s">
        <v>4</v>
      </c>
      <c r="B89" s="3">
        <v>0.95741172046811784</v>
      </c>
      <c r="C89" t="s">
        <v>56</v>
      </c>
      <c r="D89" t="s">
        <v>8</v>
      </c>
    </row>
    <row r="90" spans="1:4" x14ac:dyDescent="0.3">
      <c r="A90" t="s">
        <v>4</v>
      </c>
      <c r="B90" s="3">
        <v>0.79773326926425259</v>
      </c>
      <c r="C90" t="s">
        <v>57</v>
      </c>
      <c r="D90" t="s">
        <v>16</v>
      </c>
    </row>
    <row r="91" spans="1:4" x14ac:dyDescent="0.3">
      <c r="A91" t="s">
        <v>4</v>
      </c>
      <c r="B91" s="3">
        <v>0.6058996848028384</v>
      </c>
      <c r="C91" t="s">
        <v>58</v>
      </c>
      <c r="D91" t="s">
        <v>10</v>
      </c>
    </row>
    <row r="92" spans="1:4" x14ac:dyDescent="0.3">
      <c r="A92" t="s">
        <v>4</v>
      </c>
      <c r="B92" s="3">
        <v>0.79149989204421611</v>
      </c>
      <c r="C92" t="s">
        <v>59</v>
      </c>
      <c r="D92" t="s">
        <v>16</v>
      </c>
    </row>
    <row r="93" spans="1:4" x14ac:dyDescent="0.3">
      <c r="A93" t="s">
        <v>4</v>
      </c>
      <c r="B93" s="3">
        <v>1</v>
      </c>
      <c r="C93" t="s">
        <v>60</v>
      </c>
      <c r="D93" t="s">
        <v>14</v>
      </c>
    </row>
    <row r="94" spans="1:4" x14ac:dyDescent="0.3">
      <c r="A94" t="s">
        <v>4</v>
      </c>
      <c r="B94" s="3">
        <v>0.7775492148109493</v>
      </c>
      <c r="C94" t="s">
        <v>61</v>
      </c>
      <c r="D94" t="s">
        <v>10</v>
      </c>
    </row>
    <row r="95" spans="1:4" x14ac:dyDescent="0.3">
      <c r="A95" t="s">
        <v>4</v>
      </c>
      <c r="B95" s="3">
        <v>0.63641245765331511</v>
      </c>
      <c r="C95" t="s">
        <v>62</v>
      </c>
      <c r="D95" t="s">
        <v>14</v>
      </c>
    </row>
    <row r="96" spans="1:4" x14ac:dyDescent="0.3">
      <c r="A96" t="s">
        <v>4</v>
      </c>
      <c r="B96" s="3">
        <v>0.94943175699316551</v>
      </c>
      <c r="C96" t="s">
        <v>63</v>
      </c>
      <c r="D96" t="s">
        <v>6</v>
      </c>
    </row>
    <row r="97" spans="1:4" x14ac:dyDescent="0.3">
      <c r="A97" t="s">
        <v>4</v>
      </c>
      <c r="B97" s="3">
        <v>0.95473683044486601</v>
      </c>
      <c r="C97" t="s">
        <v>64</v>
      </c>
      <c r="D97" t="s">
        <v>16</v>
      </c>
    </row>
    <row r="98" spans="1:4" x14ac:dyDescent="0.3">
      <c r="A98" t="s">
        <v>4</v>
      </c>
      <c r="B98" s="3">
        <v>0.86125356722076207</v>
      </c>
      <c r="C98" t="s">
        <v>64</v>
      </c>
      <c r="D98" t="s">
        <v>13</v>
      </c>
    </row>
    <row r="99" spans="1:4" x14ac:dyDescent="0.3">
      <c r="A99" t="s">
        <v>4</v>
      </c>
      <c r="B99" s="3">
        <v>0.68922923545557968</v>
      </c>
      <c r="C99" t="s">
        <v>65</v>
      </c>
      <c r="D99" t="s">
        <v>8</v>
      </c>
    </row>
    <row r="100" spans="1:4" x14ac:dyDescent="0.3">
      <c r="A100" t="s">
        <v>4</v>
      </c>
      <c r="B100" s="3">
        <v>0.91747779411463981</v>
      </c>
      <c r="C100" t="s">
        <v>66</v>
      </c>
      <c r="D100" t="s">
        <v>16</v>
      </c>
    </row>
    <row r="101" spans="1:4" x14ac:dyDescent="0.3">
      <c r="A101" t="s">
        <v>4</v>
      </c>
      <c r="B101" s="3">
        <v>0.6604697532719277</v>
      </c>
      <c r="C101" t="s">
        <v>67</v>
      </c>
      <c r="D101" t="s">
        <v>16</v>
      </c>
    </row>
    <row r="102" spans="1:4" x14ac:dyDescent="0.3">
      <c r="A102" t="s">
        <v>4</v>
      </c>
      <c r="B102" s="3">
        <v>0.41779131977698036</v>
      </c>
      <c r="C102" t="s">
        <v>68</v>
      </c>
      <c r="D102" t="s">
        <v>13</v>
      </c>
    </row>
    <row r="103" spans="1:4" x14ac:dyDescent="0.3">
      <c r="A103" t="s">
        <v>4</v>
      </c>
      <c r="B103" s="3">
        <v>0.70414588862133431</v>
      </c>
      <c r="C103" t="s">
        <v>69</v>
      </c>
      <c r="D103" t="s">
        <v>6</v>
      </c>
    </row>
    <row r="104" spans="1:4" x14ac:dyDescent="0.3">
      <c r="A104" t="s">
        <v>4</v>
      </c>
      <c r="B104" s="3">
        <v>0.73707425890067613</v>
      </c>
      <c r="C104" t="s">
        <v>69</v>
      </c>
      <c r="D104" t="s">
        <v>16</v>
      </c>
    </row>
    <row r="105" spans="1:4" x14ac:dyDescent="0.3">
      <c r="A105" t="s">
        <v>4</v>
      </c>
      <c r="B105" s="3">
        <v>0.84889119734991736</v>
      </c>
      <c r="C105" t="s">
        <v>69</v>
      </c>
      <c r="D105" t="s">
        <v>10</v>
      </c>
    </row>
    <row r="106" spans="1:4" x14ac:dyDescent="0.3">
      <c r="A106" t="s">
        <v>4</v>
      </c>
      <c r="B106" s="3">
        <v>0.73341903058911562</v>
      </c>
      <c r="C106" t="s">
        <v>69</v>
      </c>
      <c r="D106" t="s">
        <v>8</v>
      </c>
    </row>
    <row r="107" spans="1:4" x14ac:dyDescent="0.3">
      <c r="A107" t="s">
        <v>4</v>
      </c>
      <c r="B107" s="3">
        <v>0.75647414685946079</v>
      </c>
      <c r="C107" t="s">
        <v>69</v>
      </c>
      <c r="D107" t="s">
        <v>13</v>
      </c>
    </row>
    <row r="108" spans="1:4" x14ac:dyDescent="0.3">
      <c r="A108" t="s">
        <v>4</v>
      </c>
      <c r="B108" s="3">
        <v>0.80227885039408031</v>
      </c>
      <c r="C108" t="s">
        <v>69</v>
      </c>
      <c r="D108" t="s">
        <v>14</v>
      </c>
    </row>
    <row r="109" spans="1:4" x14ac:dyDescent="0.3">
      <c r="A109" t="s">
        <v>4</v>
      </c>
      <c r="B109" s="3">
        <v>0.72046258080806957</v>
      </c>
      <c r="C109" t="s">
        <v>70</v>
      </c>
      <c r="D109" t="s">
        <v>6</v>
      </c>
    </row>
    <row r="110" spans="1:4" x14ac:dyDescent="0.3">
      <c r="A110" t="s">
        <v>4</v>
      </c>
      <c r="B110" s="3">
        <v>0.86070638027709578</v>
      </c>
      <c r="C110" t="s">
        <v>70</v>
      </c>
      <c r="D110" t="s">
        <v>10</v>
      </c>
    </row>
    <row r="111" spans="1:4" x14ac:dyDescent="0.3">
      <c r="A111" t="s">
        <v>4</v>
      </c>
      <c r="B111" s="3">
        <v>0.78157049562815128</v>
      </c>
      <c r="C111" t="s">
        <v>70</v>
      </c>
      <c r="D111" t="s">
        <v>8</v>
      </c>
    </row>
    <row r="112" spans="1:4" x14ac:dyDescent="0.3">
      <c r="A112" t="s">
        <v>4</v>
      </c>
      <c r="B112" s="3">
        <v>0.78058486728487764</v>
      </c>
      <c r="C112" t="s">
        <v>70</v>
      </c>
      <c r="D112" t="s">
        <v>13</v>
      </c>
    </row>
    <row r="113" spans="1:4" x14ac:dyDescent="0.3">
      <c r="A113" t="s">
        <v>4</v>
      </c>
      <c r="B113" s="3">
        <v>0.92509424394199569</v>
      </c>
      <c r="C113" t="s">
        <v>70</v>
      </c>
      <c r="D113" t="s">
        <v>14</v>
      </c>
    </row>
    <row r="114" spans="1:4" x14ac:dyDescent="0.3">
      <c r="A114" t="s">
        <v>4</v>
      </c>
      <c r="B114" s="3">
        <v>0.59106282022719514</v>
      </c>
      <c r="C114" t="s">
        <v>71</v>
      </c>
      <c r="D114" t="s">
        <v>14</v>
      </c>
    </row>
    <row r="115" spans="1:4" x14ac:dyDescent="0.3">
      <c r="A115" t="s">
        <v>4</v>
      </c>
      <c r="B115" s="3">
        <v>0.70421797203857228</v>
      </c>
      <c r="C115" t="s">
        <v>72</v>
      </c>
      <c r="D115" t="s">
        <v>10</v>
      </c>
    </row>
    <row r="116" spans="1:4" x14ac:dyDescent="0.3">
      <c r="A116" t="s">
        <v>4</v>
      </c>
      <c r="B116" s="3">
        <v>0.79750339287744432</v>
      </c>
      <c r="C116" t="s">
        <v>72</v>
      </c>
      <c r="D116" t="s">
        <v>8</v>
      </c>
    </row>
    <row r="117" spans="1:4" x14ac:dyDescent="0.3">
      <c r="A117" t="s">
        <v>4</v>
      </c>
      <c r="B117" s="3">
        <v>0.78312257900679472</v>
      </c>
      <c r="C117" t="s">
        <v>72</v>
      </c>
      <c r="D117" t="s">
        <v>14</v>
      </c>
    </row>
    <row r="118" spans="1:4" x14ac:dyDescent="0.3">
      <c r="A118" t="s">
        <v>4</v>
      </c>
      <c r="B118" s="3">
        <v>0.23530884424167128</v>
      </c>
      <c r="C118" t="s">
        <v>73</v>
      </c>
      <c r="D118" t="s">
        <v>6</v>
      </c>
    </row>
    <row r="119" spans="1:4" x14ac:dyDescent="0.3">
      <c r="A119" t="s">
        <v>4</v>
      </c>
      <c r="B119" s="3">
        <v>0.84921546890857291</v>
      </c>
      <c r="C119" t="s">
        <v>74</v>
      </c>
      <c r="D119" t="s">
        <v>14</v>
      </c>
    </row>
    <row r="120" spans="1:4" x14ac:dyDescent="0.3">
      <c r="A120" t="s">
        <v>4</v>
      </c>
      <c r="B120" s="3">
        <v>0.73103477980524545</v>
      </c>
      <c r="C120" t="s">
        <v>75</v>
      </c>
      <c r="D120" t="s">
        <v>8</v>
      </c>
    </row>
    <row r="121" spans="1:4" x14ac:dyDescent="0.3">
      <c r="A121" t="s">
        <v>4</v>
      </c>
      <c r="B121" s="3">
        <v>0.66121251175589535</v>
      </c>
      <c r="C121" t="s">
        <v>76</v>
      </c>
    </row>
    <row r="122" spans="1:4" x14ac:dyDescent="0.3">
      <c r="A122" t="s">
        <v>4</v>
      </c>
      <c r="B122" s="3">
        <v>0.66869862249690037</v>
      </c>
      <c r="C122" t="s">
        <v>76</v>
      </c>
      <c r="D122" t="s">
        <v>6</v>
      </c>
    </row>
    <row r="123" spans="1:4" x14ac:dyDescent="0.3">
      <c r="A123" t="s">
        <v>4</v>
      </c>
      <c r="B123" s="3">
        <v>0.81835071909554991</v>
      </c>
      <c r="C123" t="s">
        <v>76</v>
      </c>
      <c r="D123" t="s">
        <v>16</v>
      </c>
    </row>
    <row r="124" spans="1:4" x14ac:dyDescent="0.3">
      <c r="A124" t="s">
        <v>4</v>
      </c>
      <c r="B124" s="3">
        <v>0.8166392757556542</v>
      </c>
      <c r="C124" t="s">
        <v>76</v>
      </c>
      <c r="D124" t="s">
        <v>10</v>
      </c>
    </row>
    <row r="125" spans="1:4" x14ac:dyDescent="0.3">
      <c r="A125" t="s">
        <v>4</v>
      </c>
      <c r="B125" s="3">
        <v>0.82621223536938559</v>
      </c>
      <c r="C125" t="s">
        <v>77</v>
      </c>
      <c r="D125" t="s">
        <v>14</v>
      </c>
    </row>
    <row r="126" spans="1:4" x14ac:dyDescent="0.3">
      <c r="A126" t="s">
        <v>4</v>
      </c>
      <c r="B126" s="3">
        <v>0.89625599154838886</v>
      </c>
      <c r="C126" t="s">
        <v>78</v>
      </c>
      <c r="D126" t="s">
        <v>6</v>
      </c>
    </row>
    <row r="127" spans="1:4" x14ac:dyDescent="0.3">
      <c r="A127" t="s">
        <v>4</v>
      </c>
      <c r="B127" s="3">
        <v>0.9059543371382589</v>
      </c>
      <c r="C127" t="s">
        <v>78</v>
      </c>
      <c r="D127" t="s">
        <v>10</v>
      </c>
    </row>
    <row r="128" spans="1:4" x14ac:dyDescent="0.3">
      <c r="A128" t="s">
        <v>4</v>
      </c>
      <c r="B128" s="3">
        <v>0.89348566673338647</v>
      </c>
      <c r="C128" t="s">
        <v>78</v>
      </c>
      <c r="D128" t="s">
        <v>8</v>
      </c>
    </row>
    <row r="129" spans="1:4" x14ac:dyDescent="0.3">
      <c r="A129" t="s">
        <v>4</v>
      </c>
      <c r="B129" s="3">
        <v>0.81576999567557351</v>
      </c>
      <c r="C129" t="s">
        <v>78</v>
      </c>
      <c r="D129" t="s">
        <v>13</v>
      </c>
    </row>
    <row r="130" spans="1:4" x14ac:dyDescent="0.3">
      <c r="A130" t="s">
        <v>4</v>
      </c>
      <c r="B130" s="3">
        <v>0.9067737099329245</v>
      </c>
      <c r="C130" t="s">
        <v>78</v>
      </c>
      <c r="D130" t="s">
        <v>14</v>
      </c>
    </row>
    <row r="131" spans="1:4" x14ac:dyDescent="0.3">
      <c r="A131" t="s">
        <v>4</v>
      </c>
      <c r="B131" s="3">
        <v>0.86153293989245106</v>
      </c>
      <c r="C131" t="s">
        <v>79</v>
      </c>
      <c r="D131" t="s">
        <v>6</v>
      </c>
    </row>
    <row r="132" spans="1:4" x14ac:dyDescent="0.3">
      <c r="A132" t="s">
        <v>4</v>
      </c>
      <c r="B132" s="3">
        <v>0.79022351932911017</v>
      </c>
      <c r="C132" t="s">
        <v>79</v>
      </c>
      <c r="D132" t="s">
        <v>8</v>
      </c>
    </row>
    <row r="133" spans="1:4" x14ac:dyDescent="0.3">
      <c r="A133" t="s">
        <v>4</v>
      </c>
      <c r="B133" s="3">
        <v>0.81848596742361968</v>
      </c>
      <c r="C133" t="s">
        <v>79</v>
      </c>
      <c r="D133" t="s">
        <v>14</v>
      </c>
    </row>
    <row r="134" spans="1:4" x14ac:dyDescent="0.3">
      <c r="A134" t="s">
        <v>4</v>
      </c>
      <c r="B134" s="3">
        <v>0.89013710301784932</v>
      </c>
      <c r="C134" t="s">
        <v>80</v>
      </c>
      <c r="D134" t="s">
        <v>6</v>
      </c>
    </row>
    <row r="135" spans="1:4" x14ac:dyDescent="0.3">
      <c r="A135" t="s">
        <v>4</v>
      </c>
      <c r="B135" s="3">
        <v>0.81860833775407937</v>
      </c>
      <c r="C135" t="s">
        <v>80</v>
      </c>
      <c r="D135" t="s">
        <v>16</v>
      </c>
    </row>
    <row r="136" spans="1:4" x14ac:dyDescent="0.3">
      <c r="A136" t="s">
        <v>4</v>
      </c>
      <c r="B136" s="3">
        <v>0.89692617336258285</v>
      </c>
      <c r="C136" t="s">
        <v>80</v>
      </c>
      <c r="D136" t="s">
        <v>10</v>
      </c>
    </row>
    <row r="137" spans="1:4" x14ac:dyDescent="0.3">
      <c r="A137" t="s">
        <v>4</v>
      </c>
      <c r="B137" s="3">
        <v>0.88458976482997764</v>
      </c>
      <c r="C137" t="s">
        <v>80</v>
      </c>
      <c r="D137" t="s">
        <v>8</v>
      </c>
    </row>
    <row r="138" spans="1:4" x14ac:dyDescent="0.3">
      <c r="A138" t="s">
        <v>4</v>
      </c>
      <c r="B138" s="3">
        <v>0.8820824661735055</v>
      </c>
      <c r="C138" t="s">
        <v>80</v>
      </c>
      <c r="D138" t="s">
        <v>13</v>
      </c>
    </row>
    <row r="139" spans="1:4" x14ac:dyDescent="0.3">
      <c r="A139" t="s">
        <v>4</v>
      </c>
      <c r="B139" s="3">
        <v>0.87999530006508841</v>
      </c>
      <c r="C139" t="s">
        <v>80</v>
      </c>
      <c r="D139" t="s">
        <v>14</v>
      </c>
    </row>
    <row r="140" spans="1:4" x14ac:dyDescent="0.3">
      <c r="A140" t="s">
        <v>4</v>
      </c>
      <c r="B140" s="3">
        <v>0.8631504817455804</v>
      </c>
      <c r="C140" t="s">
        <v>81</v>
      </c>
      <c r="D140" t="s">
        <v>14</v>
      </c>
    </row>
    <row r="141" spans="1:4" x14ac:dyDescent="0.3">
      <c r="A141" t="s">
        <v>4</v>
      </c>
      <c r="B141" s="3">
        <v>0.86356033246489061</v>
      </c>
      <c r="C141" t="s">
        <v>82</v>
      </c>
      <c r="D141" t="s">
        <v>10</v>
      </c>
    </row>
    <row r="142" spans="1:4" x14ac:dyDescent="0.3">
      <c r="A142" t="s">
        <v>4</v>
      </c>
      <c r="B142" s="3">
        <v>0.97181107078835516</v>
      </c>
      <c r="C142" t="s">
        <v>83</v>
      </c>
      <c r="D142" t="s">
        <v>10</v>
      </c>
    </row>
    <row r="143" spans="1:4" x14ac:dyDescent="0.3">
      <c r="A143" t="s">
        <v>4</v>
      </c>
      <c r="B143" s="3">
        <v>0.9285099797707056</v>
      </c>
      <c r="C143" t="s">
        <v>83</v>
      </c>
      <c r="D143" t="s">
        <v>8</v>
      </c>
    </row>
    <row r="144" spans="1:4" x14ac:dyDescent="0.3">
      <c r="A144" t="s">
        <v>4</v>
      </c>
      <c r="B144" s="3">
        <v>0.85280946280244585</v>
      </c>
      <c r="C144" t="s">
        <v>84</v>
      </c>
      <c r="D144" t="s">
        <v>8</v>
      </c>
    </row>
    <row r="145" spans="1:4" x14ac:dyDescent="0.3">
      <c r="A145" t="s">
        <v>4</v>
      </c>
      <c r="B145" s="3">
        <v>0.84723645056523256</v>
      </c>
      <c r="C145" t="s">
        <v>85</v>
      </c>
      <c r="D145" t="s">
        <v>13</v>
      </c>
    </row>
    <row r="146" spans="1:4" x14ac:dyDescent="0.3">
      <c r="A146" t="s">
        <v>4</v>
      </c>
      <c r="B146" s="3">
        <v>0.78401592823986688</v>
      </c>
      <c r="C146" t="s">
        <v>86</v>
      </c>
      <c r="D146" t="s">
        <v>6</v>
      </c>
    </row>
    <row r="147" spans="1:4" x14ac:dyDescent="0.3">
      <c r="A147" t="s">
        <v>4</v>
      </c>
      <c r="B147" s="3">
        <v>0.99346683039356531</v>
      </c>
      <c r="C147" t="s">
        <v>86</v>
      </c>
      <c r="D147" t="s">
        <v>16</v>
      </c>
    </row>
    <row r="148" spans="1:4" x14ac:dyDescent="0.3">
      <c r="A148" t="s">
        <v>4</v>
      </c>
      <c r="B148" s="3">
        <v>0.8605984641991391</v>
      </c>
      <c r="C148" t="s">
        <v>86</v>
      </c>
      <c r="D148" t="s">
        <v>10</v>
      </c>
    </row>
    <row r="149" spans="1:4" x14ac:dyDescent="0.3">
      <c r="A149" t="s">
        <v>4</v>
      </c>
      <c r="B149" s="3">
        <v>0.8178713552906508</v>
      </c>
      <c r="C149" t="s">
        <v>86</v>
      </c>
      <c r="D149" t="s">
        <v>8</v>
      </c>
    </row>
    <row r="150" spans="1:4" x14ac:dyDescent="0.3">
      <c r="A150" t="s">
        <v>4</v>
      </c>
      <c r="B150" s="3">
        <v>0.88926620964418213</v>
      </c>
      <c r="C150" t="s">
        <v>86</v>
      </c>
      <c r="D150" t="s">
        <v>13</v>
      </c>
    </row>
    <row r="151" spans="1:4" x14ac:dyDescent="0.3">
      <c r="A151" t="s">
        <v>4</v>
      </c>
      <c r="B151" s="3">
        <v>0.79777483358291168</v>
      </c>
      <c r="C151" t="s">
        <v>86</v>
      </c>
      <c r="D151" t="s">
        <v>14</v>
      </c>
    </row>
    <row r="152" spans="1:4" x14ac:dyDescent="0.3">
      <c r="A152" t="s">
        <v>4</v>
      </c>
      <c r="B152" s="3">
        <v>0.86357659383390428</v>
      </c>
      <c r="C152" t="s">
        <v>87</v>
      </c>
    </row>
    <row r="153" spans="1:4" x14ac:dyDescent="0.3">
      <c r="A153" t="s">
        <v>4</v>
      </c>
      <c r="B153" s="3">
        <v>0.87889621991306932</v>
      </c>
      <c r="C153" t="s">
        <v>87</v>
      </c>
      <c r="D153" t="s">
        <v>6</v>
      </c>
    </row>
    <row r="154" spans="1:4" x14ac:dyDescent="0.3">
      <c r="A154" t="s">
        <v>4</v>
      </c>
      <c r="B154" s="3">
        <v>0.72554396411331856</v>
      </c>
      <c r="C154" t="s">
        <v>88</v>
      </c>
      <c r="D154" t="s">
        <v>6</v>
      </c>
    </row>
    <row r="155" spans="1:4" x14ac:dyDescent="0.3">
      <c r="A155" t="s">
        <v>4</v>
      </c>
      <c r="B155" s="3">
        <v>0.97347764778585066</v>
      </c>
      <c r="C155" t="s">
        <v>89</v>
      </c>
      <c r="D155" t="s">
        <v>8</v>
      </c>
    </row>
    <row r="156" spans="1:4" x14ac:dyDescent="0.3">
      <c r="A156" t="s">
        <v>4</v>
      </c>
      <c r="B156" s="3">
        <v>0.91015326474926816</v>
      </c>
      <c r="C156" t="s">
        <v>90</v>
      </c>
      <c r="D156" t="s">
        <v>6</v>
      </c>
    </row>
    <row r="157" spans="1:4" x14ac:dyDescent="0.3">
      <c r="A157" t="s">
        <v>4</v>
      </c>
      <c r="B157" s="3">
        <v>0.84993214073747114</v>
      </c>
      <c r="C157" t="s">
        <v>90</v>
      </c>
      <c r="D157" t="s">
        <v>10</v>
      </c>
    </row>
    <row r="158" spans="1:4" x14ac:dyDescent="0.3">
      <c r="A158" t="s">
        <v>4</v>
      </c>
      <c r="B158" s="3">
        <v>0.82742584097595728</v>
      </c>
      <c r="C158" t="s">
        <v>90</v>
      </c>
      <c r="D158" t="s">
        <v>8</v>
      </c>
    </row>
    <row r="159" spans="1:4" x14ac:dyDescent="0.3">
      <c r="A159" t="s">
        <v>4</v>
      </c>
      <c r="B159" s="3">
        <v>0.91837992029475757</v>
      </c>
      <c r="C159" t="s">
        <v>90</v>
      </c>
      <c r="D159" t="s">
        <v>13</v>
      </c>
    </row>
    <row r="160" spans="1:4" x14ac:dyDescent="0.3">
      <c r="A160" t="s">
        <v>4</v>
      </c>
      <c r="B160" s="3">
        <v>0.44011660726712298</v>
      </c>
      <c r="C160" t="s">
        <v>91</v>
      </c>
      <c r="D160" t="s">
        <v>8</v>
      </c>
    </row>
    <row r="161" spans="1:4" x14ac:dyDescent="0.3">
      <c r="A161" t="s">
        <v>4</v>
      </c>
      <c r="B161" s="3">
        <v>0.66065796171013935</v>
      </c>
      <c r="C161" t="s">
        <v>92</v>
      </c>
      <c r="D161" t="s">
        <v>16</v>
      </c>
    </row>
    <row r="162" spans="1:4" x14ac:dyDescent="0.3">
      <c r="A162" t="s">
        <v>4</v>
      </c>
      <c r="B162" s="3">
        <v>0.9747702675870803</v>
      </c>
      <c r="C162" t="s">
        <v>93</v>
      </c>
      <c r="D162" t="s">
        <v>14</v>
      </c>
    </row>
    <row r="163" spans="1:4" x14ac:dyDescent="0.3">
      <c r="A163" t="s">
        <v>4</v>
      </c>
      <c r="B163" s="3">
        <v>0.75583204171253404</v>
      </c>
      <c r="C163" t="s">
        <v>94</v>
      </c>
    </row>
    <row r="164" spans="1:4" x14ac:dyDescent="0.3">
      <c r="A164" t="s">
        <v>4</v>
      </c>
      <c r="B164" s="3">
        <v>0.6282622393902747</v>
      </c>
      <c r="C164" t="s">
        <v>94</v>
      </c>
      <c r="D164" t="s">
        <v>6</v>
      </c>
    </row>
    <row r="165" spans="1:4" x14ac:dyDescent="0.3">
      <c r="A165" t="s">
        <v>4</v>
      </c>
      <c r="B165" s="3">
        <v>0.67528196522907014</v>
      </c>
      <c r="C165" t="s">
        <v>95</v>
      </c>
      <c r="D165" t="s">
        <v>16</v>
      </c>
    </row>
    <row r="166" spans="1:4" x14ac:dyDescent="0.3">
      <c r="A166" t="s">
        <v>4</v>
      </c>
      <c r="B166" s="3">
        <v>0.53085027691120734</v>
      </c>
      <c r="C166" t="s">
        <v>96</v>
      </c>
      <c r="D166" t="s">
        <v>8</v>
      </c>
    </row>
    <row r="167" spans="1:4" x14ac:dyDescent="0.3">
      <c r="A167" t="s">
        <v>4</v>
      </c>
      <c r="B167" s="3">
        <v>0.85415686938141944</v>
      </c>
      <c r="C167" t="s">
        <v>97</v>
      </c>
      <c r="D167" t="s">
        <v>6</v>
      </c>
    </row>
    <row r="168" spans="1:4" x14ac:dyDescent="0.3">
      <c r="A168" t="s">
        <v>4</v>
      </c>
      <c r="B168" s="3">
        <v>0.75545724976395223</v>
      </c>
      <c r="C168" t="s">
        <v>97</v>
      </c>
      <c r="D168" t="s">
        <v>16</v>
      </c>
    </row>
    <row r="169" spans="1:4" x14ac:dyDescent="0.3">
      <c r="A169" t="s">
        <v>4</v>
      </c>
      <c r="B169" s="3">
        <v>0.8244972836679384</v>
      </c>
      <c r="C169" t="s">
        <v>97</v>
      </c>
      <c r="D169" t="s">
        <v>10</v>
      </c>
    </row>
    <row r="170" spans="1:4" x14ac:dyDescent="0.3">
      <c r="A170" t="s">
        <v>4</v>
      </c>
      <c r="B170" s="3">
        <v>0.8396374520719273</v>
      </c>
      <c r="C170" t="s">
        <v>97</v>
      </c>
      <c r="D170" t="s">
        <v>8</v>
      </c>
    </row>
    <row r="171" spans="1:4" x14ac:dyDescent="0.3">
      <c r="A171" t="s">
        <v>4</v>
      </c>
      <c r="B171" s="3">
        <v>0.85531632305212679</v>
      </c>
      <c r="C171" t="s">
        <v>97</v>
      </c>
      <c r="D171" t="s">
        <v>13</v>
      </c>
    </row>
    <row r="172" spans="1:4" x14ac:dyDescent="0.3">
      <c r="A172" t="s">
        <v>4</v>
      </c>
      <c r="B172" s="3">
        <v>0.80038565157347763</v>
      </c>
      <c r="C172" t="s">
        <v>97</v>
      </c>
      <c r="D172" t="s">
        <v>14</v>
      </c>
    </row>
    <row r="173" spans="1:4" x14ac:dyDescent="0.3">
      <c r="A173" t="s">
        <v>4</v>
      </c>
      <c r="B173" s="3">
        <v>0.55087145550712124</v>
      </c>
      <c r="C173" t="s">
        <v>98</v>
      </c>
      <c r="D173" t="s">
        <v>14</v>
      </c>
    </row>
    <row r="174" spans="1:4" x14ac:dyDescent="0.3">
      <c r="A174" t="s">
        <v>4</v>
      </c>
      <c r="B174" s="3">
        <v>0.97587588597944797</v>
      </c>
      <c r="C174" t="s">
        <v>99</v>
      </c>
      <c r="D174" t="s">
        <v>13</v>
      </c>
    </row>
    <row r="175" spans="1:4" x14ac:dyDescent="0.3">
      <c r="A175" t="s">
        <v>4</v>
      </c>
      <c r="B175" s="3">
        <v>0.87915757078926504</v>
      </c>
      <c r="C175" t="s">
        <v>100</v>
      </c>
      <c r="D175" t="s">
        <v>14</v>
      </c>
    </row>
    <row r="176" spans="1:4" x14ac:dyDescent="0.3">
      <c r="A176" t="s">
        <v>4</v>
      </c>
      <c r="B176" s="3">
        <v>0.91613811261622946</v>
      </c>
      <c r="C176" t="s">
        <v>101</v>
      </c>
      <c r="D176" t="s">
        <v>6</v>
      </c>
    </row>
    <row r="177" spans="1:4" x14ac:dyDescent="0.3">
      <c r="A177" t="s">
        <v>4</v>
      </c>
      <c r="B177" s="3">
        <v>0.94130497312731387</v>
      </c>
      <c r="C177" t="s">
        <v>101</v>
      </c>
      <c r="D177" t="s">
        <v>10</v>
      </c>
    </row>
    <row r="178" spans="1:4" x14ac:dyDescent="0.3">
      <c r="A178" t="s">
        <v>4</v>
      </c>
      <c r="B178" s="3">
        <v>0.87193206631830067</v>
      </c>
      <c r="C178" t="s">
        <v>101</v>
      </c>
      <c r="D178" t="s">
        <v>8</v>
      </c>
    </row>
    <row r="179" spans="1:4" x14ac:dyDescent="0.3">
      <c r="A179" t="s">
        <v>4</v>
      </c>
      <c r="B179" s="3">
        <v>0.9195582687274807</v>
      </c>
      <c r="C179" t="s">
        <v>101</v>
      </c>
      <c r="D179" t="s">
        <v>14</v>
      </c>
    </row>
    <row r="180" spans="1:4" x14ac:dyDescent="0.3">
      <c r="A180" t="s">
        <v>4</v>
      </c>
      <c r="B180" s="3">
        <v>0.87961126929031963</v>
      </c>
      <c r="C180" t="s">
        <v>102</v>
      </c>
      <c r="D180" t="s">
        <v>8</v>
      </c>
    </row>
    <row r="181" spans="1:4" x14ac:dyDescent="0.3">
      <c r="A181" t="s">
        <v>4</v>
      </c>
      <c r="B181" s="3">
        <v>0.95769244873919135</v>
      </c>
      <c r="C181" t="s">
        <v>103</v>
      </c>
      <c r="D181" t="s">
        <v>6</v>
      </c>
    </row>
    <row r="182" spans="1:4" x14ac:dyDescent="0.3">
      <c r="A182" t="s">
        <v>4</v>
      </c>
      <c r="B182" s="3">
        <v>0.95373189729288466</v>
      </c>
      <c r="C182" t="s">
        <v>103</v>
      </c>
      <c r="D182" t="s">
        <v>14</v>
      </c>
    </row>
    <row r="183" spans="1:4" x14ac:dyDescent="0.3">
      <c r="A183" t="s">
        <v>4</v>
      </c>
      <c r="B183" s="3">
        <v>1</v>
      </c>
      <c r="C183" t="s">
        <v>104</v>
      </c>
    </row>
    <row r="184" spans="1:4" x14ac:dyDescent="0.3">
      <c r="A184" t="s">
        <v>4</v>
      </c>
      <c r="B184" s="3">
        <v>0.85871878245745137</v>
      </c>
      <c r="C184" t="s">
        <v>104</v>
      </c>
      <c r="D184" t="s">
        <v>14</v>
      </c>
    </row>
    <row r="185" spans="1:4" x14ac:dyDescent="0.3">
      <c r="A185" t="s">
        <v>4</v>
      </c>
      <c r="B185" s="3">
        <v>0.95943893219899734</v>
      </c>
      <c r="C185" t="s">
        <v>105</v>
      </c>
      <c r="D185" t="s">
        <v>6</v>
      </c>
    </row>
    <row r="186" spans="1:4" x14ac:dyDescent="0.3">
      <c r="A186" t="s">
        <v>4</v>
      </c>
      <c r="B186" s="3">
        <v>0.93460713069698376</v>
      </c>
      <c r="C186" t="s">
        <v>105</v>
      </c>
      <c r="D186" t="s">
        <v>16</v>
      </c>
    </row>
    <row r="187" spans="1:4" x14ac:dyDescent="0.3">
      <c r="A187" t="s">
        <v>4</v>
      </c>
      <c r="B187" s="3">
        <v>0.95464597085117564</v>
      </c>
      <c r="C187" t="s">
        <v>105</v>
      </c>
      <c r="D187" t="s">
        <v>10</v>
      </c>
    </row>
    <row r="188" spans="1:4" x14ac:dyDescent="0.3">
      <c r="A188" t="s">
        <v>4</v>
      </c>
      <c r="B188" s="3">
        <v>0.93379551281271711</v>
      </c>
      <c r="C188" t="s">
        <v>105</v>
      </c>
      <c r="D188" t="s">
        <v>8</v>
      </c>
    </row>
    <row r="189" spans="1:4" x14ac:dyDescent="0.3">
      <c r="A189" t="s">
        <v>4</v>
      </c>
      <c r="B189" s="3">
        <v>0.96964791658386984</v>
      </c>
      <c r="C189" t="s">
        <v>105</v>
      </c>
      <c r="D189" t="s">
        <v>13</v>
      </c>
    </row>
    <row r="190" spans="1:4" x14ac:dyDescent="0.3">
      <c r="A190" t="s">
        <v>4</v>
      </c>
      <c r="B190" s="3">
        <v>0.95586984134246555</v>
      </c>
      <c r="C190" t="s">
        <v>105</v>
      </c>
      <c r="D190" t="s">
        <v>14</v>
      </c>
    </row>
    <row r="191" spans="1:4" x14ac:dyDescent="0.3">
      <c r="A191" t="s">
        <v>4</v>
      </c>
      <c r="B191" s="3">
        <v>0.96079286570884781</v>
      </c>
      <c r="C191" t="s">
        <v>106</v>
      </c>
      <c r="D191" t="s">
        <v>16</v>
      </c>
    </row>
    <row r="192" spans="1:4" x14ac:dyDescent="0.3">
      <c r="A192" t="s">
        <v>4</v>
      </c>
      <c r="B192" s="3">
        <v>0.83809830500217464</v>
      </c>
      <c r="C192" t="s">
        <v>107</v>
      </c>
      <c r="D192" t="s">
        <v>16</v>
      </c>
    </row>
    <row r="193" spans="1:4" x14ac:dyDescent="0.3">
      <c r="A193" t="s">
        <v>4</v>
      </c>
      <c r="B193" s="3">
        <v>0.92474196137075271</v>
      </c>
      <c r="C193" t="s">
        <v>108</v>
      </c>
      <c r="D193" t="s">
        <v>16</v>
      </c>
    </row>
    <row r="194" spans="1:4" x14ac:dyDescent="0.3">
      <c r="A194" t="s">
        <v>4</v>
      </c>
      <c r="B194" s="3">
        <v>0.24832543612958205</v>
      </c>
      <c r="C194" t="s">
        <v>109</v>
      </c>
      <c r="D194" t="s">
        <v>8</v>
      </c>
    </row>
    <row r="195" spans="1:4" x14ac:dyDescent="0.3">
      <c r="A195" t="s">
        <v>4</v>
      </c>
      <c r="B195" s="3">
        <v>0.93671296655255598</v>
      </c>
      <c r="C195" t="s">
        <v>110</v>
      </c>
    </row>
    <row r="196" spans="1:4" x14ac:dyDescent="0.3">
      <c r="A196" t="s">
        <v>4</v>
      </c>
      <c r="B196" s="3">
        <v>0.73767267926748814</v>
      </c>
      <c r="C196" t="s">
        <v>110</v>
      </c>
      <c r="D196" t="s">
        <v>6</v>
      </c>
    </row>
    <row r="197" spans="1:4" x14ac:dyDescent="0.3">
      <c r="A197" t="s">
        <v>4</v>
      </c>
      <c r="B197" s="3">
        <v>0.87685780798647384</v>
      </c>
      <c r="C197" t="s">
        <v>111</v>
      </c>
      <c r="D197" t="s">
        <v>13</v>
      </c>
    </row>
    <row r="198" spans="1:4" x14ac:dyDescent="0.3">
      <c r="A198" t="s">
        <v>4</v>
      </c>
      <c r="B198" s="3">
        <v>0.75213485304306071</v>
      </c>
      <c r="C198" t="s">
        <v>112</v>
      </c>
      <c r="D198" t="s">
        <v>6</v>
      </c>
    </row>
    <row r="199" spans="1:4" x14ac:dyDescent="0.3">
      <c r="A199" t="s">
        <v>4</v>
      </c>
      <c r="B199" s="3">
        <v>1</v>
      </c>
      <c r="C199" t="s">
        <v>113</v>
      </c>
    </row>
    <row r="200" spans="1:4" x14ac:dyDescent="0.3">
      <c r="A200" t="s">
        <v>4</v>
      </c>
      <c r="B200" s="3">
        <v>0.85693585936128691</v>
      </c>
      <c r="C200" t="s">
        <v>113</v>
      </c>
      <c r="D200" t="s">
        <v>16</v>
      </c>
    </row>
    <row r="201" spans="1:4" x14ac:dyDescent="0.3">
      <c r="A201" t="s">
        <v>4</v>
      </c>
      <c r="B201" s="3">
        <v>0.79092369066599244</v>
      </c>
      <c r="C201" t="s">
        <v>114</v>
      </c>
      <c r="D201" t="s">
        <v>16</v>
      </c>
    </row>
    <row r="202" spans="1:4" x14ac:dyDescent="0.3">
      <c r="A202" t="s">
        <v>4</v>
      </c>
      <c r="B202" s="3">
        <v>0.83909245960268963</v>
      </c>
      <c r="C202" t="s">
        <v>115</v>
      </c>
      <c r="D202" t="s">
        <v>6</v>
      </c>
    </row>
    <row r="203" spans="1:4" x14ac:dyDescent="0.3">
      <c r="A203" t="s">
        <v>4</v>
      </c>
      <c r="B203" s="3">
        <v>0.75425014218489328</v>
      </c>
      <c r="C203" t="s">
        <v>116</v>
      </c>
      <c r="D203" t="s">
        <v>16</v>
      </c>
    </row>
    <row r="204" spans="1:4" x14ac:dyDescent="0.3">
      <c r="A204" t="s">
        <v>4</v>
      </c>
      <c r="B204" s="3">
        <v>0.75477374865789704</v>
      </c>
      <c r="C204" t="s">
        <v>117</v>
      </c>
      <c r="D204" t="s">
        <v>13</v>
      </c>
    </row>
    <row r="205" spans="1:4" x14ac:dyDescent="0.3">
      <c r="A205" t="s">
        <v>4</v>
      </c>
      <c r="B205" s="3">
        <v>0.86760173081824188</v>
      </c>
      <c r="C205" t="s">
        <v>118</v>
      </c>
    </row>
    <row r="206" spans="1:4" x14ac:dyDescent="0.3">
      <c r="A206" t="s">
        <v>4</v>
      </c>
      <c r="B206" s="3">
        <v>0.92591699760377522</v>
      </c>
      <c r="C206" t="s">
        <v>118</v>
      </c>
      <c r="D206" t="s">
        <v>16</v>
      </c>
    </row>
    <row r="207" spans="1:4" x14ac:dyDescent="0.3">
      <c r="A207" t="s">
        <v>4</v>
      </c>
      <c r="B207" s="3">
        <v>0.87438520099098371</v>
      </c>
      <c r="C207" t="s">
        <v>118</v>
      </c>
      <c r="D207" t="s">
        <v>13</v>
      </c>
    </row>
    <row r="208" spans="1:4" x14ac:dyDescent="0.3">
      <c r="A208" t="s">
        <v>4</v>
      </c>
      <c r="B208" s="3">
        <v>0.62473980108617622</v>
      </c>
      <c r="C208" t="s">
        <v>119</v>
      </c>
      <c r="D208" t="s">
        <v>8</v>
      </c>
    </row>
    <row r="209" spans="1:4" x14ac:dyDescent="0.3">
      <c r="A209" t="s">
        <v>4</v>
      </c>
      <c r="B209" s="3">
        <v>0.26175442508593649</v>
      </c>
      <c r="C209" t="s">
        <v>120</v>
      </c>
      <c r="D209" t="s">
        <v>14</v>
      </c>
    </row>
    <row r="210" spans="1:4" x14ac:dyDescent="0.3">
      <c r="A210" t="s">
        <v>4</v>
      </c>
      <c r="B210" s="3">
        <v>0.74186180745527852</v>
      </c>
      <c r="C210" t="s">
        <v>121</v>
      </c>
      <c r="D210" t="s">
        <v>16</v>
      </c>
    </row>
    <row r="211" spans="1:4" x14ac:dyDescent="0.3">
      <c r="A211" t="s">
        <v>4</v>
      </c>
      <c r="B211" s="3">
        <v>0.86793245871392033</v>
      </c>
      <c r="C211" t="s">
        <v>122</v>
      </c>
      <c r="D211" t="s">
        <v>16</v>
      </c>
    </row>
    <row r="212" spans="1:4" x14ac:dyDescent="0.3">
      <c r="A212" t="s">
        <v>4</v>
      </c>
      <c r="B212" s="3">
        <v>0.91203719986771237</v>
      </c>
      <c r="C212" t="s">
        <v>123</v>
      </c>
      <c r="D212" t="s">
        <v>16</v>
      </c>
    </row>
    <row r="213" spans="1:4" x14ac:dyDescent="0.3">
      <c r="A213" t="s">
        <v>4</v>
      </c>
      <c r="B213" s="3">
        <v>0.8903453412593344</v>
      </c>
      <c r="C213" t="s">
        <v>124</v>
      </c>
      <c r="D213" t="s">
        <v>6</v>
      </c>
    </row>
    <row r="214" spans="1:4" x14ac:dyDescent="0.3">
      <c r="A214" t="s">
        <v>4</v>
      </c>
      <c r="B214" s="3">
        <v>0.80640867634984592</v>
      </c>
      <c r="C214" t="s">
        <v>125</v>
      </c>
      <c r="D214" t="s">
        <v>14</v>
      </c>
    </row>
    <row r="215" spans="1:4" x14ac:dyDescent="0.3">
      <c r="A215" t="s">
        <v>4</v>
      </c>
      <c r="B215" s="3">
        <v>0.87246924425622796</v>
      </c>
      <c r="C215" t="s">
        <v>126</v>
      </c>
      <c r="D215" t="s">
        <v>10</v>
      </c>
    </row>
    <row r="216" spans="1:4" x14ac:dyDescent="0.3">
      <c r="A216" t="s">
        <v>4</v>
      </c>
      <c r="B216" s="3">
        <v>0.89282345010205844</v>
      </c>
      <c r="C216" t="s">
        <v>126</v>
      </c>
      <c r="D216" t="s">
        <v>8</v>
      </c>
    </row>
    <row r="217" spans="1:4" x14ac:dyDescent="0.3">
      <c r="A217" t="s">
        <v>4</v>
      </c>
      <c r="B217" s="3">
        <v>0.84878866721770752</v>
      </c>
      <c r="C217" t="s">
        <v>126</v>
      </c>
      <c r="D217" t="s">
        <v>13</v>
      </c>
    </row>
    <row r="218" spans="1:4" x14ac:dyDescent="0.3">
      <c r="A218" t="s">
        <v>127</v>
      </c>
      <c r="B218" s="3">
        <v>1</v>
      </c>
      <c r="C218" t="s">
        <v>5</v>
      </c>
      <c r="D218" t="s">
        <v>6</v>
      </c>
    </row>
    <row r="219" spans="1:4" x14ac:dyDescent="0.3">
      <c r="A219" t="s">
        <v>127</v>
      </c>
      <c r="B219" s="3">
        <v>0.55208707246386668</v>
      </c>
      <c r="C219" t="s">
        <v>7</v>
      </c>
      <c r="D219" t="s">
        <v>8</v>
      </c>
    </row>
    <row r="220" spans="1:4" x14ac:dyDescent="0.3">
      <c r="A220" t="s">
        <v>127</v>
      </c>
      <c r="B220" s="3">
        <v>0.90086564389819013</v>
      </c>
      <c r="C220" t="s">
        <v>9</v>
      </c>
      <c r="D220" t="s">
        <v>6</v>
      </c>
    </row>
    <row r="221" spans="1:4" x14ac:dyDescent="0.3">
      <c r="A221" t="s">
        <v>127</v>
      </c>
      <c r="B221" s="3">
        <v>0.97172042560161509</v>
      </c>
      <c r="C221" t="s">
        <v>9</v>
      </c>
      <c r="D221" t="s">
        <v>10</v>
      </c>
    </row>
    <row r="222" spans="1:4" x14ac:dyDescent="0.3">
      <c r="A222" t="s">
        <v>127</v>
      </c>
      <c r="B222" s="3">
        <v>0.9202251329340263</v>
      </c>
      <c r="C222" t="s">
        <v>9</v>
      </c>
      <c r="D222" t="s">
        <v>8</v>
      </c>
    </row>
    <row r="223" spans="1:4" x14ac:dyDescent="0.3">
      <c r="A223" t="s">
        <v>127</v>
      </c>
      <c r="B223" s="3">
        <v>0.5600999706634604</v>
      </c>
      <c r="C223" t="s">
        <v>11</v>
      </c>
      <c r="D223" t="s">
        <v>8</v>
      </c>
    </row>
    <row r="224" spans="1:4" x14ac:dyDescent="0.3">
      <c r="A224" t="s">
        <v>127</v>
      </c>
      <c r="B224" s="3">
        <v>0.58130825014606313</v>
      </c>
      <c r="C224" t="s">
        <v>12</v>
      </c>
      <c r="D224" t="s">
        <v>6</v>
      </c>
    </row>
    <row r="225" spans="1:4" x14ac:dyDescent="0.3">
      <c r="A225" t="s">
        <v>127</v>
      </c>
      <c r="B225" s="3">
        <v>0.58673304818606642</v>
      </c>
      <c r="C225" t="s">
        <v>12</v>
      </c>
      <c r="D225" t="s">
        <v>10</v>
      </c>
    </row>
    <row r="226" spans="1:4" x14ac:dyDescent="0.3">
      <c r="A226" t="s">
        <v>127</v>
      </c>
      <c r="B226" s="3">
        <v>0.57120661745885759</v>
      </c>
      <c r="C226" t="s">
        <v>12</v>
      </c>
      <c r="D226" t="s">
        <v>8</v>
      </c>
    </row>
    <row r="227" spans="1:4" x14ac:dyDescent="0.3">
      <c r="A227" t="s">
        <v>127</v>
      </c>
      <c r="B227" s="3">
        <v>0.57871119327334386</v>
      </c>
      <c r="C227" t="s">
        <v>12</v>
      </c>
      <c r="D227" t="s">
        <v>13</v>
      </c>
    </row>
    <row r="228" spans="1:4" x14ac:dyDescent="0.3">
      <c r="A228" t="s">
        <v>127</v>
      </c>
      <c r="B228" s="3">
        <v>0.47255102735979904</v>
      </c>
      <c r="C228" t="s">
        <v>12</v>
      </c>
      <c r="D228" t="s">
        <v>14</v>
      </c>
    </row>
    <row r="229" spans="1:4" x14ac:dyDescent="0.3">
      <c r="A229" t="s">
        <v>127</v>
      </c>
      <c r="B229" s="3">
        <v>0.95560201136046197</v>
      </c>
      <c r="C229" t="s">
        <v>15</v>
      </c>
    </row>
    <row r="230" spans="1:4" x14ac:dyDescent="0.3">
      <c r="A230" t="s">
        <v>127</v>
      </c>
      <c r="B230" s="3">
        <v>0.96301469201405898</v>
      </c>
      <c r="C230" t="s">
        <v>15</v>
      </c>
      <c r="D230" t="s">
        <v>16</v>
      </c>
    </row>
    <row r="231" spans="1:4" x14ac:dyDescent="0.3">
      <c r="A231" t="s">
        <v>127</v>
      </c>
      <c r="B231" s="3">
        <v>0.94951587263298942</v>
      </c>
      <c r="C231" t="s">
        <v>15</v>
      </c>
      <c r="D231" t="s">
        <v>13</v>
      </c>
    </row>
    <row r="232" spans="1:4" x14ac:dyDescent="0.3">
      <c r="A232" t="s">
        <v>127</v>
      </c>
      <c r="B232" s="3">
        <v>0.95373741911117815</v>
      </c>
      <c r="C232" t="s">
        <v>17</v>
      </c>
      <c r="D232" t="s">
        <v>16</v>
      </c>
    </row>
    <row r="233" spans="1:4" x14ac:dyDescent="0.3">
      <c r="A233" t="s">
        <v>127</v>
      </c>
      <c r="B233" s="3">
        <v>0.96252758901029267</v>
      </c>
      <c r="C233" t="s">
        <v>17</v>
      </c>
      <c r="D233" t="s">
        <v>8</v>
      </c>
    </row>
    <row r="234" spans="1:4" x14ac:dyDescent="0.3">
      <c r="A234" t="s">
        <v>127</v>
      </c>
      <c r="B234" s="3">
        <v>0.9133302536372645</v>
      </c>
      <c r="C234" t="s">
        <v>17</v>
      </c>
      <c r="D234" t="s">
        <v>13</v>
      </c>
    </row>
    <row r="235" spans="1:4" x14ac:dyDescent="0.3">
      <c r="A235" t="s">
        <v>127</v>
      </c>
      <c r="B235" s="3">
        <v>0.9620335181754206</v>
      </c>
      <c r="C235" t="s">
        <v>18</v>
      </c>
      <c r="D235" t="s">
        <v>10</v>
      </c>
    </row>
    <row r="236" spans="1:4" x14ac:dyDescent="0.3">
      <c r="A236" t="s">
        <v>127</v>
      </c>
      <c r="B236" s="3">
        <v>0.89387776374554162</v>
      </c>
      <c r="C236" t="s">
        <v>19</v>
      </c>
      <c r="D236" t="s">
        <v>10</v>
      </c>
    </row>
    <row r="237" spans="1:4" x14ac:dyDescent="0.3">
      <c r="A237" t="s">
        <v>127</v>
      </c>
      <c r="B237" s="3">
        <v>0.93791520851734878</v>
      </c>
      <c r="C237" t="s">
        <v>20</v>
      </c>
      <c r="D237" t="s">
        <v>8</v>
      </c>
    </row>
    <row r="238" spans="1:4" x14ac:dyDescent="0.3">
      <c r="A238" t="s">
        <v>127</v>
      </c>
      <c r="B238" s="3">
        <v>0.4425781754871474</v>
      </c>
      <c r="C238" t="s">
        <v>21</v>
      </c>
      <c r="D238" t="s">
        <v>6</v>
      </c>
    </row>
    <row r="239" spans="1:4" x14ac:dyDescent="0.3">
      <c r="A239" t="s">
        <v>127</v>
      </c>
      <c r="B239" s="3">
        <v>0.62093571169159834</v>
      </c>
      <c r="C239" t="s">
        <v>21</v>
      </c>
      <c r="D239" t="s">
        <v>10</v>
      </c>
    </row>
    <row r="240" spans="1:4" x14ac:dyDescent="0.3">
      <c r="A240" t="s">
        <v>127</v>
      </c>
      <c r="B240" s="3">
        <v>0.88424599035158624</v>
      </c>
      <c r="C240" t="s">
        <v>22</v>
      </c>
      <c r="D240" t="s">
        <v>10</v>
      </c>
    </row>
    <row r="241" spans="1:4" x14ac:dyDescent="0.3">
      <c r="A241" t="s">
        <v>127</v>
      </c>
      <c r="B241" s="3">
        <v>0.498136042671111</v>
      </c>
      <c r="C241" t="s">
        <v>23</v>
      </c>
      <c r="D241" t="s">
        <v>13</v>
      </c>
    </row>
    <row r="242" spans="1:4" x14ac:dyDescent="0.3">
      <c r="A242" t="s">
        <v>127</v>
      </c>
      <c r="B242" s="3">
        <v>0.58994582786018346</v>
      </c>
      <c r="C242" t="s">
        <v>24</v>
      </c>
      <c r="D242" t="s">
        <v>6</v>
      </c>
    </row>
    <row r="243" spans="1:4" x14ac:dyDescent="0.3">
      <c r="A243" t="s">
        <v>127</v>
      </c>
      <c r="B243" s="3">
        <v>0.65964674446418892</v>
      </c>
      <c r="C243" t="s">
        <v>25</v>
      </c>
    </row>
    <row r="244" spans="1:4" x14ac:dyDescent="0.3">
      <c r="A244" t="s">
        <v>127</v>
      </c>
      <c r="B244" s="3">
        <v>0.73009825828100705</v>
      </c>
      <c r="C244" t="s">
        <v>25</v>
      </c>
      <c r="D244" t="s">
        <v>16</v>
      </c>
    </row>
    <row r="245" spans="1:4" x14ac:dyDescent="0.3">
      <c r="A245" t="s">
        <v>127</v>
      </c>
      <c r="B245" s="3">
        <v>0.46861029780266911</v>
      </c>
      <c r="C245" t="s">
        <v>26</v>
      </c>
      <c r="D245" t="s">
        <v>6</v>
      </c>
    </row>
    <row r="246" spans="1:4" x14ac:dyDescent="0.3">
      <c r="A246" t="s">
        <v>127</v>
      </c>
      <c r="B246" s="3">
        <v>0.83324700649808547</v>
      </c>
      <c r="C246" t="s">
        <v>27</v>
      </c>
      <c r="D246" t="s">
        <v>14</v>
      </c>
    </row>
    <row r="247" spans="1:4" x14ac:dyDescent="0.3">
      <c r="A247" t="s">
        <v>127</v>
      </c>
      <c r="B247" s="3">
        <v>0.82278308440768055</v>
      </c>
      <c r="C247" t="s">
        <v>28</v>
      </c>
      <c r="D247" t="s">
        <v>8</v>
      </c>
    </row>
    <row r="248" spans="1:4" x14ac:dyDescent="0.3">
      <c r="A248" t="s">
        <v>127</v>
      </c>
      <c r="B248" s="3">
        <v>0.87360730360293803</v>
      </c>
      <c r="C248" t="s">
        <v>28</v>
      </c>
      <c r="D248" t="s">
        <v>14</v>
      </c>
    </row>
    <row r="249" spans="1:4" x14ac:dyDescent="0.3">
      <c r="A249" t="s">
        <v>127</v>
      </c>
      <c r="B249" s="3">
        <v>0.93768799706933126</v>
      </c>
      <c r="C249" t="s">
        <v>29</v>
      </c>
      <c r="D249" t="s">
        <v>6</v>
      </c>
    </row>
    <row r="250" spans="1:4" x14ac:dyDescent="0.3">
      <c r="A250" t="s">
        <v>127</v>
      </c>
      <c r="B250" s="3">
        <v>0.96843185730859049</v>
      </c>
      <c r="C250" t="s">
        <v>29</v>
      </c>
      <c r="D250" t="s">
        <v>10</v>
      </c>
    </row>
    <row r="251" spans="1:4" x14ac:dyDescent="0.3">
      <c r="A251" t="s">
        <v>127</v>
      </c>
      <c r="B251" s="3">
        <v>0.79060727032562383</v>
      </c>
      <c r="C251" t="s">
        <v>29</v>
      </c>
      <c r="D251" t="s">
        <v>8</v>
      </c>
    </row>
    <row r="252" spans="1:4" x14ac:dyDescent="0.3">
      <c r="A252" t="s">
        <v>127</v>
      </c>
      <c r="B252" s="3">
        <v>0.89647031003688837</v>
      </c>
      <c r="C252" t="s">
        <v>29</v>
      </c>
      <c r="D252" t="s">
        <v>13</v>
      </c>
    </row>
    <row r="253" spans="1:4" x14ac:dyDescent="0.3">
      <c r="A253" t="s">
        <v>127</v>
      </c>
      <c r="B253" s="3">
        <v>0.94498361753299198</v>
      </c>
      <c r="C253" t="s">
        <v>29</v>
      </c>
      <c r="D253" t="s">
        <v>14</v>
      </c>
    </row>
    <row r="254" spans="1:4" x14ac:dyDescent="0.3">
      <c r="A254" t="s">
        <v>127</v>
      </c>
      <c r="B254" s="3">
        <v>0.73289252511038139</v>
      </c>
      <c r="C254" t="s">
        <v>30</v>
      </c>
      <c r="D254" t="s">
        <v>6</v>
      </c>
    </row>
    <row r="255" spans="1:4" x14ac:dyDescent="0.3">
      <c r="A255" t="s">
        <v>127</v>
      </c>
      <c r="B255" s="3">
        <v>0.46494695663125168</v>
      </c>
      <c r="C255" t="s">
        <v>31</v>
      </c>
      <c r="D255" t="s">
        <v>13</v>
      </c>
    </row>
    <row r="256" spans="1:4" x14ac:dyDescent="0.3">
      <c r="A256" t="s">
        <v>127</v>
      </c>
      <c r="B256" s="3">
        <v>0.86377341839642585</v>
      </c>
      <c r="C256" t="s">
        <v>32</v>
      </c>
    </row>
    <row r="257" spans="1:4" x14ac:dyDescent="0.3">
      <c r="A257" t="s">
        <v>127</v>
      </c>
      <c r="B257" s="3">
        <v>0.42548483121372027</v>
      </c>
      <c r="C257" t="s">
        <v>32</v>
      </c>
      <c r="D257" t="s">
        <v>6</v>
      </c>
    </row>
    <row r="258" spans="1:4" x14ac:dyDescent="0.3">
      <c r="A258" t="s">
        <v>127</v>
      </c>
      <c r="B258" s="3">
        <v>0.85898529961130299</v>
      </c>
      <c r="C258" t="s">
        <v>32</v>
      </c>
      <c r="D258" t="s">
        <v>16</v>
      </c>
    </row>
    <row r="259" spans="1:4" x14ac:dyDescent="0.3">
      <c r="A259" t="s">
        <v>127</v>
      </c>
      <c r="B259" s="3">
        <v>0.94402410205851961</v>
      </c>
      <c r="C259" t="s">
        <v>32</v>
      </c>
      <c r="D259" t="s">
        <v>13</v>
      </c>
    </row>
    <row r="260" spans="1:4" x14ac:dyDescent="0.3">
      <c r="A260" t="s">
        <v>127</v>
      </c>
      <c r="B260" s="3">
        <v>0.65397192545916427</v>
      </c>
      <c r="C260" t="s">
        <v>33</v>
      </c>
      <c r="D260" t="s">
        <v>10</v>
      </c>
    </row>
    <row r="261" spans="1:4" x14ac:dyDescent="0.3">
      <c r="A261" t="s">
        <v>127</v>
      </c>
      <c r="B261" s="3">
        <v>0.98826897068499164</v>
      </c>
      <c r="C261" t="s">
        <v>34</v>
      </c>
    </row>
    <row r="262" spans="1:4" x14ac:dyDescent="0.3">
      <c r="A262" t="s">
        <v>127</v>
      </c>
      <c r="B262" s="3">
        <v>0.90670478422340184</v>
      </c>
      <c r="C262" t="s">
        <v>34</v>
      </c>
      <c r="D262" t="s">
        <v>16</v>
      </c>
    </row>
    <row r="263" spans="1:4" x14ac:dyDescent="0.3">
      <c r="A263" t="s">
        <v>127</v>
      </c>
      <c r="B263" s="3">
        <v>0.83184484507471779</v>
      </c>
      <c r="C263" t="s">
        <v>35</v>
      </c>
      <c r="D263" t="s">
        <v>16</v>
      </c>
    </row>
    <row r="264" spans="1:4" x14ac:dyDescent="0.3">
      <c r="A264" t="s">
        <v>127</v>
      </c>
      <c r="B264" s="3">
        <v>0.79581522054740139</v>
      </c>
      <c r="C264" t="s">
        <v>36</v>
      </c>
      <c r="D264" t="s">
        <v>13</v>
      </c>
    </row>
    <row r="265" spans="1:4" x14ac:dyDescent="0.3">
      <c r="A265" t="s">
        <v>127</v>
      </c>
      <c r="B265" s="3">
        <v>0.8085483507909097</v>
      </c>
      <c r="C265" t="s">
        <v>37</v>
      </c>
      <c r="D265" t="s">
        <v>10</v>
      </c>
    </row>
    <row r="266" spans="1:4" x14ac:dyDescent="0.3">
      <c r="A266" t="s">
        <v>127</v>
      </c>
      <c r="B266" s="3">
        <v>0.88372852633757615</v>
      </c>
      <c r="C266" t="s">
        <v>38</v>
      </c>
    </row>
    <row r="267" spans="1:4" x14ac:dyDescent="0.3">
      <c r="A267" t="s">
        <v>127</v>
      </c>
      <c r="B267" s="3">
        <v>0.76604292442382604</v>
      </c>
      <c r="C267" t="s">
        <v>38</v>
      </c>
      <c r="D267" t="s">
        <v>14</v>
      </c>
    </row>
    <row r="268" spans="1:4" x14ac:dyDescent="0.3">
      <c r="A268" t="s">
        <v>127</v>
      </c>
      <c r="B268" s="3">
        <v>0.93533790275451401</v>
      </c>
      <c r="C268" t="s">
        <v>39</v>
      </c>
      <c r="D268" t="s">
        <v>6</v>
      </c>
    </row>
    <row r="269" spans="1:4" x14ac:dyDescent="0.3">
      <c r="A269" t="s">
        <v>127</v>
      </c>
      <c r="B269" s="3">
        <v>0.92855305977479075</v>
      </c>
      <c r="C269" t="s">
        <v>39</v>
      </c>
      <c r="D269" t="s">
        <v>10</v>
      </c>
    </row>
    <row r="270" spans="1:4" x14ac:dyDescent="0.3">
      <c r="A270" t="s">
        <v>127</v>
      </c>
      <c r="B270" s="3">
        <v>0.93547344774362662</v>
      </c>
      <c r="C270" t="s">
        <v>39</v>
      </c>
      <c r="D270" t="s">
        <v>8</v>
      </c>
    </row>
    <row r="271" spans="1:4" x14ac:dyDescent="0.3">
      <c r="A271" t="s">
        <v>127</v>
      </c>
      <c r="B271" s="3">
        <v>0.64047263080582961</v>
      </c>
      <c r="C271" t="s">
        <v>40</v>
      </c>
      <c r="D271" t="s">
        <v>6</v>
      </c>
    </row>
    <row r="272" spans="1:4" x14ac:dyDescent="0.3">
      <c r="A272" t="s">
        <v>127</v>
      </c>
      <c r="B272" s="3">
        <v>0.58490154606409883</v>
      </c>
      <c r="C272" t="s">
        <v>41</v>
      </c>
    </row>
    <row r="273" spans="1:4" x14ac:dyDescent="0.3">
      <c r="A273" t="s">
        <v>127</v>
      </c>
      <c r="B273" s="3">
        <v>0.40004361886323481</v>
      </c>
      <c r="C273" t="s">
        <v>41</v>
      </c>
      <c r="D273" t="s">
        <v>8</v>
      </c>
    </row>
    <row r="274" spans="1:4" x14ac:dyDescent="0.3">
      <c r="A274" t="s">
        <v>127</v>
      </c>
      <c r="B274" s="3">
        <v>0.94234047383507891</v>
      </c>
      <c r="C274" t="s">
        <v>42</v>
      </c>
      <c r="D274" t="s">
        <v>10</v>
      </c>
    </row>
    <row r="275" spans="1:4" x14ac:dyDescent="0.3">
      <c r="A275" t="s">
        <v>127</v>
      </c>
      <c r="B275" s="3">
        <v>0.94717035044362352</v>
      </c>
      <c r="C275" t="s">
        <v>42</v>
      </c>
      <c r="D275" t="s">
        <v>8</v>
      </c>
    </row>
    <row r="276" spans="1:4" x14ac:dyDescent="0.3">
      <c r="A276" t="s">
        <v>127</v>
      </c>
      <c r="B276" s="3">
        <v>0.7941623201663025</v>
      </c>
      <c r="C276" t="s">
        <v>43</v>
      </c>
      <c r="D276" t="s">
        <v>10</v>
      </c>
    </row>
    <row r="277" spans="1:4" x14ac:dyDescent="0.3">
      <c r="A277" t="s">
        <v>127</v>
      </c>
      <c r="B277" s="3">
        <v>0.95740054741471114</v>
      </c>
      <c r="C277" t="s">
        <v>44</v>
      </c>
      <c r="D277" t="s">
        <v>6</v>
      </c>
    </row>
    <row r="278" spans="1:4" x14ac:dyDescent="0.3">
      <c r="A278" t="s">
        <v>127</v>
      </c>
      <c r="B278" s="3">
        <v>0.95259730338370407</v>
      </c>
      <c r="C278" t="s">
        <v>44</v>
      </c>
      <c r="D278" t="s">
        <v>14</v>
      </c>
    </row>
    <row r="279" spans="1:4" x14ac:dyDescent="0.3">
      <c r="A279" t="s">
        <v>127</v>
      </c>
      <c r="B279" s="3">
        <v>0.45583929648864624</v>
      </c>
      <c r="C279" t="s">
        <v>45</v>
      </c>
      <c r="D279" t="s">
        <v>8</v>
      </c>
    </row>
    <row r="280" spans="1:4" x14ac:dyDescent="0.3">
      <c r="A280" t="s">
        <v>127</v>
      </c>
      <c r="B280" s="3">
        <v>0.30230129905248315</v>
      </c>
      <c r="C280" t="s">
        <v>46</v>
      </c>
      <c r="D280" t="s">
        <v>10</v>
      </c>
    </row>
    <row r="281" spans="1:4" x14ac:dyDescent="0.3">
      <c r="A281" t="s">
        <v>127</v>
      </c>
      <c r="B281" s="3">
        <v>0.82596324803962329</v>
      </c>
      <c r="C281" t="s">
        <v>47</v>
      </c>
      <c r="D281" t="s">
        <v>10</v>
      </c>
    </row>
    <row r="282" spans="1:4" x14ac:dyDescent="0.3">
      <c r="A282" t="s">
        <v>127</v>
      </c>
      <c r="B282" s="3">
        <v>0.82035079493215202</v>
      </c>
      <c r="C282" t="s">
        <v>47</v>
      </c>
      <c r="D282" t="s">
        <v>8</v>
      </c>
    </row>
    <row r="283" spans="1:4" x14ac:dyDescent="0.3">
      <c r="A283" t="s">
        <v>127</v>
      </c>
      <c r="B283" s="3">
        <v>0.80419731447214771</v>
      </c>
      <c r="C283" t="s">
        <v>47</v>
      </c>
      <c r="D283" t="s">
        <v>14</v>
      </c>
    </row>
    <row r="284" spans="1:4" x14ac:dyDescent="0.3">
      <c r="A284" t="s">
        <v>127</v>
      </c>
      <c r="B284" s="3">
        <v>0.77256732697476771</v>
      </c>
      <c r="C284" t="s">
        <v>48</v>
      </c>
      <c r="D284" t="s">
        <v>6</v>
      </c>
    </row>
    <row r="285" spans="1:4" x14ac:dyDescent="0.3">
      <c r="A285" t="s">
        <v>127</v>
      </c>
      <c r="B285" s="3">
        <v>0.8534447411480921</v>
      </c>
      <c r="C285" t="s">
        <v>48</v>
      </c>
      <c r="D285" t="s">
        <v>10</v>
      </c>
    </row>
    <row r="286" spans="1:4" x14ac:dyDescent="0.3">
      <c r="A286" t="s">
        <v>127</v>
      </c>
      <c r="B286" s="3">
        <v>0.68300239745173164</v>
      </c>
      <c r="C286" t="s">
        <v>48</v>
      </c>
      <c r="D286" t="s">
        <v>14</v>
      </c>
    </row>
    <row r="287" spans="1:4" x14ac:dyDescent="0.3">
      <c r="A287" t="s">
        <v>127</v>
      </c>
      <c r="B287" s="3">
        <v>0.70343922988426366</v>
      </c>
      <c r="C287" t="s">
        <v>49</v>
      </c>
    </row>
    <row r="288" spans="1:4" x14ac:dyDescent="0.3">
      <c r="A288" t="s">
        <v>127</v>
      </c>
      <c r="B288" s="3">
        <v>0.83432856629910468</v>
      </c>
      <c r="C288" t="s">
        <v>49</v>
      </c>
      <c r="D288" t="s">
        <v>16</v>
      </c>
    </row>
    <row r="289" spans="1:4" x14ac:dyDescent="0.3">
      <c r="A289" t="s">
        <v>127</v>
      </c>
      <c r="B289" s="3">
        <v>0.89458173507357408</v>
      </c>
      <c r="C289" t="s">
        <v>50</v>
      </c>
      <c r="D289" t="s">
        <v>10</v>
      </c>
    </row>
    <row r="290" spans="1:4" x14ac:dyDescent="0.3">
      <c r="A290" t="s">
        <v>127</v>
      </c>
      <c r="B290" s="3">
        <v>0.81002856953474611</v>
      </c>
      <c r="C290" t="s">
        <v>50</v>
      </c>
      <c r="D290" t="s">
        <v>14</v>
      </c>
    </row>
    <row r="291" spans="1:4" x14ac:dyDescent="0.3">
      <c r="A291" t="s">
        <v>127</v>
      </c>
      <c r="B291" s="3">
        <v>0.93786724272879674</v>
      </c>
      <c r="C291" t="s">
        <v>51</v>
      </c>
      <c r="D291" t="s">
        <v>8</v>
      </c>
    </row>
    <row r="292" spans="1:4" x14ac:dyDescent="0.3">
      <c r="A292" t="s">
        <v>127</v>
      </c>
      <c r="B292" s="3">
        <v>0.65944239475863808</v>
      </c>
      <c r="C292" t="s">
        <v>52</v>
      </c>
      <c r="D292" t="s">
        <v>6</v>
      </c>
    </row>
    <row r="293" spans="1:4" x14ac:dyDescent="0.3">
      <c r="A293" t="s">
        <v>127</v>
      </c>
      <c r="B293" s="3">
        <v>0.33800758466743702</v>
      </c>
      <c r="C293" t="s">
        <v>52</v>
      </c>
      <c r="D293" t="s">
        <v>13</v>
      </c>
    </row>
    <row r="294" spans="1:4" x14ac:dyDescent="0.3">
      <c r="A294" t="s">
        <v>127</v>
      </c>
      <c r="B294" s="3">
        <v>0.9415910642444465</v>
      </c>
      <c r="C294" t="s">
        <v>53</v>
      </c>
      <c r="D294" t="s">
        <v>8</v>
      </c>
    </row>
    <row r="295" spans="1:4" x14ac:dyDescent="0.3">
      <c r="A295" t="s">
        <v>127</v>
      </c>
      <c r="B295" s="3">
        <v>0.82567427705160468</v>
      </c>
      <c r="C295" t="s">
        <v>54</v>
      </c>
    </row>
    <row r="296" spans="1:4" x14ac:dyDescent="0.3">
      <c r="A296" t="s">
        <v>127</v>
      </c>
      <c r="B296" s="3">
        <v>0.80267085603367838</v>
      </c>
      <c r="C296" t="s">
        <v>54</v>
      </c>
      <c r="D296" t="s">
        <v>16</v>
      </c>
    </row>
    <row r="297" spans="1:4" x14ac:dyDescent="0.3">
      <c r="A297" t="s">
        <v>127</v>
      </c>
      <c r="B297" s="3">
        <v>0.67946154164966355</v>
      </c>
      <c r="C297" t="s">
        <v>54</v>
      </c>
      <c r="D297" t="s">
        <v>10</v>
      </c>
    </row>
    <row r="298" spans="1:4" x14ac:dyDescent="0.3">
      <c r="A298" t="s">
        <v>127</v>
      </c>
      <c r="B298" s="3">
        <v>0.81078408020855253</v>
      </c>
      <c r="C298" t="s">
        <v>54</v>
      </c>
      <c r="D298" t="s">
        <v>13</v>
      </c>
    </row>
    <row r="299" spans="1:4" x14ac:dyDescent="0.3">
      <c r="A299" t="s">
        <v>127</v>
      </c>
      <c r="B299" s="3">
        <v>0.48557358336730538</v>
      </c>
      <c r="C299" t="s">
        <v>54</v>
      </c>
      <c r="D299" t="s">
        <v>14</v>
      </c>
    </row>
    <row r="300" spans="1:4" x14ac:dyDescent="0.3">
      <c r="A300" t="s">
        <v>127</v>
      </c>
      <c r="B300" s="3">
        <v>0.7006741630810871</v>
      </c>
      <c r="C300" t="s">
        <v>55</v>
      </c>
      <c r="D300" t="s">
        <v>6</v>
      </c>
    </row>
    <row r="301" spans="1:4" x14ac:dyDescent="0.3">
      <c r="A301" t="s">
        <v>127</v>
      </c>
      <c r="B301" s="3">
        <v>0.83408421777111541</v>
      </c>
      <c r="C301" t="s">
        <v>55</v>
      </c>
      <c r="D301" t="s">
        <v>10</v>
      </c>
    </row>
    <row r="302" spans="1:4" x14ac:dyDescent="0.3">
      <c r="A302" t="s">
        <v>127</v>
      </c>
      <c r="B302" s="3">
        <v>0.81036254494315185</v>
      </c>
      <c r="C302" t="s">
        <v>55</v>
      </c>
      <c r="D302" t="s">
        <v>8</v>
      </c>
    </row>
    <row r="303" spans="1:4" x14ac:dyDescent="0.3">
      <c r="A303" t="s">
        <v>127</v>
      </c>
      <c r="B303" s="3">
        <v>0.7089377931851093</v>
      </c>
      <c r="C303" t="s">
        <v>55</v>
      </c>
      <c r="D303" t="s">
        <v>13</v>
      </c>
    </row>
    <row r="304" spans="1:4" x14ac:dyDescent="0.3">
      <c r="A304" t="s">
        <v>127</v>
      </c>
      <c r="B304" s="3">
        <v>0.77674541943861253</v>
      </c>
      <c r="C304" t="s">
        <v>55</v>
      </c>
      <c r="D304" t="s">
        <v>14</v>
      </c>
    </row>
    <row r="305" spans="1:4" x14ac:dyDescent="0.3">
      <c r="A305" t="s">
        <v>127</v>
      </c>
      <c r="B305" s="3">
        <v>0.9586684878819931</v>
      </c>
      <c r="C305" t="s">
        <v>56</v>
      </c>
      <c r="D305" t="s">
        <v>8</v>
      </c>
    </row>
    <row r="306" spans="1:4" x14ac:dyDescent="0.3">
      <c r="A306" t="s">
        <v>127</v>
      </c>
      <c r="B306" s="3">
        <v>0.79764285506939236</v>
      </c>
      <c r="C306" t="s">
        <v>57</v>
      </c>
      <c r="D306" t="s">
        <v>16</v>
      </c>
    </row>
    <row r="307" spans="1:4" x14ac:dyDescent="0.3">
      <c r="A307" t="s">
        <v>127</v>
      </c>
      <c r="B307" s="3">
        <v>0.68428418864839979</v>
      </c>
      <c r="C307" t="s">
        <v>58</v>
      </c>
      <c r="D307" t="s">
        <v>10</v>
      </c>
    </row>
    <row r="308" spans="1:4" x14ac:dyDescent="0.3">
      <c r="A308" t="s">
        <v>127</v>
      </c>
      <c r="B308" s="3">
        <v>0.78187438475229587</v>
      </c>
      <c r="C308" t="s">
        <v>59</v>
      </c>
      <c r="D308" t="s">
        <v>16</v>
      </c>
    </row>
    <row r="309" spans="1:4" x14ac:dyDescent="0.3">
      <c r="A309" t="s">
        <v>127</v>
      </c>
      <c r="B309" s="3">
        <v>1</v>
      </c>
      <c r="C309" t="s">
        <v>60</v>
      </c>
      <c r="D309" t="s">
        <v>14</v>
      </c>
    </row>
    <row r="310" spans="1:4" x14ac:dyDescent="0.3">
      <c r="A310" t="s">
        <v>127</v>
      </c>
      <c r="B310" s="3">
        <v>0.89042630275978429</v>
      </c>
      <c r="C310" t="s">
        <v>61</v>
      </c>
      <c r="D310" t="s">
        <v>10</v>
      </c>
    </row>
    <row r="311" spans="1:4" x14ac:dyDescent="0.3">
      <c r="A311" t="s">
        <v>127</v>
      </c>
      <c r="B311" s="3">
        <v>0.63577034263837107</v>
      </c>
      <c r="C311" t="s">
        <v>62</v>
      </c>
      <c r="D311" t="s">
        <v>14</v>
      </c>
    </row>
    <row r="312" spans="1:4" x14ac:dyDescent="0.3">
      <c r="A312" t="s">
        <v>127</v>
      </c>
      <c r="B312" s="3">
        <v>0.94746858259337785</v>
      </c>
      <c r="C312" t="s">
        <v>63</v>
      </c>
      <c r="D312" t="s">
        <v>6</v>
      </c>
    </row>
    <row r="313" spans="1:4" x14ac:dyDescent="0.3">
      <c r="A313" t="s">
        <v>127</v>
      </c>
      <c r="B313" s="3">
        <v>0.96831928476252527</v>
      </c>
      <c r="C313" t="s">
        <v>64</v>
      </c>
      <c r="D313" t="s">
        <v>16</v>
      </c>
    </row>
    <row r="314" spans="1:4" x14ac:dyDescent="0.3">
      <c r="A314" t="s">
        <v>127</v>
      </c>
      <c r="B314" s="3">
        <v>0.9042597190624746</v>
      </c>
      <c r="C314" t="s">
        <v>64</v>
      </c>
      <c r="D314" t="s">
        <v>13</v>
      </c>
    </row>
    <row r="315" spans="1:4" x14ac:dyDescent="0.3">
      <c r="A315" t="s">
        <v>127</v>
      </c>
      <c r="B315" s="3">
        <v>0.74286257223308094</v>
      </c>
      <c r="C315" t="s">
        <v>65</v>
      </c>
      <c r="D315" t="s">
        <v>8</v>
      </c>
    </row>
    <row r="316" spans="1:4" x14ac:dyDescent="0.3">
      <c r="A316" t="s">
        <v>127</v>
      </c>
      <c r="B316" s="3">
        <v>0.92659708490323234</v>
      </c>
      <c r="C316" t="s">
        <v>66</v>
      </c>
      <c r="D316" t="s">
        <v>16</v>
      </c>
    </row>
    <row r="317" spans="1:4" x14ac:dyDescent="0.3">
      <c r="A317" t="s">
        <v>127</v>
      </c>
      <c r="B317" s="3">
        <v>0.64375778329214239</v>
      </c>
      <c r="C317" t="s">
        <v>67</v>
      </c>
      <c r="D317" t="s">
        <v>16</v>
      </c>
    </row>
    <row r="318" spans="1:4" x14ac:dyDescent="0.3">
      <c r="A318" t="s">
        <v>127</v>
      </c>
      <c r="B318" s="3">
        <v>0.29972487480599153</v>
      </c>
      <c r="C318" t="s">
        <v>68</v>
      </c>
      <c r="D318" t="s">
        <v>13</v>
      </c>
    </row>
    <row r="319" spans="1:4" x14ac:dyDescent="0.3">
      <c r="A319" t="s">
        <v>127</v>
      </c>
      <c r="B319" s="3">
        <v>0.84796348734007865</v>
      </c>
      <c r="C319" t="s">
        <v>69</v>
      </c>
      <c r="D319" t="s">
        <v>6</v>
      </c>
    </row>
    <row r="320" spans="1:4" x14ac:dyDescent="0.3">
      <c r="A320" t="s">
        <v>127</v>
      </c>
      <c r="B320" s="3">
        <v>0.76301571424284864</v>
      </c>
      <c r="C320" t="s">
        <v>69</v>
      </c>
      <c r="D320" t="s">
        <v>16</v>
      </c>
    </row>
    <row r="321" spans="1:4" x14ac:dyDescent="0.3">
      <c r="A321" t="s">
        <v>127</v>
      </c>
      <c r="B321" s="3">
        <v>0.93972992005493616</v>
      </c>
      <c r="C321" t="s">
        <v>69</v>
      </c>
      <c r="D321" t="s">
        <v>10</v>
      </c>
    </row>
    <row r="322" spans="1:4" x14ac:dyDescent="0.3">
      <c r="A322" t="s">
        <v>127</v>
      </c>
      <c r="B322" s="3">
        <v>0.86256447574648742</v>
      </c>
      <c r="C322" t="s">
        <v>69</v>
      </c>
      <c r="D322" t="s">
        <v>8</v>
      </c>
    </row>
    <row r="323" spans="1:4" x14ac:dyDescent="0.3">
      <c r="A323" t="s">
        <v>127</v>
      </c>
      <c r="B323" s="3">
        <v>0.87072650456731371</v>
      </c>
      <c r="C323" t="s">
        <v>69</v>
      </c>
      <c r="D323" t="s">
        <v>13</v>
      </c>
    </row>
    <row r="324" spans="1:4" x14ac:dyDescent="0.3">
      <c r="A324" t="s">
        <v>127</v>
      </c>
      <c r="B324" s="3">
        <v>0.86341495905355492</v>
      </c>
      <c r="C324" t="s">
        <v>69</v>
      </c>
      <c r="D324" t="s">
        <v>14</v>
      </c>
    </row>
    <row r="325" spans="1:4" x14ac:dyDescent="0.3">
      <c r="A325" t="s">
        <v>127</v>
      </c>
      <c r="B325" s="3">
        <v>0.79708941040615278</v>
      </c>
      <c r="C325" t="s">
        <v>70</v>
      </c>
      <c r="D325" t="s">
        <v>6</v>
      </c>
    </row>
    <row r="326" spans="1:4" x14ac:dyDescent="0.3">
      <c r="A326" t="s">
        <v>127</v>
      </c>
      <c r="B326" s="3">
        <v>0.90150101047643816</v>
      </c>
      <c r="C326" t="s">
        <v>70</v>
      </c>
      <c r="D326" t="s">
        <v>10</v>
      </c>
    </row>
    <row r="327" spans="1:4" x14ac:dyDescent="0.3">
      <c r="A327" t="s">
        <v>127</v>
      </c>
      <c r="B327" s="3">
        <v>0.87945625514844261</v>
      </c>
      <c r="C327" t="s">
        <v>70</v>
      </c>
      <c r="D327" t="s">
        <v>8</v>
      </c>
    </row>
    <row r="328" spans="1:4" x14ac:dyDescent="0.3">
      <c r="A328" t="s">
        <v>127</v>
      </c>
      <c r="B328" s="3">
        <v>0.84910141799959649</v>
      </c>
      <c r="C328" t="s">
        <v>70</v>
      </c>
      <c r="D328" t="s">
        <v>13</v>
      </c>
    </row>
    <row r="329" spans="1:4" x14ac:dyDescent="0.3">
      <c r="A329" t="s">
        <v>127</v>
      </c>
      <c r="B329" s="3">
        <v>0.93768968537688446</v>
      </c>
      <c r="C329" t="s">
        <v>70</v>
      </c>
      <c r="D329" t="s">
        <v>14</v>
      </c>
    </row>
    <row r="330" spans="1:4" x14ac:dyDescent="0.3">
      <c r="A330" t="s">
        <v>127</v>
      </c>
      <c r="B330" s="3">
        <v>0.64109037515521738</v>
      </c>
      <c r="C330" t="s">
        <v>71</v>
      </c>
      <c r="D330" t="s">
        <v>14</v>
      </c>
    </row>
    <row r="331" spans="1:4" x14ac:dyDescent="0.3">
      <c r="A331" t="s">
        <v>127</v>
      </c>
      <c r="B331" s="3">
        <v>0.82517760408467467</v>
      </c>
      <c r="C331" t="s">
        <v>72</v>
      </c>
      <c r="D331" t="s">
        <v>10</v>
      </c>
    </row>
    <row r="332" spans="1:4" x14ac:dyDescent="0.3">
      <c r="A332" t="s">
        <v>127</v>
      </c>
      <c r="B332" s="3">
        <v>0.89512672408550131</v>
      </c>
      <c r="C332" t="s">
        <v>72</v>
      </c>
      <c r="D332" t="s">
        <v>8</v>
      </c>
    </row>
    <row r="333" spans="1:4" x14ac:dyDescent="0.3">
      <c r="A333" t="s">
        <v>127</v>
      </c>
      <c r="B333" s="3">
        <v>0.88438477280654615</v>
      </c>
      <c r="C333" t="s">
        <v>72</v>
      </c>
      <c r="D333" t="s">
        <v>14</v>
      </c>
    </row>
    <row r="334" spans="1:4" x14ac:dyDescent="0.3">
      <c r="A334" t="s">
        <v>127</v>
      </c>
      <c r="B334" s="3">
        <v>0.24847956891520936</v>
      </c>
      <c r="C334" t="s">
        <v>73</v>
      </c>
      <c r="D334" t="s">
        <v>6</v>
      </c>
    </row>
    <row r="335" spans="1:4" x14ac:dyDescent="0.3">
      <c r="A335" t="s">
        <v>127</v>
      </c>
      <c r="B335" s="3">
        <v>0.95166983543220396</v>
      </c>
      <c r="C335" t="s">
        <v>74</v>
      </c>
      <c r="D335" t="s">
        <v>14</v>
      </c>
    </row>
    <row r="336" spans="1:4" x14ac:dyDescent="0.3">
      <c r="A336" t="s">
        <v>127</v>
      </c>
      <c r="B336" s="3">
        <v>0.83971367942928876</v>
      </c>
      <c r="C336" t="s">
        <v>75</v>
      </c>
      <c r="D336" t="s">
        <v>8</v>
      </c>
    </row>
    <row r="337" spans="1:4" x14ac:dyDescent="0.3">
      <c r="A337" t="s">
        <v>127</v>
      </c>
      <c r="B337" s="3">
        <v>0.64903258764594707</v>
      </c>
      <c r="C337" t="s">
        <v>76</v>
      </c>
    </row>
    <row r="338" spans="1:4" x14ac:dyDescent="0.3">
      <c r="A338" t="s">
        <v>127</v>
      </c>
      <c r="B338" s="3">
        <v>0.45775996658243134</v>
      </c>
      <c r="C338" t="s">
        <v>76</v>
      </c>
      <c r="D338" t="s">
        <v>6</v>
      </c>
    </row>
    <row r="339" spans="1:4" x14ac:dyDescent="0.3">
      <c r="A339" t="s">
        <v>127</v>
      </c>
      <c r="B339" s="3">
        <v>0.6954503262245787</v>
      </c>
      <c r="C339" t="s">
        <v>76</v>
      </c>
      <c r="D339" t="s">
        <v>16</v>
      </c>
    </row>
    <row r="340" spans="1:4" x14ac:dyDescent="0.3">
      <c r="A340" t="s">
        <v>127</v>
      </c>
      <c r="B340" s="3">
        <v>0.70129199187559588</v>
      </c>
      <c r="C340" t="s">
        <v>76</v>
      </c>
      <c r="D340" t="s">
        <v>10</v>
      </c>
    </row>
    <row r="341" spans="1:4" x14ac:dyDescent="0.3">
      <c r="A341" t="s">
        <v>127</v>
      </c>
      <c r="B341" s="3">
        <v>0.77814847466271331</v>
      </c>
      <c r="C341" t="s">
        <v>77</v>
      </c>
      <c r="D341" t="s">
        <v>14</v>
      </c>
    </row>
    <row r="342" spans="1:4" x14ac:dyDescent="0.3">
      <c r="A342" t="s">
        <v>127</v>
      </c>
      <c r="B342" s="3">
        <v>0.91648171653210586</v>
      </c>
      <c r="C342" t="s">
        <v>78</v>
      </c>
      <c r="D342" t="s">
        <v>6</v>
      </c>
    </row>
    <row r="343" spans="1:4" x14ac:dyDescent="0.3">
      <c r="A343" t="s">
        <v>127</v>
      </c>
      <c r="B343" s="3">
        <v>0.91882393442026111</v>
      </c>
      <c r="C343" t="s">
        <v>78</v>
      </c>
      <c r="D343" t="s">
        <v>10</v>
      </c>
    </row>
    <row r="344" spans="1:4" x14ac:dyDescent="0.3">
      <c r="A344" t="s">
        <v>127</v>
      </c>
      <c r="B344" s="3">
        <v>0.92624186338598813</v>
      </c>
      <c r="C344" t="s">
        <v>78</v>
      </c>
      <c r="D344" t="s">
        <v>8</v>
      </c>
    </row>
    <row r="345" spans="1:4" x14ac:dyDescent="0.3">
      <c r="A345" t="s">
        <v>127</v>
      </c>
      <c r="B345" s="3">
        <v>0.84739068864657341</v>
      </c>
      <c r="C345" t="s">
        <v>78</v>
      </c>
      <c r="D345" t="s">
        <v>13</v>
      </c>
    </row>
    <row r="346" spans="1:4" x14ac:dyDescent="0.3">
      <c r="A346" t="s">
        <v>127</v>
      </c>
      <c r="B346" s="3">
        <v>0.92971578922057108</v>
      </c>
      <c r="C346" t="s">
        <v>78</v>
      </c>
      <c r="D346" t="s">
        <v>14</v>
      </c>
    </row>
    <row r="347" spans="1:4" x14ac:dyDescent="0.3">
      <c r="A347" t="s">
        <v>127</v>
      </c>
      <c r="B347" s="3">
        <v>0.88114174620007057</v>
      </c>
      <c r="C347" t="s">
        <v>79</v>
      </c>
      <c r="D347" t="s">
        <v>10</v>
      </c>
    </row>
    <row r="348" spans="1:4" x14ac:dyDescent="0.3">
      <c r="A348" t="s">
        <v>127</v>
      </c>
      <c r="B348" s="3">
        <v>0.85510320242417037</v>
      </c>
      <c r="C348" t="s">
        <v>79</v>
      </c>
      <c r="D348" t="s">
        <v>8</v>
      </c>
    </row>
    <row r="349" spans="1:4" x14ac:dyDescent="0.3">
      <c r="A349" t="s">
        <v>127</v>
      </c>
      <c r="B349" s="3">
        <v>0.80247340134685152</v>
      </c>
      <c r="C349" t="s">
        <v>79</v>
      </c>
      <c r="D349" t="s">
        <v>14</v>
      </c>
    </row>
    <row r="350" spans="1:4" x14ac:dyDescent="0.3">
      <c r="A350" t="s">
        <v>127</v>
      </c>
      <c r="B350" s="3">
        <v>0.92901252448336635</v>
      </c>
      <c r="C350" t="s">
        <v>80</v>
      </c>
      <c r="D350" t="s">
        <v>6</v>
      </c>
    </row>
    <row r="351" spans="1:4" x14ac:dyDescent="0.3">
      <c r="A351" t="s">
        <v>127</v>
      </c>
      <c r="B351" s="3">
        <v>0.86120869446430981</v>
      </c>
      <c r="C351" t="s">
        <v>80</v>
      </c>
      <c r="D351" t="s">
        <v>16</v>
      </c>
    </row>
    <row r="352" spans="1:4" x14ac:dyDescent="0.3">
      <c r="A352" t="s">
        <v>127</v>
      </c>
      <c r="B352" s="3">
        <v>0.92863577138551168</v>
      </c>
      <c r="C352" t="s">
        <v>80</v>
      </c>
      <c r="D352" t="s">
        <v>10</v>
      </c>
    </row>
    <row r="353" spans="1:4" x14ac:dyDescent="0.3">
      <c r="A353" t="s">
        <v>127</v>
      </c>
      <c r="B353" s="3">
        <v>0.92763763600237736</v>
      </c>
      <c r="C353" t="s">
        <v>80</v>
      </c>
      <c r="D353" t="s">
        <v>8</v>
      </c>
    </row>
    <row r="354" spans="1:4" x14ac:dyDescent="0.3">
      <c r="A354" t="s">
        <v>127</v>
      </c>
      <c r="B354" s="3">
        <v>0.92005334383085435</v>
      </c>
      <c r="C354" t="s">
        <v>80</v>
      </c>
      <c r="D354" t="s">
        <v>13</v>
      </c>
    </row>
    <row r="355" spans="1:4" x14ac:dyDescent="0.3">
      <c r="A355" t="s">
        <v>127</v>
      </c>
      <c r="B355" s="3">
        <v>0.92225415032613878</v>
      </c>
      <c r="C355" t="s">
        <v>80</v>
      </c>
      <c r="D355" t="s">
        <v>14</v>
      </c>
    </row>
    <row r="356" spans="1:4" x14ac:dyDescent="0.3">
      <c r="A356" t="s">
        <v>127</v>
      </c>
      <c r="B356" s="3">
        <v>0.94475832107100932</v>
      </c>
      <c r="C356" t="s">
        <v>81</v>
      </c>
      <c r="D356" t="s">
        <v>14</v>
      </c>
    </row>
    <row r="357" spans="1:4" x14ac:dyDescent="0.3">
      <c r="A357" t="s">
        <v>127</v>
      </c>
      <c r="B357" s="3">
        <v>0.8084268038357022</v>
      </c>
      <c r="C357" t="s">
        <v>82</v>
      </c>
      <c r="D357" t="s">
        <v>10</v>
      </c>
    </row>
    <row r="358" spans="1:4" x14ac:dyDescent="0.3">
      <c r="A358" t="s">
        <v>127</v>
      </c>
      <c r="B358" s="3">
        <v>0.96914923901748562</v>
      </c>
      <c r="C358" t="s">
        <v>83</v>
      </c>
      <c r="D358" t="s">
        <v>10</v>
      </c>
    </row>
    <row r="359" spans="1:4" x14ac:dyDescent="0.3">
      <c r="A359" t="s">
        <v>127</v>
      </c>
      <c r="B359" s="3">
        <v>0.93485049841842038</v>
      </c>
      <c r="C359" t="s">
        <v>83</v>
      </c>
      <c r="D359" t="s">
        <v>8</v>
      </c>
    </row>
    <row r="360" spans="1:4" x14ac:dyDescent="0.3">
      <c r="A360" t="s">
        <v>127</v>
      </c>
      <c r="B360" s="3">
        <v>0.80861702460539409</v>
      </c>
      <c r="C360" t="s">
        <v>84</v>
      </c>
      <c r="D360" t="s">
        <v>8</v>
      </c>
    </row>
    <row r="361" spans="1:4" x14ac:dyDescent="0.3">
      <c r="A361" t="s">
        <v>127</v>
      </c>
      <c r="B361" s="3">
        <v>0.96941421404456718</v>
      </c>
      <c r="C361" t="s">
        <v>85</v>
      </c>
      <c r="D361" t="s">
        <v>13</v>
      </c>
    </row>
    <row r="362" spans="1:4" x14ac:dyDescent="0.3">
      <c r="A362" t="s">
        <v>127</v>
      </c>
      <c r="B362" s="3">
        <v>0.89159282087931702</v>
      </c>
      <c r="C362" t="s">
        <v>86</v>
      </c>
      <c r="D362" t="s">
        <v>6</v>
      </c>
    </row>
    <row r="363" spans="1:4" x14ac:dyDescent="0.3">
      <c r="A363" t="s">
        <v>127</v>
      </c>
      <c r="B363" s="3">
        <v>0.9802305745183103</v>
      </c>
      <c r="C363" t="s">
        <v>86</v>
      </c>
      <c r="D363" t="s">
        <v>16</v>
      </c>
    </row>
    <row r="364" spans="1:4" x14ac:dyDescent="0.3">
      <c r="A364" t="s">
        <v>127</v>
      </c>
      <c r="B364" s="3">
        <v>0.93505609383185051</v>
      </c>
      <c r="C364" t="s">
        <v>86</v>
      </c>
      <c r="D364" t="s">
        <v>10</v>
      </c>
    </row>
    <row r="365" spans="1:4" x14ac:dyDescent="0.3">
      <c r="A365" t="s">
        <v>127</v>
      </c>
      <c r="B365" s="3">
        <v>0.87858530093984755</v>
      </c>
      <c r="C365" t="s">
        <v>86</v>
      </c>
      <c r="D365" t="s">
        <v>8</v>
      </c>
    </row>
    <row r="366" spans="1:4" x14ac:dyDescent="0.3">
      <c r="A366" t="s">
        <v>127</v>
      </c>
      <c r="B366" s="3">
        <v>0.92445599324135685</v>
      </c>
      <c r="C366" t="s">
        <v>86</v>
      </c>
      <c r="D366" t="s">
        <v>13</v>
      </c>
    </row>
    <row r="367" spans="1:4" x14ac:dyDescent="0.3">
      <c r="A367" t="s">
        <v>127</v>
      </c>
      <c r="B367" s="3">
        <v>0.90909701062632942</v>
      </c>
      <c r="C367" t="s">
        <v>86</v>
      </c>
      <c r="D367" t="s">
        <v>14</v>
      </c>
    </row>
    <row r="368" spans="1:4" x14ac:dyDescent="0.3">
      <c r="A368" t="s">
        <v>127</v>
      </c>
      <c r="B368" s="3">
        <v>0.84654840927331843</v>
      </c>
      <c r="C368" t="s">
        <v>87</v>
      </c>
    </row>
    <row r="369" spans="1:4" x14ac:dyDescent="0.3">
      <c r="A369" t="s">
        <v>127</v>
      </c>
      <c r="B369" s="3">
        <v>0.92549070224161489</v>
      </c>
      <c r="C369" t="s">
        <v>87</v>
      </c>
      <c r="D369" t="s">
        <v>6</v>
      </c>
    </row>
    <row r="370" spans="1:4" x14ac:dyDescent="0.3">
      <c r="A370" t="s">
        <v>127</v>
      </c>
      <c r="B370" s="3">
        <v>0.68417169445627624</v>
      </c>
      <c r="C370" t="s">
        <v>88</v>
      </c>
      <c r="D370" t="s">
        <v>6</v>
      </c>
    </row>
    <row r="371" spans="1:4" x14ac:dyDescent="0.3">
      <c r="A371" t="s">
        <v>127</v>
      </c>
      <c r="B371" s="3">
        <v>0.97273301796507683</v>
      </c>
      <c r="C371" t="s">
        <v>89</v>
      </c>
      <c r="D371" t="s">
        <v>8</v>
      </c>
    </row>
    <row r="372" spans="1:4" x14ac:dyDescent="0.3">
      <c r="A372" t="s">
        <v>127</v>
      </c>
      <c r="B372" s="3">
        <v>0.91621197790031972</v>
      </c>
      <c r="C372" t="s">
        <v>90</v>
      </c>
      <c r="D372" t="s">
        <v>6</v>
      </c>
    </row>
    <row r="373" spans="1:4" x14ac:dyDescent="0.3">
      <c r="A373" t="s">
        <v>127</v>
      </c>
      <c r="B373" s="3">
        <v>0.84850630358433043</v>
      </c>
      <c r="C373" t="s">
        <v>90</v>
      </c>
      <c r="D373" t="s">
        <v>10</v>
      </c>
    </row>
    <row r="374" spans="1:4" x14ac:dyDescent="0.3">
      <c r="A374" t="s">
        <v>127</v>
      </c>
      <c r="B374" s="3">
        <v>0.84130288922083951</v>
      </c>
      <c r="C374" t="s">
        <v>90</v>
      </c>
      <c r="D374" t="s">
        <v>8</v>
      </c>
    </row>
    <row r="375" spans="1:4" x14ac:dyDescent="0.3">
      <c r="A375" t="s">
        <v>127</v>
      </c>
      <c r="B375" s="3">
        <v>0.93055965990097866</v>
      </c>
      <c r="C375" t="s">
        <v>90</v>
      </c>
      <c r="D375" t="s">
        <v>13</v>
      </c>
    </row>
    <row r="376" spans="1:4" x14ac:dyDescent="0.3">
      <c r="A376" t="s">
        <v>127</v>
      </c>
      <c r="B376" s="3">
        <v>0.4319507735837021</v>
      </c>
      <c r="C376" t="s">
        <v>91</v>
      </c>
      <c r="D376" t="s">
        <v>8</v>
      </c>
    </row>
    <row r="377" spans="1:4" x14ac:dyDescent="0.3">
      <c r="A377" t="s">
        <v>127</v>
      </c>
      <c r="B377" s="3">
        <v>0.66446760284319895</v>
      </c>
      <c r="C377" t="s">
        <v>92</v>
      </c>
      <c r="D377" t="s">
        <v>16</v>
      </c>
    </row>
    <row r="378" spans="1:4" x14ac:dyDescent="0.3">
      <c r="A378" t="s">
        <v>127</v>
      </c>
      <c r="B378" s="3">
        <v>0.97764232286171127</v>
      </c>
      <c r="C378" t="s">
        <v>93</v>
      </c>
      <c r="D378" t="s">
        <v>14</v>
      </c>
    </row>
    <row r="379" spans="1:4" x14ac:dyDescent="0.3">
      <c r="A379" t="s">
        <v>127</v>
      </c>
      <c r="B379" s="3">
        <v>0.86862550964982854</v>
      </c>
      <c r="C379" t="s">
        <v>94</v>
      </c>
    </row>
    <row r="380" spans="1:4" x14ac:dyDescent="0.3">
      <c r="A380" t="s">
        <v>127</v>
      </c>
      <c r="B380" s="3">
        <v>0.77678757384614028</v>
      </c>
      <c r="C380" t="s">
        <v>94</v>
      </c>
      <c r="D380" t="s">
        <v>6</v>
      </c>
    </row>
    <row r="381" spans="1:4" x14ac:dyDescent="0.3">
      <c r="A381" t="s">
        <v>127</v>
      </c>
      <c r="B381" s="3">
        <v>0.79886208371887191</v>
      </c>
      <c r="C381" t="s">
        <v>95</v>
      </c>
      <c r="D381" t="s">
        <v>16</v>
      </c>
    </row>
    <row r="382" spans="1:4" x14ac:dyDescent="0.3">
      <c r="A382" t="s">
        <v>127</v>
      </c>
      <c r="B382" s="3">
        <v>0.63082659600612445</v>
      </c>
      <c r="C382" t="s">
        <v>96</v>
      </c>
      <c r="D382" t="s">
        <v>8</v>
      </c>
    </row>
    <row r="383" spans="1:4" x14ac:dyDescent="0.3">
      <c r="A383" t="s">
        <v>127</v>
      </c>
      <c r="B383" s="3">
        <v>0.94904500259088342</v>
      </c>
      <c r="C383" t="s">
        <v>97</v>
      </c>
      <c r="D383" t="s">
        <v>6</v>
      </c>
    </row>
    <row r="384" spans="1:4" x14ac:dyDescent="0.3">
      <c r="A384" t="s">
        <v>127</v>
      </c>
      <c r="B384" s="3">
        <v>0.82247231701157908</v>
      </c>
      <c r="C384" t="s">
        <v>97</v>
      </c>
      <c r="D384" t="s">
        <v>16</v>
      </c>
    </row>
    <row r="385" spans="1:4" x14ac:dyDescent="0.3">
      <c r="A385" t="s">
        <v>127</v>
      </c>
      <c r="B385" s="3">
        <v>0.93841022577989464</v>
      </c>
      <c r="C385" t="s">
        <v>97</v>
      </c>
      <c r="D385" t="s">
        <v>10</v>
      </c>
    </row>
    <row r="386" spans="1:4" x14ac:dyDescent="0.3">
      <c r="A386" t="s">
        <v>127</v>
      </c>
      <c r="B386" s="3">
        <v>0.94282604332032161</v>
      </c>
      <c r="C386" t="s">
        <v>97</v>
      </c>
      <c r="D386" t="s">
        <v>8</v>
      </c>
    </row>
    <row r="387" spans="1:4" x14ac:dyDescent="0.3">
      <c r="A387" t="s">
        <v>127</v>
      </c>
      <c r="B387" s="3">
        <v>0.93505371620905431</v>
      </c>
      <c r="C387" t="s">
        <v>97</v>
      </c>
      <c r="D387" t="s">
        <v>13</v>
      </c>
    </row>
    <row r="388" spans="1:4" x14ac:dyDescent="0.3">
      <c r="A388" t="s">
        <v>127</v>
      </c>
      <c r="B388" s="3">
        <v>0.93176229426442003</v>
      </c>
      <c r="C388" t="s">
        <v>97</v>
      </c>
      <c r="D388" t="s">
        <v>14</v>
      </c>
    </row>
    <row r="389" spans="1:4" x14ac:dyDescent="0.3">
      <c r="A389" t="s">
        <v>127</v>
      </c>
      <c r="B389" s="3">
        <v>0.58359614894437051</v>
      </c>
      <c r="C389" t="s">
        <v>98</v>
      </c>
      <c r="D389" t="s">
        <v>14</v>
      </c>
    </row>
    <row r="390" spans="1:4" x14ac:dyDescent="0.3">
      <c r="A390" t="s">
        <v>127</v>
      </c>
      <c r="B390" s="3">
        <v>0.94525443218718996</v>
      </c>
      <c r="C390" t="s">
        <v>99</v>
      </c>
      <c r="D390" t="s">
        <v>13</v>
      </c>
    </row>
    <row r="391" spans="1:4" x14ac:dyDescent="0.3">
      <c r="A391" t="s">
        <v>127</v>
      </c>
      <c r="B391" s="3">
        <v>0.88189657555465595</v>
      </c>
      <c r="C391" t="s">
        <v>100</v>
      </c>
      <c r="D391" t="s">
        <v>14</v>
      </c>
    </row>
    <row r="392" spans="1:4" x14ac:dyDescent="0.3">
      <c r="A392" t="s">
        <v>127</v>
      </c>
      <c r="B392" s="3">
        <v>0.9579758892641943</v>
      </c>
      <c r="C392" t="s">
        <v>101</v>
      </c>
      <c r="D392" t="s">
        <v>6</v>
      </c>
    </row>
    <row r="393" spans="1:4" x14ac:dyDescent="0.3">
      <c r="A393" t="s">
        <v>127</v>
      </c>
      <c r="B393" s="3">
        <v>0.95860479709567481</v>
      </c>
      <c r="C393" t="s">
        <v>101</v>
      </c>
      <c r="D393" t="s">
        <v>10</v>
      </c>
    </row>
    <row r="394" spans="1:4" x14ac:dyDescent="0.3">
      <c r="A394" t="s">
        <v>127</v>
      </c>
      <c r="B394" s="3">
        <v>0.93481529538757036</v>
      </c>
      <c r="C394" t="s">
        <v>101</v>
      </c>
      <c r="D394" t="s">
        <v>8</v>
      </c>
    </row>
    <row r="395" spans="1:4" x14ac:dyDescent="0.3">
      <c r="A395" t="s">
        <v>127</v>
      </c>
      <c r="B395" s="3">
        <v>0.95356798854360125</v>
      </c>
      <c r="C395" t="s">
        <v>101</v>
      </c>
      <c r="D395" t="s">
        <v>14</v>
      </c>
    </row>
    <row r="396" spans="1:4" x14ac:dyDescent="0.3">
      <c r="A396" t="s">
        <v>127</v>
      </c>
      <c r="B396" s="3">
        <v>0.89268297320574319</v>
      </c>
      <c r="C396" t="s">
        <v>102</v>
      </c>
      <c r="D396" t="s">
        <v>8</v>
      </c>
    </row>
    <row r="397" spans="1:4" x14ac:dyDescent="0.3">
      <c r="A397" t="s">
        <v>127</v>
      </c>
      <c r="B397" s="3">
        <v>0.95173401266754443</v>
      </c>
      <c r="C397" t="s">
        <v>103</v>
      </c>
      <c r="D397" t="s">
        <v>6</v>
      </c>
    </row>
    <row r="398" spans="1:4" x14ac:dyDescent="0.3">
      <c r="A398" t="s">
        <v>127</v>
      </c>
      <c r="B398" s="3">
        <v>0.98784968471823809</v>
      </c>
      <c r="C398" t="s">
        <v>103</v>
      </c>
      <c r="D398" t="s">
        <v>14</v>
      </c>
    </row>
    <row r="399" spans="1:4" x14ac:dyDescent="0.3">
      <c r="A399" t="s">
        <v>127</v>
      </c>
      <c r="B399" s="3">
        <v>0.48054795267929395</v>
      </c>
      <c r="C399" t="s">
        <v>104</v>
      </c>
    </row>
    <row r="400" spans="1:4" x14ac:dyDescent="0.3">
      <c r="A400" t="s">
        <v>127</v>
      </c>
      <c r="B400" s="3">
        <v>0.63224336431218986</v>
      </c>
      <c r="C400" t="s">
        <v>104</v>
      </c>
      <c r="D400" t="s">
        <v>14</v>
      </c>
    </row>
    <row r="401" spans="1:4" x14ac:dyDescent="0.3">
      <c r="A401" t="s">
        <v>127</v>
      </c>
      <c r="B401" s="3">
        <v>0.96847635347908034</v>
      </c>
      <c r="C401" t="s">
        <v>105</v>
      </c>
      <c r="D401" t="s">
        <v>6</v>
      </c>
    </row>
    <row r="402" spans="1:4" x14ac:dyDescent="0.3">
      <c r="A402" t="s">
        <v>127</v>
      </c>
      <c r="B402" s="3">
        <v>0.93106426799532749</v>
      </c>
      <c r="C402" t="s">
        <v>105</v>
      </c>
      <c r="D402" t="s">
        <v>16</v>
      </c>
    </row>
    <row r="403" spans="1:4" x14ac:dyDescent="0.3">
      <c r="A403" t="s">
        <v>127</v>
      </c>
      <c r="B403" s="3">
        <v>0.96483906763027638</v>
      </c>
      <c r="C403" t="s">
        <v>105</v>
      </c>
      <c r="D403" t="s">
        <v>10</v>
      </c>
    </row>
    <row r="404" spans="1:4" x14ac:dyDescent="0.3">
      <c r="A404" t="s">
        <v>127</v>
      </c>
      <c r="B404" s="3">
        <v>0.96364873413501384</v>
      </c>
      <c r="C404" t="s">
        <v>105</v>
      </c>
      <c r="D404" t="s">
        <v>8</v>
      </c>
    </row>
    <row r="405" spans="1:4" x14ac:dyDescent="0.3">
      <c r="A405" t="s">
        <v>127</v>
      </c>
      <c r="B405" s="3">
        <v>0.97004021292116804</v>
      </c>
      <c r="C405" t="s">
        <v>105</v>
      </c>
      <c r="D405" t="s">
        <v>13</v>
      </c>
    </row>
    <row r="406" spans="1:4" x14ac:dyDescent="0.3">
      <c r="A406" t="s">
        <v>127</v>
      </c>
      <c r="B406" s="3">
        <v>0.96316324813735577</v>
      </c>
      <c r="C406" t="s">
        <v>105</v>
      </c>
      <c r="D406" t="s">
        <v>14</v>
      </c>
    </row>
    <row r="407" spans="1:4" x14ac:dyDescent="0.3">
      <c r="A407" t="s">
        <v>127</v>
      </c>
      <c r="B407" s="3">
        <v>0.98032413442577793</v>
      </c>
      <c r="C407" t="s">
        <v>106</v>
      </c>
      <c r="D407" t="s">
        <v>16</v>
      </c>
    </row>
    <row r="408" spans="1:4" x14ac:dyDescent="0.3">
      <c r="A408" t="s">
        <v>127</v>
      </c>
      <c r="B408" s="3">
        <v>0.8583795583632593</v>
      </c>
      <c r="C408" t="s">
        <v>107</v>
      </c>
      <c r="D408" t="s">
        <v>16</v>
      </c>
    </row>
    <row r="409" spans="1:4" x14ac:dyDescent="0.3">
      <c r="A409" t="s">
        <v>127</v>
      </c>
      <c r="B409" s="3">
        <v>0.9412730908482867</v>
      </c>
      <c r="C409" t="s">
        <v>108</v>
      </c>
      <c r="D409" t="s">
        <v>16</v>
      </c>
    </row>
    <row r="410" spans="1:4" x14ac:dyDescent="0.3">
      <c r="A410" t="s">
        <v>127</v>
      </c>
      <c r="B410" s="3">
        <v>0.31402446825192221</v>
      </c>
      <c r="C410" t="s">
        <v>109</v>
      </c>
      <c r="D410" t="s">
        <v>8</v>
      </c>
    </row>
    <row r="411" spans="1:4" x14ac:dyDescent="0.3">
      <c r="A411" t="s">
        <v>127</v>
      </c>
      <c r="B411" s="3">
        <v>0.80514775460163956</v>
      </c>
      <c r="C411" t="s">
        <v>110</v>
      </c>
    </row>
    <row r="412" spans="1:4" x14ac:dyDescent="0.3">
      <c r="A412" t="s">
        <v>127</v>
      </c>
      <c r="B412" s="3">
        <v>0.76605117610320417</v>
      </c>
      <c r="C412" t="s">
        <v>110</v>
      </c>
      <c r="D412" t="s">
        <v>6</v>
      </c>
    </row>
    <row r="413" spans="1:4" x14ac:dyDescent="0.3">
      <c r="A413" t="s">
        <v>127</v>
      </c>
      <c r="B413" s="3">
        <v>0.84699337434042365</v>
      </c>
      <c r="C413" t="s">
        <v>111</v>
      </c>
      <c r="D413" t="s">
        <v>13</v>
      </c>
    </row>
    <row r="414" spans="1:4" x14ac:dyDescent="0.3">
      <c r="A414" t="s">
        <v>127</v>
      </c>
      <c r="B414" s="3">
        <v>0.7324441246329968</v>
      </c>
      <c r="C414" t="s">
        <v>112</v>
      </c>
      <c r="D414" t="s">
        <v>6</v>
      </c>
    </row>
    <row r="415" spans="1:4" x14ac:dyDescent="0.3">
      <c r="A415" t="s">
        <v>127</v>
      </c>
      <c r="B415" s="3">
        <v>1</v>
      </c>
      <c r="C415" t="s">
        <v>113</v>
      </c>
    </row>
    <row r="416" spans="1:4" x14ac:dyDescent="0.3">
      <c r="A416" t="s">
        <v>127</v>
      </c>
      <c r="B416" s="3">
        <v>0.93992591595470243</v>
      </c>
      <c r="C416" t="s">
        <v>113</v>
      </c>
      <c r="D416" t="s">
        <v>16</v>
      </c>
    </row>
    <row r="417" spans="1:4" x14ac:dyDescent="0.3">
      <c r="A417" t="s">
        <v>127</v>
      </c>
      <c r="B417" s="3">
        <v>0.76203976092397685</v>
      </c>
      <c r="C417" t="s">
        <v>114</v>
      </c>
      <c r="D417" t="s">
        <v>16</v>
      </c>
    </row>
    <row r="418" spans="1:4" x14ac:dyDescent="0.3">
      <c r="A418" t="s">
        <v>127</v>
      </c>
      <c r="B418" s="3">
        <v>0.84961324932167548</v>
      </c>
      <c r="C418" t="s">
        <v>115</v>
      </c>
      <c r="D418" t="s">
        <v>6</v>
      </c>
    </row>
    <row r="419" spans="1:4" x14ac:dyDescent="0.3">
      <c r="A419" t="s">
        <v>127</v>
      </c>
      <c r="B419" s="3">
        <v>0.86984552280217664</v>
      </c>
      <c r="C419" t="s">
        <v>116</v>
      </c>
      <c r="D419" t="s">
        <v>16</v>
      </c>
    </row>
    <row r="420" spans="1:4" x14ac:dyDescent="0.3">
      <c r="A420" t="s">
        <v>127</v>
      </c>
      <c r="B420" s="3">
        <v>0.70794734775083845</v>
      </c>
      <c r="C420" t="s">
        <v>117</v>
      </c>
      <c r="D420" t="s">
        <v>13</v>
      </c>
    </row>
    <row r="421" spans="1:4" x14ac:dyDescent="0.3">
      <c r="A421" t="s">
        <v>127</v>
      </c>
      <c r="B421" s="3">
        <v>0.82434624122212019</v>
      </c>
      <c r="C421" t="s">
        <v>118</v>
      </c>
    </row>
    <row r="422" spans="1:4" x14ac:dyDescent="0.3">
      <c r="A422" t="s">
        <v>127</v>
      </c>
      <c r="B422" s="3">
        <v>0.94888548180064369</v>
      </c>
      <c r="C422" t="s">
        <v>118</v>
      </c>
      <c r="D422" t="s">
        <v>16</v>
      </c>
    </row>
    <row r="423" spans="1:4" x14ac:dyDescent="0.3">
      <c r="A423" t="s">
        <v>127</v>
      </c>
      <c r="B423" s="3">
        <v>0.91836660381502944</v>
      </c>
      <c r="C423" t="s">
        <v>118</v>
      </c>
      <c r="D423" t="s">
        <v>13</v>
      </c>
    </row>
    <row r="424" spans="1:4" x14ac:dyDescent="0.3">
      <c r="A424" t="s">
        <v>127</v>
      </c>
      <c r="B424" s="3">
        <v>0.75454037908845939</v>
      </c>
      <c r="C424" t="s">
        <v>119</v>
      </c>
      <c r="D424" t="s">
        <v>8</v>
      </c>
    </row>
    <row r="425" spans="1:4" x14ac:dyDescent="0.3">
      <c r="A425" t="s">
        <v>127</v>
      </c>
      <c r="B425" s="3">
        <v>0.26363355530791177</v>
      </c>
      <c r="C425" t="s">
        <v>120</v>
      </c>
      <c r="D425" t="s">
        <v>14</v>
      </c>
    </row>
    <row r="426" spans="1:4" x14ac:dyDescent="0.3">
      <c r="A426" t="s">
        <v>127</v>
      </c>
      <c r="B426" s="3">
        <v>0.76217472201679493</v>
      </c>
      <c r="C426" t="s">
        <v>121</v>
      </c>
      <c r="D426" t="s">
        <v>16</v>
      </c>
    </row>
    <row r="427" spans="1:4" x14ac:dyDescent="0.3">
      <c r="A427" t="s">
        <v>127</v>
      </c>
      <c r="B427" s="3">
        <v>0.89788144426112815</v>
      </c>
      <c r="C427" t="s">
        <v>122</v>
      </c>
      <c r="D427" t="s">
        <v>16</v>
      </c>
    </row>
    <row r="428" spans="1:4" x14ac:dyDescent="0.3">
      <c r="A428" t="s">
        <v>127</v>
      </c>
      <c r="B428" s="3">
        <v>0.91208570781966736</v>
      </c>
      <c r="C428" t="s">
        <v>123</v>
      </c>
      <c r="D428" t="s">
        <v>16</v>
      </c>
    </row>
    <row r="429" spans="1:4" x14ac:dyDescent="0.3">
      <c r="A429" t="s">
        <v>127</v>
      </c>
      <c r="B429" s="3">
        <v>0.93623723306680628</v>
      </c>
      <c r="C429" t="s">
        <v>124</v>
      </c>
      <c r="D429" t="s">
        <v>6</v>
      </c>
    </row>
    <row r="430" spans="1:4" x14ac:dyDescent="0.3">
      <c r="A430" t="s">
        <v>127</v>
      </c>
      <c r="B430" s="3">
        <v>0.83943181664038746</v>
      </c>
      <c r="C430" t="s">
        <v>125</v>
      </c>
      <c r="D430" t="s">
        <v>14</v>
      </c>
    </row>
    <row r="431" spans="1:4" x14ac:dyDescent="0.3">
      <c r="A431" t="s">
        <v>127</v>
      </c>
      <c r="B431" s="3">
        <v>0.81050832835748332</v>
      </c>
      <c r="C431" t="s">
        <v>126</v>
      </c>
      <c r="D431" t="s">
        <v>10</v>
      </c>
    </row>
    <row r="432" spans="1:4" x14ac:dyDescent="0.3">
      <c r="A432" t="s">
        <v>127</v>
      </c>
      <c r="B432" s="3">
        <v>0.89658751473315412</v>
      </c>
      <c r="C432" t="s">
        <v>126</v>
      </c>
      <c r="D432" t="s">
        <v>8</v>
      </c>
    </row>
    <row r="433" spans="1:4" x14ac:dyDescent="0.3">
      <c r="A433" t="s">
        <v>127</v>
      </c>
      <c r="B433" s="3">
        <v>0.81813289407751377</v>
      </c>
      <c r="C433" t="s">
        <v>126</v>
      </c>
      <c r="D433" t="s">
        <v>13</v>
      </c>
    </row>
    <row r="434" spans="1:4" x14ac:dyDescent="0.3">
      <c r="A434" t="s">
        <v>128</v>
      </c>
      <c r="B434" s="3">
        <v>0.99991111007133693</v>
      </c>
      <c r="C434" t="s">
        <v>5</v>
      </c>
      <c r="D434" t="s">
        <v>6</v>
      </c>
    </row>
    <row r="435" spans="1:4" x14ac:dyDescent="0.3">
      <c r="A435" t="s">
        <v>128</v>
      </c>
      <c r="B435" s="3">
        <v>0.59080961707833823</v>
      </c>
      <c r="C435" t="s">
        <v>7</v>
      </c>
      <c r="D435" t="s">
        <v>8</v>
      </c>
    </row>
    <row r="436" spans="1:4" x14ac:dyDescent="0.3">
      <c r="A436" t="s">
        <v>128</v>
      </c>
      <c r="B436" s="3">
        <v>0.90563732012799414</v>
      </c>
      <c r="C436" t="s">
        <v>9</v>
      </c>
      <c r="D436" t="s">
        <v>6</v>
      </c>
    </row>
    <row r="437" spans="1:4" x14ac:dyDescent="0.3">
      <c r="A437" t="s">
        <v>128</v>
      </c>
      <c r="B437" s="3">
        <v>0.97574620781205412</v>
      </c>
      <c r="C437" t="s">
        <v>9</v>
      </c>
      <c r="D437" t="s">
        <v>10</v>
      </c>
    </row>
    <row r="438" spans="1:4" x14ac:dyDescent="0.3">
      <c r="A438" t="s">
        <v>128</v>
      </c>
      <c r="B438" s="3">
        <v>0.90208853123237331</v>
      </c>
      <c r="C438" t="s">
        <v>9</v>
      </c>
      <c r="D438" t="s">
        <v>8</v>
      </c>
    </row>
    <row r="439" spans="1:4" x14ac:dyDescent="0.3">
      <c r="A439" t="s">
        <v>128</v>
      </c>
      <c r="B439" s="3">
        <v>0.57050287822607915</v>
      </c>
      <c r="C439" t="s">
        <v>11</v>
      </c>
      <c r="D439" t="s">
        <v>8</v>
      </c>
    </row>
    <row r="440" spans="1:4" x14ac:dyDescent="0.3">
      <c r="A440" t="s">
        <v>128</v>
      </c>
      <c r="B440" s="3">
        <v>0.4974896813545206</v>
      </c>
      <c r="C440" t="s">
        <v>12</v>
      </c>
      <c r="D440" t="s">
        <v>6</v>
      </c>
    </row>
    <row r="441" spans="1:4" x14ac:dyDescent="0.3">
      <c r="A441" t="s">
        <v>128</v>
      </c>
      <c r="B441" s="3">
        <v>0.57245454044151456</v>
      </c>
      <c r="C441" t="s">
        <v>12</v>
      </c>
      <c r="D441" t="s">
        <v>10</v>
      </c>
    </row>
    <row r="442" spans="1:4" x14ac:dyDescent="0.3">
      <c r="A442" t="s">
        <v>128</v>
      </c>
      <c r="B442" s="3">
        <v>0.509811504590854</v>
      </c>
      <c r="C442" t="s">
        <v>12</v>
      </c>
      <c r="D442" t="s">
        <v>8</v>
      </c>
    </row>
    <row r="443" spans="1:4" x14ac:dyDescent="0.3">
      <c r="A443" t="s">
        <v>128</v>
      </c>
      <c r="B443" s="3">
        <v>0.55435700599932514</v>
      </c>
      <c r="C443" t="s">
        <v>12</v>
      </c>
      <c r="D443" t="s">
        <v>13</v>
      </c>
    </row>
    <row r="444" spans="1:4" x14ac:dyDescent="0.3">
      <c r="A444" t="s">
        <v>128</v>
      </c>
      <c r="B444" s="3">
        <v>0.39886073615099465</v>
      </c>
      <c r="C444" t="s">
        <v>12</v>
      </c>
      <c r="D444" t="s">
        <v>14</v>
      </c>
    </row>
    <row r="445" spans="1:4" x14ac:dyDescent="0.3">
      <c r="A445" t="s">
        <v>128</v>
      </c>
      <c r="B445" s="3">
        <v>0.98885985953227773</v>
      </c>
      <c r="C445" t="s">
        <v>15</v>
      </c>
    </row>
    <row r="446" spans="1:4" x14ac:dyDescent="0.3">
      <c r="A446" t="s">
        <v>128</v>
      </c>
      <c r="B446" s="3">
        <v>0.98184696882256917</v>
      </c>
      <c r="C446" t="s">
        <v>15</v>
      </c>
      <c r="D446" t="s">
        <v>16</v>
      </c>
    </row>
    <row r="447" spans="1:4" x14ac:dyDescent="0.3">
      <c r="A447" t="s">
        <v>128</v>
      </c>
      <c r="B447" s="3">
        <v>0.97635083718038351</v>
      </c>
      <c r="C447" t="s">
        <v>15</v>
      </c>
      <c r="D447" t="s">
        <v>13</v>
      </c>
    </row>
    <row r="448" spans="1:4" x14ac:dyDescent="0.3">
      <c r="A448" t="s">
        <v>128</v>
      </c>
      <c r="B448" s="3">
        <v>0.95293035323574682</v>
      </c>
      <c r="C448" t="s">
        <v>17</v>
      </c>
      <c r="D448" t="s">
        <v>16</v>
      </c>
    </row>
    <row r="449" spans="1:4" x14ac:dyDescent="0.3">
      <c r="A449" t="s">
        <v>128</v>
      </c>
      <c r="B449" s="3">
        <v>0.98682616882850627</v>
      </c>
      <c r="C449" t="s">
        <v>17</v>
      </c>
      <c r="D449" t="s">
        <v>8</v>
      </c>
    </row>
    <row r="450" spans="1:4" x14ac:dyDescent="0.3">
      <c r="A450" t="s">
        <v>128</v>
      </c>
      <c r="B450" s="3">
        <v>0.97746073183158166</v>
      </c>
      <c r="C450" t="s">
        <v>17</v>
      </c>
      <c r="D450" t="s">
        <v>13</v>
      </c>
    </row>
    <row r="451" spans="1:4" x14ac:dyDescent="0.3">
      <c r="A451" t="s">
        <v>128</v>
      </c>
      <c r="B451" s="3">
        <v>0.95317814416776503</v>
      </c>
      <c r="C451" t="s">
        <v>18</v>
      </c>
      <c r="D451" t="s">
        <v>10</v>
      </c>
    </row>
    <row r="452" spans="1:4" x14ac:dyDescent="0.3">
      <c r="A452" t="s">
        <v>128</v>
      </c>
      <c r="B452" s="3">
        <v>0.88498486144957433</v>
      </c>
      <c r="C452" t="s">
        <v>19</v>
      </c>
      <c r="D452" t="s">
        <v>10</v>
      </c>
    </row>
    <row r="453" spans="1:4" x14ac:dyDescent="0.3">
      <c r="A453" t="s">
        <v>128</v>
      </c>
      <c r="B453" s="3">
        <v>0.93272314599220285</v>
      </c>
      <c r="C453" t="s">
        <v>20</v>
      </c>
      <c r="D453" t="s">
        <v>8</v>
      </c>
    </row>
    <row r="454" spans="1:4" x14ac:dyDescent="0.3">
      <c r="A454" t="s">
        <v>128</v>
      </c>
      <c r="B454" s="3">
        <v>0.31069658823348362</v>
      </c>
      <c r="C454" t="s">
        <v>21</v>
      </c>
      <c r="D454" t="s">
        <v>6</v>
      </c>
    </row>
    <row r="455" spans="1:4" x14ac:dyDescent="0.3">
      <c r="A455" t="s">
        <v>128</v>
      </c>
      <c r="B455" s="3">
        <v>0.61531274041023165</v>
      </c>
      <c r="C455" t="s">
        <v>21</v>
      </c>
      <c r="D455" t="s">
        <v>10</v>
      </c>
    </row>
    <row r="456" spans="1:4" x14ac:dyDescent="0.3">
      <c r="A456" t="s">
        <v>128</v>
      </c>
      <c r="B456" s="3">
        <v>0.86690018207362396</v>
      </c>
      <c r="C456" t="s">
        <v>22</v>
      </c>
      <c r="D456" t="s">
        <v>10</v>
      </c>
    </row>
    <row r="457" spans="1:4" x14ac:dyDescent="0.3">
      <c r="A457" t="s">
        <v>128</v>
      </c>
      <c r="B457" s="3">
        <v>0.39502012982071838</v>
      </c>
      <c r="C457" t="s">
        <v>23</v>
      </c>
      <c r="D457" t="s">
        <v>13</v>
      </c>
    </row>
    <row r="458" spans="1:4" x14ac:dyDescent="0.3">
      <c r="A458" t="s">
        <v>128</v>
      </c>
      <c r="B458" s="3">
        <v>0.36800301460965174</v>
      </c>
      <c r="C458" t="s">
        <v>24</v>
      </c>
    </row>
    <row r="459" spans="1:4" x14ac:dyDescent="0.3">
      <c r="A459" t="s">
        <v>128</v>
      </c>
      <c r="B459" s="3">
        <v>0.59121675481704028</v>
      </c>
      <c r="C459" t="s">
        <v>24</v>
      </c>
      <c r="D459" t="s">
        <v>6</v>
      </c>
    </row>
    <row r="460" spans="1:4" x14ac:dyDescent="0.3">
      <c r="A460" t="s">
        <v>128</v>
      </c>
      <c r="B460" s="3">
        <v>0.75914258363302367</v>
      </c>
      <c r="C460" t="s">
        <v>25</v>
      </c>
    </row>
    <row r="461" spans="1:4" x14ac:dyDescent="0.3">
      <c r="A461" t="s">
        <v>128</v>
      </c>
      <c r="B461" s="3">
        <v>0.74608490761442292</v>
      </c>
      <c r="C461" t="s">
        <v>25</v>
      </c>
      <c r="D461" t="s">
        <v>16</v>
      </c>
    </row>
    <row r="462" spans="1:4" x14ac:dyDescent="0.3">
      <c r="A462" t="s">
        <v>128</v>
      </c>
      <c r="B462" s="3">
        <v>0.47574569586970405</v>
      </c>
      <c r="C462" t="s">
        <v>26</v>
      </c>
      <c r="D462" t="s">
        <v>6</v>
      </c>
    </row>
    <row r="463" spans="1:4" x14ac:dyDescent="0.3">
      <c r="A463" t="s">
        <v>128</v>
      </c>
      <c r="B463" s="3">
        <v>0.89204727613914214</v>
      </c>
      <c r="C463" t="s">
        <v>27</v>
      </c>
      <c r="D463" t="s">
        <v>14</v>
      </c>
    </row>
    <row r="464" spans="1:4" x14ac:dyDescent="0.3">
      <c r="A464" t="s">
        <v>128</v>
      </c>
      <c r="B464" s="3">
        <v>0.90564556810162755</v>
      </c>
      <c r="C464" t="s">
        <v>28</v>
      </c>
      <c r="D464" t="s">
        <v>8</v>
      </c>
    </row>
    <row r="465" spans="1:4" x14ac:dyDescent="0.3">
      <c r="A465" t="s">
        <v>128</v>
      </c>
      <c r="B465" s="3">
        <v>0.93264013895164732</v>
      </c>
      <c r="C465" t="s">
        <v>28</v>
      </c>
      <c r="D465" t="s">
        <v>14</v>
      </c>
    </row>
    <row r="466" spans="1:4" x14ac:dyDescent="0.3">
      <c r="A466" t="s">
        <v>128</v>
      </c>
      <c r="B466" s="3">
        <v>0.95735780262674108</v>
      </c>
      <c r="C466" t="s">
        <v>29</v>
      </c>
      <c r="D466" t="s">
        <v>6</v>
      </c>
    </row>
    <row r="467" spans="1:4" x14ac:dyDescent="0.3">
      <c r="A467" t="s">
        <v>128</v>
      </c>
      <c r="B467" s="3">
        <v>0.97397041920088512</v>
      </c>
      <c r="C467" t="s">
        <v>29</v>
      </c>
      <c r="D467" t="s">
        <v>10</v>
      </c>
    </row>
    <row r="468" spans="1:4" x14ac:dyDescent="0.3">
      <c r="A468" t="s">
        <v>128</v>
      </c>
      <c r="B468" s="3">
        <v>0.93420557607768806</v>
      </c>
      <c r="C468" t="s">
        <v>29</v>
      </c>
      <c r="D468" t="s">
        <v>8</v>
      </c>
    </row>
    <row r="469" spans="1:4" x14ac:dyDescent="0.3">
      <c r="A469" t="s">
        <v>128</v>
      </c>
      <c r="B469" s="3">
        <v>0.93471681421887387</v>
      </c>
      <c r="C469" t="s">
        <v>29</v>
      </c>
      <c r="D469" t="s">
        <v>13</v>
      </c>
    </row>
    <row r="470" spans="1:4" x14ac:dyDescent="0.3">
      <c r="A470" t="s">
        <v>128</v>
      </c>
      <c r="B470" s="3">
        <v>0.95522324795413049</v>
      </c>
      <c r="C470" t="s">
        <v>29</v>
      </c>
      <c r="D470" t="s">
        <v>14</v>
      </c>
    </row>
    <row r="471" spans="1:4" x14ac:dyDescent="0.3">
      <c r="A471" t="s">
        <v>128</v>
      </c>
      <c r="B471" s="3">
        <v>0.80889029669628132</v>
      </c>
      <c r="C471" t="s">
        <v>30</v>
      </c>
      <c r="D471" t="s">
        <v>6</v>
      </c>
    </row>
    <row r="472" spans="1:4" x14ac:dyDescent="0.3">
      <c r="A472" t="s">
        <v>128</v>
      </c>
      <c r="B472" s="3">
        <v>0.58450044754375607</v>
      </c>
      <c r="C472" t="s">
        <v>31</v>
      </c>
      <c r="D472" t="s">
        <v>13</v>
      </c>
    </row>
    <row r="473" spans="1:4" x14ac:dyDescent="0.3">
      <c r="A473" t="s">
        <v>128</v>
      </c>
      <c r="B473" s="3">
        <v>0.93442358121899449</v>
      </c>
      <c r="C473" t="s">
        <v>32</v>
      </c>
    </row>
    <row r="474" spans="1:4" x14ac:dyDescent="0.3">
      <c r="A474" t="s">
        <v>128</v>
      </c>
      <c r="B474" s="3">
        <v>0.46364624752553096</v>
      </c>
      <c r="C474" t="s">
        <v>32</v>
      </c>
      <c r="D474" t="s">
        <v>6</v>
      </c>
    </row>
    <row r="475" spans="1:4" x14ac:dyDescent="0.3">
      <c r="A475" t="s">
        <v>128</v>
      </c>
      <c r="B475" s="3">
        <v>0.90258128989396713</v>
      </c>
      <c r="C475" t="s">
        <v>32</v>
      </c>
      <c r="D475" t="s">
        <v>16</v>
      </c>
    </row>
    <row r="476" spans="1:4" x14ac:dyDescent="0.3">
      <c r="A476" t="s">
        <v>128</v>
      </c>
      <c r="B476" s="3">
        <v>0.88354730295705464</v>
      </c>
      <c r="C476" t="s">
        <v>32</v>
      </c>
      <c r="D476" t="s">
        <v>13</v>
      </c>
    </row>
    <row r="477" spans="1:4" x14ac:dyDescent="0.3">
      <c r="A477" t="s">
        <v>128</v>
      </c>
      <c r="B477" s="3">
        <v>0.68501408934389019</v>
      </c>
      <c r="C477" t="s">
        <v>33</v>
      </c>
      <c r="D477" t="s">
        <v>10</v>
      </c>
    </row>
    <row r="478" spans="1:4" x14ac:dyDescent="0.3">
      <c r="A478" t="s">
        <v>128</v>
      </c>
      <c r="B478" s="3">
        <v>0.96924197767491205</v>
      </c>
      <c r="C478" t="s">
        <v>34</v>
      </c>
    </row>
    <row r="479" spans="1:4" x14ac:dyDescent="0.3">
      <c r="A479" t="s">
        <v>128</v>
      </c>
      <c r="B479" s="3">
        <v>0.90116355058561159</v>
      </c>
      <c r="C479" t="s">
        <v>34</v>
      </c>
      <c r="D479" t="s">
        <v>16</v>
      </c>
    </row>
    <row r="480" spans="1:4" x14ac:dyDescent="0.3">
      <c r="A480" t="s">
        <v>128</v>
      </c>
      <c r="B480" s="3">
        <v>0.78757344615105618</v>
      </c>
      <c r="C480" t="s">
        <v>35</v>
      </c>
      <c r="D480" t="s">
        <v>16</v>
      </c>
    </row>
    <row r="481" spans="1:4" x14ac:dyDescent="0.3">
      <c r="A481" t="s">
        <v>128</v>
      </c>
      <c r="B481" s="3">
        <v>0.86883658264679653</v>
      </c>
      <c r="C481" t="s">
        <v>36</v>
      </c>
      <c r="D481" t="s">
        <v>13</v>
      </c>
    </row>
    <row r="482" spans="1:4" x14ac:dyDescent="0.3">
      <c r="A482" t="s">
        <v>128</v>
      </c>
      <c r="B482" s="3">
        <v>0.75413811173051104</v>
      </c>
      <c r="C482" t="s">
        <v>37</v>
      </c>
      <c r="D482" t="s">
        <v>10</v>
      </c>
    </row>
    <row r="483" spans="1:4" x14ac:dyDescent="0.3">
      <c r="A483" t="s">
        <v>128</v>
      </c>
      <c r="B483" s="3">
        <v>0.8534624767050607</v>
      </c>
      <c r="C483" t="s">
        <v>38</v>
      </c>
    </row>
    <row r="484" spans="1:4" x14ac:dyDescent="0.3">
      <c r="A484" t="s">
        <v>128</v>
      </c>
      <c r="B484" s="3">
        <v>0.828507036386533</v>
      </c>
      <c r="C484" t="s">
        <v>38</v>
      </c>
      <c r="D484" t="s">
        <v>14</v>
      </c>
    </row>
    <row r="485" spans="1:4" x14ac:dyDescent="0.3">
      <c r="A485" t="s">
        <v>128</v>
      </c>
      <c r="B485" s="3">
        <v>0.94714173942617641</v>
      </c>
      <c r="C485" t="s">
        <v>39</v>
      </c>
      <c r="D485" t="s">
        <v>6</v>
      </c>
    </row>
    <row r="486" spans="1:4" x14ac:dyDescent="0.3">
      <c r="A486" t="s">
        <v>128</v>
      </c>
      <c r="B486" s="3">
        <v>0.91776294134237368</v>
      </c>
      <c r="C486" t="s">
        <v>39</v>
      </c>
      <c r="D486" t="s">
        <v>10</v>
      </c>
    </row>
    <row r="487" spans="1:4" x14ac:dyDescent="0.3">
      <c r="A487" t="s">
        <v>128</v>
      </c>
      <c r="B487" s="3">
        <v>0.94494231964746245</v>
      </c>
      <c r="C487" t="s">
        <v>39</v>
      </c>
      <c r="D487" t="s">
        <v>8</v>
      </c>
    </row>
    <row r="488" spans="1:4" x14ac:dyDescent="0.3">
      <c r="A488" t="s">
        <v>128</v>
      </c>
      <c r="B488" s="3">
        <v>0.71684428814428525</v>
      </c>
      <c r="C488" t="s">
        <v>40</v>
      </c>
      <c r="D488" t="s">
        <v>6</v>
      </c>
    </row>
    <row r="489" spans="1:4" x14ac:dyDescent="0.3">
      <c r="A489" t="s">
        <v>128</v>
      </c>
      <c r="B489" s="3">
        <v>0.70040485517661821</v>
      </c>
      <c r="C489" t="s">
        <v>41</v>
      </c>
    </row>
    <row r="490" spans="1:4" x14ac:dyDescent="0.3">
      <c r="A490" t="s">
        <v>128</v>
      </c>
      <c r="B490" s="3">
        <v>0.43585702753704952</v>
      </c>
      <c r="C490" t="s">
        <v>41</v>
      </c>
      <c r="D490" t="s">
        <v>8</v>
      </c>
    </row>
    <row r="491" spans="1:4" x14ac:dyDescent="0.3">
      <c r="A491" t="s">
        <v>128</v>
      </c>
      <c r="B491" s="3">
        <v>0.98141532142323284</v>
      </c>
      <c r="C491" t="s">
        <v>42</v>
      </c>
      <c r="D491" t="s">
        <v>10</v>
      </c>
    </row>
    <row r="492" spans="1:4" x14ac:dyDescent="0.3">
      <c r="A492" t="s">
        <v>128</v>
      </c>
      <c r="B492" s="3">
        <v>0.99528221515234394</v>
      </c>
      <c r="C492" t="s">
        <v>42</v>
      </c>
      <c r="D492" t="s">
        <v>8</v>
      </c>
    </row>
    <row r="493" spans="1:4" x14ac:dyDescent="0.3">
      <c r="A493" t="s">
        <v>128</v>
      </c>
      <c r="B493" s="3">
        <v>0.84849562751224272</v>
      </c>
      <c r="C493" t="s">
        <v>43</v>
      </c>
      <c r="D493" t="s">
        <v>10</v>
      </c>
    </row>
    <row r="494" spans="1:4" x14ac:dyDescent="0.3">
      <c r="A494" t="s">
        <v>128</v>
      </c>
      <c r="B494" s="3">
        <v>0.92449766784974263</v>
      </c>
      <c r="C494" t="s">
        <v>44</v>
      </c>
      <c r="D494" t="s">
        <v>6</v>
      </c>
    </row>
    <row r="495" spans="1:4" x14ac:dyDescent="0.3">
      <c r="A495" t="s">
        <v>128</v>
      </c>
      <c r="B495" s="3">
        <v>0.86952132586541586</v>
      </c>
      <c r="C495" t="s">
        <v>44</v>
      </c>
      <c r="D495" t="s">
        <v>14</v>
      </c>
    </row>
    <row r="496" spans="1:4" x14ac:dyDescent="0.3">
      <c r="A496" t="s">
        <v>128</v>
      </c>
      <c r="B496" s="3">
        <v>0.34896536303911257</v>
      </c>
      <c r="C496" t="s">
        <v>45</v>
      </c>
      <c r="D496" t="s">
        <v>8</v>
      </c>
    </row>
    <row r="497" spans="1:4" x14ac:dyDescent="0.3">
      <c r="A497" t="s">
        <v>128</v>
      </c>
      <c r="B497" s="3">
        <v>0.29640948558228114</v>
      </c>
      <c r="C497" t="s">
        <v>46</v>
      </c>
      <c r="D497" t="s">
        <v>10</v>
      </c>
    </row>
    <row r="498" spans="1:4" x14ac:dyDescent="0.3">
      <c r="A498" t="s">
        <v>128</v>
      </c>
      <c r="B498" s="3">
        <v>0.96262632340032572</v>
      </c>
      <c r="C498" t="s">
        <v>47</v>
      </c>
      <c r="D498" t="s">
        <v>10</v>
      </c>
    </row>
    <row r="499" spans="1:4" x14ac:dyDescent="0.3">
      <c r="A499" t="s">
        <v>128</v>
      </c>
      <c r="B499" s="3">
        <v>0.96627506816517417</v>
      </c>
      <c r="C499" t="s">
        <v>47</v>
      </c>
      <c r="D499" t="s">
        <v>8</v>
      </c>
    </row>
    <row r="500" spans="1:4" x14ac:dyDescent="0.3">
      <c r="A500" t="s">
        <v>128</v>
      </c>
      <c r="B500" s="3">
        <v>0.96135025961408549</v>
      </c>
      <c r="C500" t="s">
        <v>47</v>
      </c>
      <c r="D500" t="s">
        <v>14</v>
      </c>
    </row>
    <row r="501" spans="1:4" x14ac:dyDescent="0.3">
      <c r="A501" t="s">
        <v>128</v>
      </c>
      <c r="B501" s="3">
        <v>0.80400090550222569</v>
      </c>
      <c r="C501" t="s">
        <v>48</v>
      </c>
      <c r="D501" t="s">
        <v>6</v>
      </c>
    </row>
    <row r="502" spans="1:4" x14ac:dyDescent="0.3">
      <c r="A502" t="s">
        <v>128</v>
      </c>
      <c r="B502" s="3">
        <v>0.85343169032251209</v>
      </c>
      <c r="C502" t="s">
        <v>48</v>
      </c>
      <c r="D502" t="s">
        <v>10</v>
      </c>
    </row>
    <row r="503" spans="1:4" x14ac:dyDescent="0.3">
      <c r="A503" t="s">
        <v>128</v>
      </c>
      <c r="B503" s="3">
        <v>0.71261839115664971</v>
      </c>
      <c r="C503" t="s">
        <v>48</v>
      </c>
      <c r="D503" t="s">
        <v>14</v>
      </c>
    </row>
    <row r="504" spans="1:4" x14ac:dyDescent="0.3">
      <c r="A504" t="s">
        <v>128</v>
      </c>
      <c r="B504" s="3">
        <v>0.44572999626932236</v>
      </c>
      <c r="C504" t="s">
        <v>49</v>
      </c>
    </row>
    <row r="505" spans="1:4" x14ac:dyDescent="0.3">
      <c r="A505" t="s">
        <v>128</v>
      </c>
      <c r="B505" s="3">
        <v>0.88274135115801922</v>
      </c>
      <c r="C505" t="s">
        <v>49</v>
      </c>
      <c r="D505" t="s">
        <v>16</v>
      </c>
    </row>
    <row r="506" spans="1:4" x14ac:dyDescent="0.3">
      <c r="A506" t="s">
        <v>128</v>
      </c>
      <c r="B506" s="3">
        <v>0.91245703867986261</v>
      </c>
      <c r="C506" t="s">
        <v>50</v>
      </c>
      <c r="D506" t="s">
        <v>10</v>
      </c>
    </row>
    <row r="507" spans="1:4" x14ac:dyDescent="0.3">
      <c r="A507" t="s">
        <v>128</v>
      </c>
      <c r="B507" s="3">
        <v>0.83479567983779379</v>
      </c>
      <c r="C507" t="s">
        <v>50</v>
      </c>
      <c r="D507" t="s">
        <v>14</v>
      </c>
    </row>
    <row r="508" spans="1:4" x14ac:dyDescent="0.3">
      <c r="A508" t="s">
        <v>128</v>
      </c>
      <c r="B508" s="3">
        <v>0.98552232347273039</v>
      </c>
      <c r="C508" t="s">
        <v>51</v>
      </c>
      <c r="D508" t="s">
        <v>8</v>
      </c>
    </row>
    <row r="509" spans="1:4" x14ac:dyDescent="0.3">
      <c r="A509" t="s">
        <v>128</v>
      </c>
      <c r="B509" s="3">
        <v>0.78703571868901878</v>
      </c>
      <c r="C509" t="s">
        <v>52</v>
      </c>
      <c r="D509" t="s">
        <v>6</v>
      </c>
    </row>
    <row r="510" spans="1:4" x14ac:dyDescent="0.3">
      <c r="A510" t="s">
        <v>128</v>
      </c>
      <c r="B510" s="3">
        <v>0.70737661310385735</v>
      </c>
      <c r="C510" t="s">
        <v>52</v>
      </c>
      <c r="D510" t="s">
        <v>13</v>
      </c>
    </row>
    <row r="511" spans="1:4" x14ac:dyDescent="0.3">
      <c r="A511" t="s">
        <v>128</v>
      </c>
      <c r="B511" s="3">
        <v>0.94209707866775194</v>
      </c>
      <c r="C511" t="s">
        <v>53</v>
      </c>
      <c r="D511" t="s">
        <v>8</v>
      </c>
    </row>
    <row r="512" spans="1:4" x14ac:dyDescent="0.3">
      <c r="A512" t="s">
        <v>128</v>
      </c>
      <c r="B512" s="3">
        <v>0.81101721108331948</v>
      </c>
      <c r="C512" t="s">
        <v>54</v>
      </c>
    </row>
    <row r="513" spans="1:4" x14ac:dyDescent="0.3">
      <c r="A513" t="s">
        <v>128</v>
      </c>
      <c r="B513" s="3">
        <v>0.86845840210936154</v>
      </c>
      <c r="C513" t="s">
        <v>54</v>
      </c>
      <c r="D513" t="s">
        <v>16</v>
      </c>
    </row>
    <row r="514" spans="1:4" x14ac:dyDescent="0.3">
      <c r="A514" t="s">
        <v>128</v>
      </c>
      <c r="B514" s="3">
        <v>0.73468923780478412</v>
      </c>
      <c r="C514" t="s">
        <v>54</v>
      </c>
      <c r="D514" t="s">
        <v>10</v>
      </c>
    </row>
    <row r="515" spans="1:4" x14ac:dyDescent="0.3">
      <c r="A515" t="s">
        <v>128</v>
      </c>
      <c r="B515" s="3">
        <v>0.81858165562717022</v>
      </c>
      <c r="C515" t="s">
        <v>54</v>
      </c>
      <c r="D515" t="s">
        <v>13</v>
      </c>
    </row>
    <row r="516" spans="1:4" x14ac:dyDescent="0.3">
      <c r="A516" t="s">
        <v>128</v>
      </c>
      <c r="B516" s="3">
        <v>0.4901469708265484</v>
      </c>
      <c r="C516" t="s">
        <v>54</v>
      </c>
      <c r="D516" t="s">
        <v>14</v>
      </c>
    </row>
    <row r="517" spans="1:4" x14ac:dyDescent="0.3">
      <c r="A517" t="s">
        <v>128</v>
      </c>
      <c r="B517" s="3">
        <v>0.76417095420329229</v>
      </c>
      <c r="C517" t="s">
        <v>55</v>
      </c>
      <c r="D517" t="s">
        <v>6</v>
      </c>
    </row>
    <row r="518" spans="1:4" x14ac:dyDescent="0.3">
      <c r="A518" t="s">
        <v>128</v>
      </c>
      <c r="B518" s="3">
        <v>0.87517246320491915</v>
      </c>
      <c r="C518" t="s">
        <v>55</v>
      </c>
      <c r="D518" t="s">
        <v>10</v>
      </c>
    </row>
    <row r="519" spans="1:4" x14ac:dyDescent="0.3">
      <c r="A519" t="s">
        <v>128</v>
      </c>
      <c r="B519" s="3">
        <v>0.82048078580095374</v>
      </c>
      <c r="C519" t="s">
        <v>55</v>
      </c>
      <c r="D519" t="s">
        <v>8</v>
      </c>
    </row>
    <row r="520" spans="1:4" x14ac:dyDescent="0.3">
      <c r="A520" t="s">
        <v>128</v>
      </c>
      <c r="B520" s="3">
        <v>0.69746718775100791</v>
      </c>
      <c r="C520" t="s">
        <v>55</v>
      </c>
      <c r="D520" t="s">
        <v>13</v>
      </c>
    </row>
    <row r="521" spans="1:4" x14ac:dyDescent="0.3">
      <c r="A521" t="s">
        <v>128</v>
      </c>
      <c r="B521" s="3">
        <v>0.77874096323866959</v>
      </c>
      <c r="C521" t="s">
        <v>55</v>
      </c>
      <c r="D521" t="s">
        <v>14</v>
      </c>
    </row>
    <row r="522" spans="1:4" x14ac:dyDescent="0.3">
      <c r="A522" t="s">
        <v>128</v>
      </c>
      <c r="B522" s="3">
        <v>0.96554549591408978</v>
      </c>
      <c r="C522" t="s">
        <v>56</v>
      </c>
      <c r="D522" t="s">
        <v>8</v>
      </c>
    </row>
    <row r="523" spans="1:4" x14ac:dyDescent="0.3">
      <c r="A523" t="s">
        <v>128</v>
      </c>
      <c r="B523" s="3">
        <v>0.8007438239873147</v>
      </c>
      <c r="C523" t="s">
        <v>57</v>
      </c>
      <c r="D523" t="s">
        <v>16</v>
      </c>
    </row>
    <row r="524" spans="1:4" x14ac:dyDescent="0.3">
      <c r="A524" t="s">
        <v>128</v>
      </c>
      <c r="B524" s="3">
        <v>0.83353523786409278</v>
      </c>
      <c r="C524" t="s">
        <v>58</v>
      </c>
      <c r="D524" t="s">
        <v>10</v>
      </c>
    </row>
    <row r="525" spans="1:4" x14ac:dyDescent="0.3">
      <c r="A525" t="s">
        <v>128</v>
      </c>
      <c r="B525" s="3">
        <v>0.80963341730333227</v>
      </c>
      <c r="C525" t="s">
        <v>59</v>
      </c>
      <c r="D525" t="s">
        <v>16</v>
      </c>
    </row>
    <row r="526" spans="1:4" x14ac:dyDescent="0.3">
      <c r="A526" t="s">
        <v>128</v>
      </c>
      <c r="B526" s="3">
        <v>1</v>
      </c>
      <c r="C526" t="s">
        <v>60</v>
      </c>
      <c r="D526" t="s">
        <v>14</v>
      </c>
    </row>
    <row r="527" spans="1:4" x14ac:dyDescent="0.3">
      <c r="A527" t="s">
        <v>128</v>
      </c>
      <c r="B527" s="3">
        <v>0.83369027256007033</v>
      </c>
      <c r="C527" t="s">
        <v>61</v>
      </c>
      <c r="D527" t="s">
        <v>10</v>
      </c>
    </row>
    <row r="528" spans="1:4" x14ac:dyDescent="0.3">
      <c r="A528" t="s">
        <v>128</v>
      </c>
      <c r="B528" s="3">
        <v>0.63926009684995821</v>
      </c>
      <c r="C528" t="s">
        <v>62</v>
      </c>
      <c r="D528" t="s">
        <v>14</v>
      </c>
    </row>
    <row r="529" spans="1:4" x14ac:dyDescent="0.3">
      <c r="A529" t="s">
        <v>128</v>
      </c>
      <c r="B529" s="3">
        <v>0.94976065675856958</v>
      </c>
      <c r="C529" t="s">
        <v>63</v>
      </c>
      <c r="D529" t="s">
        <v>6</v>
      </c>
    </row>
    <row r="530" spans="1:4" x14ac:dyDescent="0.3">
      <c r="A530" t="s">
        <v>128</v>
      </c>
      <c r="B530" s="3">
        <v>0.98894850501120546</v>
      </c>
      <c r="C530" t="s">
        <v>64</v>
      </c>
      <c r="D530" t="s">
        <v>16</v>
      </c>
    </row>
    <row r="531" spans="1:4" x14ac:dyDescent="0.3">
      <c r="A531" t="s">
        <v>128</v>
      </c>
      <c r="B531" s="3">
        <v>0.97327793868016776</v>
      </c>
      <c r="C531" t="s">
        <v>64</v>
      </c>
      <c r="D531" t="s">
        <v>13</v>
      </c>
    </row>
    <row r="532" spans="1:4" x14ac:dyDescent="0.3">
      <c r="A532" t="s">
        <v>128</v>
      </c>
      <c r="B532" s="3">
        <v>0.84942017276069715</v>
      </c>
      <c r="C532" t="s">
        <v>65</v>
      </c>
      <c r="D532" t="s">
        <v>8</v>
      </c>
    </row>
    <row r="533" spans="1:4" x14ac:dyDescent="0.3">
      <c r="A533" t="s">
        <v>128</v>
      </c>
      <c r="B533" s="3">
        <v>0.94641129489167397</v>
      </c>
      <c r="C533" t="s">
        <v>66</v>
      </c>
      <c r="D533" t="s">
        <v>16</v>
      </c>
    </row>
    <row r="534" spans="1:4" x14ac:dyDescent="0.3">
      <c r="A534" t="s">
        <v>128</v>
      </c>
      <c r="B534" s="3">
        <v>0.64593694899755971</v>
      </c>
      <c r="C534" t="s">
        <v>67</v>
      </c>
      <c r="D534" t="s">
        <v>16</v>
      </c>
    </row>
    <row r="535" spans="1:4" x14ac:dyDescent="0.3">
      <c r="A535" t="s">
        <v>128</v>
      </c>
      <c r="B535" s="3">
        <v>0.2925008085998575</v>
      </c>
      <c r="C535" t="s">
        <v>68</v>
      </c>
      <c r="D535" t="s">
        <v>13</v>
      </c>
    </row>
    <row r="536" spans="1:4" x14ac:dyDescent="0.3">
      <c r="A536" t="s">
        <v>128</v>
      </c>
      <c r="B536" s="3">
        <v>0.93771474143054367</v>
      </c>
      <c r="C536" t="s">
        <v>69</v>
      </c>
      <c r="D536" t="s">
        <v>6</v>
      </c>
    </row>
    <row r="537" spans="1:4" x14ac:dyDescent="0.3">
      <c r="A537" t="s">
        <v>128</v>
      </c>
      <c r="B537" s="3">
        <v>0.89257347150453148</v>
      </c>
      <c r="C537" t="s">
        <v>69</v>
      </c>
      <c r="D537" t="s">
        <v>16</v>
      </c>
    </row>
    <row r="538" spans="1:4" x14ac:dyDescent="0.3">
      <c r="A538" t="s">
        <v>128</v>
      </c>
      <c r="B538" s="3">
        <v>0.95935465576373924</v>
      </c>
      <c r="C538" t="s">
        <v>69</v>
      </c>
      <c r="D538" t="s">
        <v>10</v>
      </c>
    </row>
    <row r="539" spans="1:4" x14ac:dyDescent="0.3">
      <c r="A539" t="s">
        <v>128</v>
      </c>
      <c r="B539" s="3">
        <v>0.95490628583221837</v>
      </c>
      <c r="C539" t="s">
        <v>69</v>
      </c>
      <c r="D539" t="s">
        <v>8</v>
      </c>
    </row>
    <row r="540" spans="1:4" x14ac:dyDescent="0.3">
      <c r="A540" t="s">
        <v>128</v>
      </c>
      <c r="B540" s="3">
        <v>0.93901930294026115</v>
      </c>
      <c r="C540" t="s">
        <v>69</v>
      </c>
      <c r="D540" t="s">
        <v>13</v>
      </c>
    </row>
    <row r="541" spans="1:4" x14ac:dyDescent="0.3">
      <c r="A541" t="s">
        <v>128</v>
      </c>
      <c r="B541" s="3">
        <v>0.93532522837883281</v>
      </c>
      <c r="C541" t="s">
        <v>69</v>
      </c>
      <c r="D541" t="s">
        <v>14</v>
      </c>
    </row>
    <row r="542" spans="1:4" x14ac:dyDescent="0.3">
      <c r="A542" t="s">
        <v>128</v>
      </c>
      <c r="B542" s="3">
        <v>0.88028543021158645</v>
      </c>
      <c r="C542" t="s">
        <v>70</v>
      </c>
      <c r="D542" t="s">
        <v>6</v>
      </c>
    </row>
    <row r="543" spans="1:4" x14ac:dyDescent="0.3">
      <c r="A543" t="s">
        <v>128</v>
      </c>
      <c r="B543" s="3">
        <v>0.90668648813703578</v>
      </c>
      <c r="C543" t="s">
        <v>70</v>
      </c>
      <c r="D543" t="s">
        <v>10</v>
      </c>
    </row>
    <row r="544" spans="1:4" x14ac:dyDescent="0.3">
      <c r="A544" t="s">
        <v>128</v>
      </c>
      <c r="B544" s="3">
        <v>0.92023532716128609</v>
      </c>
      <c r="C544" t="s">
        <v>70</v>
      </c>
      <c r="D544" t="s">
        <v>8</v>
      </c>
    </row>
    <row r="545" spans="1:4" x14ac:dyDescent="0.3">
      <c r="A545" t="s">
        <v>128</v>
      </c>
      <c r="B545" s="3">
        <v>0.87625509782687694</v>
      </c>
      <c r="C545" t="s">
        <v>70</v>
      </c>
      <c r="D545" t="s">
        <v>13</v>
      </c>
    </row>
    <row r="546" spans="1:4" x14ac:dyDescent="0.3">
      <c r="A546" t="s">
        <v>128</v>
      </c>
      <c r="B546" s="3">
        <v>0.90676736393170676</v>
      </c>
      <c r="C546" t="s">
        <v>70</v>
      </c>
      <c r="D546" t="s">
        <v>14</v>
      </c>
    </row>
    <row r="547" spans="1:4" x14ac:dyDescent="0.3">
      <c r="A547" t="s">
        <v>128</v>
      </c>
      <c r="B547" s="3">
        <v>0.68406366175415678</v>
      </c>
      <c r="C547" t="s">
        <v>71</v>
      </c>
      <c r="D547" t="s">
        <v>14</v>
      </c>
    </row>
    <row r="548" spans="1:4" x14ac:dyDescent="0.3">
      <c r="A548" t="s">
        <v>128</v>
      </c>
      <c r="B548" s="3">
        <v>0.88294566246244477</v>
      </c>
      <c r="C548" t="s">
        <v>72</v>
      </c>
      <c r="D548" t="s">
        <v>10</v>
      </c>
    </row>
    <row r="549" spans="1:4" x14ac:dyDescent="0.3">
      <c r="A549" t="s">
        <v>128</v>
      </c>
      <c r="B549" s="3">
        <v>0.96600040274642107</v>
      </c>
      <c r="C549" t="s">
        <v>72</v>
      </c>
      <c r="D549" t="s">
        <v>8</v>
      </c>
    </row>
    <row r="550" spans="1:4" x14ac:dyDescent="0.3">
      <c r="A550" t="s">
        <v>128</v>
      </c>
      <c r="B550" s="3">
        <v>0.93827723461432855</v>
      </c>
      <c r="C550" t="s">
        <v>72</v>
      </c>
      <c r="D550" t="s">
        <v>14</v>
      </c>
    </row>
    <row r="551" spans="1:4" x14ac:dyDescent="0.3">
      <c r="A551" t="s">
        <v>128</v>
      </c>
      <c r="B551" s="3">
        <v>0.2859890674350955</v>
      </c>
      <c r="C551" t="s">
        <v>73</v>
      </c>
      <c r="D551" t="s">
        <v>6</v>
      </c>
    </row>
    <row r="552" spans="1:4" x14ac:dyDescent="0.3">
      <c r="A552" t="s">
        <v>128</v>
      </c>
      <c r="B552" s="3">
        <v>0.89429024796944756</v>
      </c>
      <c r="C552" t="s">
        <v>74</v>
      </c>
    </row>
    <row r="553" spans="1:4" x14ac:dyDescent="0.3">
      <c r="A553" t="s">
        <v>128</v>
      </c>
      <c r="B553" s="3">
        <v>0.89820932792128516</v>
      </c>
      <c r="C553" t="s">
        <v>74</v>
      </c>
      <c r="D553" t="s">
        <v>14</v>
      </c>
    </row>
    <row r="554" spans="1:4" x14ac:dyDescent="0.3">
      <c r="A554" t="s">
        <v>128</v>
      </c>
      <c r="B554" s="3">
        <v>0.87964517450661384</v>
      </c>
      <c r="C554" t="s">
        <v>75</v>
      </c>
      <c r="D554" t="s">
        <v>8</v>
      </c>
    </row>
    <row r="555" spans="1:4" x14ac:dyDescent="0.3">
      <c r="A555" t="s">
        <v>128</v>
      </c>
      <c r="B555" s="3">
        <v>0.75253049001745553</v>
      </c>
      <c r="C555" t="s">
        <v>76</v>
      </c>
    </row>
    <row r="556" spans="1:4" x14ac:dyDescent="0.3">
      <c r="A556" t="s">
        <v>128</v>
      </c>
      <c r="B556" s="3">
        <v>0.53399338973332067</v>
      </c>
      <c r="C556" t="s">
        <v>76</v>
      </c>
      <c r="D556" t="s">
        <v>6</v>
      </c>
    </row>
    <row r="557" spans="1:4" x14ac:dyDescent="0.3">
      <c r="A557" t="s">
        <v>128</v>
      </c>
      <c r="B557" s="3">
        <v>0.77817779196012837</v>
      </c>
      <c r="C557" t="s">
        <v>76</v>
      </c>
      <c r="D557" t="s">
        <v>16</v>
      </c>
    </row>
    <row r="558" spans="1:4" x14ac:dyDescent="0.3">
      <c r="A558" t="s">
        <v>128</v>
      </c>
      <c r="B558" s="3">
        <v>0.74926382174781736</v>
      </c>
      <c r="C558" t="s">
        <v>76</v>
      </c>
      <c r="D558" t="s">
        <v>10</v>
      </c>
    </row>
    <row r="559" spans="1:4" x14ac:dyDescent="0.3">
      <c r="A559" t="s">
        <v>128</v>
      </c>
      <c r="B559" s="3">
        <v>0.85492175533885639</v>
      </c>
      <c r="C559" t="s">
        <v>76</v>
      </c>
      <c r="D559" t="s">
        <v>8</v>
      </c>
    </row>
    <row r="560" spans="1:4" x14ac:dyDescent="0.3">
      <c r="A560" t="s">
        <v>128</v>
      </c>
      <c r="B560" s="3">
        <v>0.85261580776583146</v>
      </c>
      <c r="C560" t="s">
        <v>77</v>
      </c>
      <c r="D560" t="s">
        <v>14</v>
      </c>
    </row>
    <row r="561" spans="1:4" x14ac:dyDescent="0.3">
      <c r="A561" t="s">
        <v>128</v>
      </c>
      <c r="B561" s="3">
        <v>0.93139200924401344</v>
      </c>
      <c r="C561" t="s">
        <v>78</v>
      </c>
      <c r="D561" t="s">
        <v>6</v>
      </c>
    </row>
    <row r="562" spans="1:4" x14ac:dyDescent="0.3">
      <c r="A562" t="s">
        <v>128</v>
      </c>
      <c r="B562" s="3">
        <v>0.91831487214211382</v>
      </c>
      <c r="C562" t="s">
        <v>78</v>
      </c>
      <c r="D562" t="s">
        <v>10</v>
      </c>
    </row>
    <row r="563" spans="1:4" x14ac:dyDescent="0.3">
      <c r="A563" t="s">
        <v>128</v>
      </c>
      <c r="B563" s="3">
        <v>0.93360136687689033</v>
      </c>
      <c r="C563" t="s">
        <v>78</v>
      </c>
      <c r="D563" t="s">
        <v>8</v>
      </c>
    </row>
    <row r="564" spans="1:4" x14ac:dyDescent="0.3">
      <c r="A564" t="s">
        <v>128</v>
      </c>
      <c r="B564" s="3">
        <v>0.88868547179433199</v>
      </c>
      <c r="C564" t="s">
        <v>78</v>
      </c>
      <c r="D564" t="s">
        <v>13</v>
      </c>
    </row>
    <row r="565" spans="1:4" x14ac:dyDescent="0.3">
      <c r="A565" t="s">
        <v>128</v>
      </c>
      <c r="B565" s="3">
        <v>0.93616594562998301</v>
      </c>
      <c r="C565" t="s">
        <v>78</v>
      </c>
      <c r="D565" t="s">
        <v>14</v>
      </c>
    </row>
    <row r="566" spans="1:4" x14ac:dyDescent="0.3">
      <c r="A566" t="s">
        <v>128</v>
      </c>
      <c r="B566" s="3">
        <v>0.80752618487726913</v>
      </c>
      <c r="C566" t="s">
        <v>79</v>
      </c>
      <c r="D566" t="s">
        <v>14</v>
      </c>
    </row>
    <row r="567" spans="1:4" x14ac:dyDescent="0.3">
      <c r="A567" t="s">
        <v>128</v>
      </c>
      <c r="B567" s="3">
        <v>0.93706304692543463</v>
      </c>
      <c r="C567" t="s">
        <v>80</v>
      </c>
      <c r="D567" t="s">
        <v>6</v>
      </c>
    </row>
    <row r="568" spans="1:4" x14ac:dyDescent="0.3">
      <c r="A568" t="s">
        <v>128</v>
      </c>
      <c r="B568" s="3">
        <v>0.87044051468981343</v>
      </c>
      <c r="C568" t="s">
        <v>80</v>
      </c>
      <c r="D568" t="s">
        <v>16</v>
      </c>
    </row>
    <row r="569" spans="1:4" x14ac:dyDescent="0.3">
      <c r="A569" t="s">
        <v>128</v>
      </c>
      <c r="B569" s="3">
        <v>0.92828203540181109</v>
      </c>
      <c r="C569" t="s">
        <v>80</v>
      </c>
      <c r="D569" t="s">
        <v>10</v>
      </c>
    </row>
    <row r="570" spans="1:4" x14ac:dyDescent="0.3">
      <c r="A570" t="s">
        <v>128</v>
      </c>
      <c r="B570" s="3">
        <v>0.93018829897773148</v>
      </c>
      <c r="C570" t="s">
        <v>80</v>
      </c>
      <c r="D570" t="s">
        <v>8</v>
      </c>
    </row>
    <row r="571" spans="1:4" x14ac:dyDescent="0.3">
      <c r="A571" t="s">
        <v>128</v>
      </c>
      <c r="B571" s="3">
        <v>0.92188604589608258</v>
      </c>
      <c r="C571" t="s">
        <v>80</v>
      </c>
      <c r="D571" t="s">
        <v>13</v>
      </c>
    </row>
    <row r="572" spans="1:4" x14ac:dyDescent="0.3">
      <c r="A572" t="s">
        <v>128</v>
      </c>
      <c r="B572" s="3">
        <v>0.92845226897113375</v>
      </c>
      <c r="C572" t="s">
        <v>80</v>
      </c>
      <c r="D572" t="s">
        <v>14</v>
      </c>
    </row>
    <row r="573" spans="1:4" x14ac:dyDescent="0.3">
      <c r="A573" t="s">
        <v>128</v>
      </c>
      <c r="B573" s="3">
        <v>0.95511136942661234</v>
      </c>
      <c r="C573" t="s">
        <v>81</v>
      </c>
      <c r="D573" t="s">
        <v>14</v>
      </c>
    </row>
    <row r="574" spans="1:4" x14ac:dyDescent="0.3">
      <c r="A574" t="s">
        <v>128</v>
      </c>
      <c r="B574" s="3">
        <v>0.71268458207186813</v>
      </c>
      <c r="C574" t="s">
        <v>82</v>
      </c>
      <c r="D574" t="s">
        <v>10</v>
      </c>
    </row>
    <row r="575" spans="1:4" x14ac:dyDescent="0.3">
      <c r="A575" t="s">
        <v>128</v>
      </c>
      <c r="B575" s="3">
        <v>0.98419015454848013</v>
      </c>
      <c r="C575" t="s">
        <v>83</v>
      </c>
      <c r="D575" t="s">
        <v>10</v>
      </c>
    </row>
    <row r="576" spans="1:4" x14ac:dyDescent="0.3">
      <c r="A576" t="s">
        <v>128</v>
      </c>
      <c r="B576" s="3">
        <v>0.96007498952515991</v>
      </c>
      <c r="C576" t="s">
        <v>83</v>
      </c>
      <c r="D576" t="s">
        <v>8</v>
      </c>
    </row>
    <row r="577" spans="1:4" x14ac:dyDescent="0.3">
      <c r="A577" t="s">
        <v>128</v>
      </c>
      <c r="B577" s="3">
        <v>0.95324323954124313</v>
      </c>
      <c r="C577" t="s">
        <v>84</v>
      </c>
      <c r="D577" t="s">
        <v>8</v>
      </c>
    </row>
    <row r="578" spans="1:4" x14ac:dyDescent="0.3">
      <c r="A578" t="s">
        <v>128</v>
      </c>
      <c r="B578" s="3">
        <v>0.97639746042236653</v>
      </c>
      <c r="C578" t="s">
        <v>85</v>
      </c>
      <c r="D578" t="s">
        <v>13</v>
      </c>
    </row>
    <row r="579" spans="1:4" x14ac:dyDescent="0.3">
      <c r="A579" t="s">
        <v>128</v>
      </c>
      <c r="B579" s="3">
        <v>0.94805264999250494</v>
      </c>
      <c r="C579" t="s">
        <v>86</v>
      </c>
      <c r="D579" t="s">
        <v>6</v>
      </c>
    </row>
    <row r="580" spans="1:4" x14ac:dyDescent="0.3">
      <c r="A580" t="s">
        <v>128</v>
      </c>
      <c r="B580" s="3">
        <v>0.97330569662923083</v>
      </c>
      <c r="C580" t="s">
        <v>86</v>
      </c>
      <c r="D580" t="s">
        <v>16</v>
      </c>
    </row>
    <row r="581" spans="1:4" x14ac:dyDescent="0.3">
      <c r="A581" t="s">
        <v>128</v>
      </c>
      <c r="B581" s="3">
        <v>0.96485555693293568</v>
      </c>
      <c r="C581" t="s">
        <v>86</v>
      </c>
      <c r="D581" t="s">
        <v>10</v>
      </c>
    </row>
    <row r="582" spans="1:4" x14ac:dyDescent="0.3">
      <c r="A582" t="s">
        <v>128</v>
      </c>
      <c r="B582" s="3">
        <v>0.94365409375386278</v>
      </c>
      <c r="C582" t="s">
        <v>86</v>
      </c>
      <c r="D582" t="s">
        <v>8</v>
      </c>
    </row>
    <row r="583" spans="1:4" x14ac:dyDescent="0.3">
      <c r="A583" t="s">
        <v>128</v>
      </c>
      <c r="B583" s="3">
        <v>0.9629642575992049</v>
      </c>
      <c r="C583" t="s">
        <v>86</v>
      </c>
      <c r="D583" t="s">
        <v>13</v>
      </c>
    </row>
    <row r="584" spans="1:4" x14ac:dyDescent="0.3">
      <c r="A584" t="s">
        <v>128</v>
      </c>
      <c r="B584" s="3">
        <v>0.95740865504797545</v>
      </c>
      <c r="C584" t="s">
        <v>86</v>
      </c>
      <c r="D584" t="s">
        <v>14</v>
      </c>
    </row>
    <row r="585" spans="1:4" x14ac:dyDescent="0.3">
      <c r="A585" t="s">
        <v>128</v>
      </c>
      <c r="B585" s="3">
        <v>0.85657613330600757</v>
      </c>
      <c r="C585" t="s">
        <v>87</v>
      </c>
    </row>
    <row r="586" spans="1:4" x14ac:dyDescent="0.3">
      <c r="A586" t="s">
        <v>128</v>
      </c>
      <c r="B586" s="3">
        <v>0.92882154498852398</v>
      </c>
      <c r="C586" t="s">
        <v>87</v>
      </c>
      <c r="D586" t="s">
        <v>6</v>
      </c>
    </row>
    <row r="587" spans="1:4" x14ac:dyDescent="0.3">
      <c r="A587" t="s">
        <v>128</v>
      </c>
      <c r="B587" s="3">
        <v>0.71990943905354465</v>
      </c>
      <c r="C587" t="s">
        <v>88</v>
      </c>
      <c r="D587" t="s">
        <v>6</v>
      </c>
    </row>
    <row r="588" spans="1:4" x14ac:dyDescent="0.3">
      <c r="A588" t="s">
        <v>128</v>
      </c>
      <c r="B588" s="3">
        <v>0.97795191050134378</v>
      </c>
      <c r="C588" t="s">
        <v>89</v>
      </c>
      <c r="D588" t="s">
        <v>8</v>
      </c>
    </row>
    <row r="589" spans="1:4" x14ac:dyDescent="0.3">
      <c r="A589" t="s">
        <v>128</v>
      </c>
      <c r="B589" s="3">
        <v>0.91917731167198258</v>
      </c>
      <c r="C589" t="s">
        <v>90</v>
      </c>
      <c r="D589" t="s">
        <v>6</v>
      </c>
    </row>
    <row r="590" spans="1:4" x14ac:dyDescent="0.3">
      <c r="A590" t="s">
        <v>128</v>
      </c>
      <c r="B590" s="3">
        <v>0.83280074839177687</v>
      </c>
      <c r="C590" t="s">
        <v>90</v>
      </c>
      <c r="D590" t="s">
        <v>10</v>
      </c>
    </row>
    <row r="591" spans="1:4" x14ac:dyDescent="0.3">
      <c r="A591" t="s">
        <v>128</v>
      </c>
      <c r="B591" s="3">
        <v>0.81226289752576353</v>
      </c>
      <c r="C591" t="s">
        <v>90</v>
      </c>
      <c r="D591" t="s">
        <v>8</v>
      </c>
    </row>
    <row r="592" spans="1:4" x14ac:dyDescent="0.3">
      <c r="A592" t="s">
        <v>128</v>
      </c>
      <c r="B592" s="3">
        <v>0.93915367496000879</v>
      </c>
      <c r="C592" t="s">
        <v>90</v>
      </c>
      <c r="D592" t="s">
        <v>13</v>
      </c>
    </row>
    <row r="593" spans="1:4" x14ac:dyDescent="0.3">
      <c r="A593" t="s">
        <v>128</v>
      </c>
      <c r="B593" s="3">
        <v>0.51260754592848845</v>
      </c>
      <c r="C593" t="s">
        <v>91</v>
      </c>
      <c r="D593" t="s">
        <v>8</v>
      </c>
    </row>
    <row r="594" spans="1:4" x14ac:dyDescent="0.3">
      <c r="A594" t="s">
        <v>128</v>
      </c>
      <c r="B594" s="3">
        <v>0.66890028382728639</v>
      </c>
      <c r="C594" t="s">
        <v>92</v>
      </c>
      <c r="D594" t="s">
        <v>16</v>
      </c>
    </row>
    <row r="595" spans="1:4" x14ac:dyDescent="0.3">
      <c r="A595" t="s">
        <v>128</v>
      </c>
      <c r="B595" s="3">
        <v>0.9880209690434566</v>
      </c>
      <c r="C595" t="s">
        <v>93</v>
      </c>
      <c r="D595" t="s">
        <v>14</v>
      </c>
    </row>
    <row r="596" spans="1:4" x14ac:dyDescent="0.3">
      <c r="A596" t="s">
        <v>128</v>
      </c>
      <c r="B596" s="3">
        <v>0.91317161093395804</v>
      </c>
      <c r="C596" t="s">
        <v>94</v>
      </c>
    </row>
    <row r="597" spans="1:4" x14ac:dyDescent="0.3">
      <c r="A597" t="s">
        <v>128</v>
      </c>
      <c r="B597" s="3">
        <v>0.76745074255200796</v>
      </c>
      <c r="C597" t="s">
        <v>94</v>
      </c>
      <c r="D597" t="s">
        <v>6</v>
      </c>
    </row>
    <row r="598" spans="1:4" x14ac:dyDescent="0.3">
      <c r="A598" t="s">
        <v>128</v>
      </c>
      <c r="B598" s="3">
        <v>0.85323704097570896</v>
      </c>
      <c r="C598" t="s">
        <v>95</v>
      </c>
      <c r="D598" t="s">
        <v>16</v>
      </c>
    </row>
    <row r="599" spans="1:4" x14ac:dyDescent="0.3">
      <c r="A599" t="s">
        <v>128</v>
      </c>
      <c r="B599" s="3">
        <v>0.7414681943754563</v>
      </c>
      <c r="C599" t="s">
        <v>96</v>
      </c>
      <c r="D599" t="s">
        <v>8</v>
      </c>
    </row>
    <row r="600" spans="1:4" x14ac:dyDescent="0.3">
      <c r="A600" t="s">
        <v>128</v>
      </c>
      <c r="B600" s="3">
        <v>0.97005254060100143</v>
      </c>
      <c r="C600" t="s">
        <v>97</v>
      </c>
      <c r="D600" t="s">
        <v>6</v>
      </c>
    </row>
    <row r="601" spans="1:4" x14ac:dyDescent="0.3">
      <c r="A601" t="s">
        <v>128</v>
      </c>
      <c r="B601" s="3">
        <v>0.83726568428229464</v>
      </c>
      <c r="C601" t="s">
        <v>97</v>
      </c>
      <c r="D601" t="s">
        <v>16</v>
      </c>
    </row>
    <row r="602" spans="1:4" x14ac:dyDescent="0.3">
      <c r="A602" t="s">
        <v>128</v>
      </c>
      <c r="B602" s="3">
        <v>0.96066271433417316</v>
      </c>
      <c r="C602" t="s">
        <v>97</v>
      </c>
      <c r="D602" t="s">
        <v>10</v>
      </c>
    </row>
    <row r="603" spans="1:4" x14ac:dyDescent="0.3">
      <c r="A603" t="s">
        <v>128</v>
      </c>
      <c r="B603" s="3">
        <v>0.96383598514264845</v>
      </c>
      <c r="C603" t="s">
        <v>97</v>
      </c>
      <c r="D603" t="s">
        <v>8</v>
      </c>
    </row>
    <row r="604" spans="1:4" x14ac:dyDescent="0.3">
      <c r="A604" t="s">
        <v>128</v>
      </c>
      <c r="B604" s="3">
        <v>0.94664490240160148</v>
      </c>
      <c r="C604" t="s">
        <v>97</v>
      </c>
      <c r="D604" t="s">
        <v>13</v>
      </c>
    </row>
    <row r="605" spans="1:4" x14ac:dyDescent="0.3">
      <c r="A605" t="s">
        <v>128</v>
      </c>
      <c r="B605" s="3">
        <v>0.96389658423878188</v>
      </c>
      <c r="C605" t="s">
        <v>97</v>
      </c>
      <c r="D605" t="s">
        <v>14</v>
      </c>
    </row>
    <row r="606" spans="1:4" x14ac:dyDescent="0.3">
      <c r="A606" t="s">
        <v>128</v>
      </c>
      <c r="B606" s="3">
        <v>0.58856033179266309</v>
      </c>
      <c r="C606" t="s">
        <v>98</v>
      </c>
      <c r="D606" t="s">
        <v>14</v>
      </c>
    </row>
    <row r="607" spans="1:4" x14ac:dyDescent="0.3">
      <c r="A607" t="s">
        <v>128</v>
      </c>
      <c r="B607" s="3">
        <v>0.95995849154424495</v>
      </c>
      <c r="C607" t="s">
        <v>99</v>
      </c>
      <c r="D607" t="s">
        <v>13</v>
      </c>
    </row>
    <row r="608" spans="1:4" x14ac:dyDescent="0.3">
      <c r="A608" t="s">
        <v>128</v>
      </c>
      <c r="B608" s="3">
        <v>0.8724413508040052</v>
      </c>
      <c r="C608" t="s">
        <v>100</v>
      </c>
      <c r="D608" t="s">
        <v>14</v>
      </c>
    </row>
    <row r="609" spans="1:4" x14ac:dyDescent="0.3">
      <c r="A609" t="s">
        <v>128</v>
      </c>
      <c r="B609" s="3">
        <v>0.9550676669403565</v>
      </c>
      <c r="C609" t="s">
        <v>101</v>
      </c>
      <c r="D609" t="s">
        <v>6</v>
      </c>
    </row>
    <row r="610" spans="1:4" x14ac:dyDescent="0.3">
      <c r="A610" t="s">
        <v>128</v>
      </c>
      <c r="B610" s="3">
        <v>0.95691091011960072</v>
      </c>
      <c r="C610" t="s">
        <v>101</v>
      </c>
      <c r="D610" t="s">
        <v>10</v>
      </c>
    </row>
    <row r="611" spans="1:4" x14ac:dyDescent="0.3">
      <c r="A611" t="s">
        <v>128</v>
      </c>
      <c r="B611" s="3">
        <v>0.93433070985051803</v>
      </c>
      <c r="C611" t="s">
        <v>101</v>
      </c>
      <c r="D611" t="s">
        <v>8</v>
      </c>
    </row>
    <row r="612" spans="1:4" x14ac:dyDescent="0.3">
      <c r="A612" t="s">
        <v>128</v>
      </c>
      <c r="B612" s="3">
        <v>0.96068078710830662</v>
      </c>
      <c r="C612" t="s">
        <v>101</v>
      </c>
      <c r="D612" t="s">
        <v>14</v>
      </c>
    </row>
    <row r="613" spans="1:4" x14ac:dyDescent="0.3">
      <c r="A613" t="s">
        <v>128</v>
      </c>
      <c r="B613" s="3">
        <v>0.90667362559849007</v>
      </c>
      <c r="C613" t="s">
        <v>102</v>
      </c>
      <c r="D613" t="s">
        <v>8</v>
      </c>
    </row>
    <row r="614" spans="1:4" x14ac:dyDescent="0.3">
      <c r="A614" t="s">
        <v>128</v>
      </c>
      <c r="B614" s="3">
        <v>0.97829682642824356</v>
      </c>
      <c r="C614" t="s">
        <v>103</v>
      </c>
      <c r="D614" t="s">
        <v>6</v>
      </c>
    </row>
    <row r="615" spans="1:4" x14ac:dyDescent="0.3">
      <c r="A615" t="s">
        <v>128</v>
      </c>
      <c r="B615" s="3">
        <v>0.98177760086000576</v>
      </c>
      <c r="C615" t="s">
        <v>103</v>
      </c>
      <c r="D615" t="s">
        <v>14</v>
      </c>
    </row>
    <row r="616" spans="1:4" x14ac:dyDescent="0.3">
      <c r="A616" t="s">
        <v>128</v>
      </c>
      <c r="B616" s="3">
        <v>0.43380520496329744</v>
      </c>
      <c r="C616" t="s">
        <v>104</v>
      </c>
      <c r="D616" t="s">
        <v>14</v>
      </c>
    </row>
    <row r="617" spans="1:4" x14ac:dyDescent="0.3">
      <c r="A617" t="s">
        <v>128</v>
      </c>
      <c r="B617" s="3">
        <v>0.97298716965741461</v>
      </c>
      <c r="C617" t="s">
        <v>105</v>
      </c>
      <c r="D617" t="s">
        <v>6</v>
      </c>
    </row>
    <row r="618" spans="1:4" x14ac:dyDescent="0.3">
      <c r="A618" t="s">
        <v>128</v>
      </c>
      <c r="B618" s="3">
        <v>0.94402011402856401</v>
      </c>
      <c r="C618" t="s">
        <v>105</v>
      </c>
      <c r="D618" t="s">
        <v>16</v>
      </c>
    </row>
    <row r="619" spans="1:4" x14ac:dyDescent="0.3">
      <c r="A619" t="s">
        <v>128</v>
      </c>
      <c r="B619" s="3">
        <v>0.96777701502269009</v>
      </c>
      <c r="C619" t="s">
        <v>105</v>
      </c>
      <c r="D619" t="s">
        <v>10</v>
      </c>
    </row>
    <row r="620" spans="1:4" x14ac:dyDescent="0.3">
      <c r="A620" t="s">
        <v>128</v>
      </c>
      <c r="B620" s="3">
        <v>0.96333516627475424</v>
      </c>
      <c r="C620" t="s">
        <v>105</v>
      </c>
      <c r="D620" t="s">
        <v>8</v>
      </c>
    </row>
    <row r="621" spans="1:4" x14ac:dyDescent="0.3">
      <c r="A621" t="s">
        <v>128</v>
      </c>
      <c r="B621" s="3">
        <v>0.9750951320301956</v>
      </c>
      <c r="C621" t="s">
        <v>105</v>
      </c>
      <c r="D621" t="s">
        <v>13</v>
      </c>
    </row>
    <row r="622" spans="1:4" x14ac:dyDescent="0.3">
      <c r="A622" t="s">
        <v>128</v>
      </c>
      <c r="B622" s="3">
        <v>0.9710065488056312</v>
      </c>
      <c r="C622" t="s">
        <v>105</v>
      </c>
      <c r="D622" t="s">
        <v>14</v>
      </c>
    </row>
    <row r="623" spans="1:4" x14ac:dyDescent="0.3">
      <c r="A623" t="s">
        <v>128</v>
      </c>
      <c r="B623" s="3">
        <v>0.97659137835959875</v>
      </c>
      <c r="C623" t="s">
        <v>106</v>
      </c>
      <c r="D623" t="s">
        <v>16</v>
      </c>
    </row>
    <row r="624" spans="1:4" x14ac:dyDescent="0.3">
      <c r="A624" t="s">
        <v>128</v>
      </c>
      <c r="B624" s="3">
        <v>0.89390082049058728</v>
      </c>
      <c r="C624" t="s">
        <v>107</v>
      </c>
      <c r="D624" t="s">
        <v>16</v>
      </c>
    </row>
    <row r="625" spans="1:4" x14ac:dyDescent="0.3">
      <c r="A625" t="s">
        <v>128</v>
      </c>
      <c r="B625" s="3">
        <v>0.95361572535617323</v>
      </c>
      <c r="C625" t="s">
        <v>108</v>
      </c>
      <c r="D625" t="s">
        <v>16</v>
      </c>
    </row>
    <row r="626" spans="1:4" x14ac:dyDescent="0.3">
      <c r="A626" t="s">
        <v>128</v>
      </c>
      <c r="B626" s="3">
        <v>0.76202953548940633</v>
      </c>
      <c r="C626" t="s">
        <v>109</v>
      </c>
      <c r="D626" t="s">
        <v>8</v>
      </c>
    </row>
    <row r="627" spans="1:4" x14ac:dyDescent="0.3">
      <c r="A627" t="s">
        <v>128</v>
      </c>
      <c r="B627" s="3">
        <v>0.94039668785972197</v>
      </c>
      <c r="C627" t="s">
        <v>110</v>
      </c>
    </row>
    <row r="628" spans="1:4" x14ac:dyDescent="0.3">
      <c r="A628" t="s">
        <v>128</v>
      </c>
      <c r="B628" s="3">
        <v>0.7761400384386965</v>
      </c>
      <c r="C628" t="s">
        <v>110</v>
      </c>
      <c r="D628" t="s">
        <v>6</v>
      </c>
    </row>
    <row r="629" spans="1:4" x14ac:dyDescent="0.3">
      <c r="A629" t="s">
        <v>128</v>
      </c>
      <c r="B629" s="3">
        <v>0.84362208539592032</v>
      </c>
      <c r="C629" t="s">
        <v>111</v>
      </c>
      <c r="D629" t="s">
        <v>13</v>
      </c>
    </row>
    <row r="630" spans="1:4" x14ac:dyDescent="0.3">
      <c r="A630" t="s">
        <v>128</v>
      </c>
      <c r="B630" s="3">
        <v>0.82613068876527129</v>
      </c>
      <c r="C630" t="s">
        <v>112</v>
      </c>
      <c r="D630" t="s">
        <v>6</v>
      </c>
    </row>
    <row r="631" spans="1:4" x14ac:dyDescent="0.3">
      <c r="A631" t="s">
        <v>128</v>
      </c>
      <c r="B631" s="3">
        <v>0.84967654684031624</v>
      </c>
      <c r="C631" t="s">
        <v>113</v>
      </c>
    </row>
    <row r="632" spans="1:4" x14ac:dyDescent="0.3">
      <c r="A632" t="s">
        <v>128</v>
      </c>
      <c r="B632" s="3">
        <v>0.96798781041500759</v>
      </c>
      <c r="C632" t="s">
        <v>113</v>
      </c>
      <c r="D632" t="s">
        <v>16</v>
      </c>
    </row>
    <row r="633" spans="1:4" x14ac:dyDescent="0.3">
      <c r="A633" t="s">
        <v>128</v>
      </c>
      <c r="B633" s="3">
        <v>0.80836503909361923</v>
      </c>
      <c r="C633" t="s">
        <v>114</v>
      </c>
      <c r="D633" t="s">
        <v>16</v>
      </c>
    </row>
    <row r="634" spans="1:4" x14ac:dyDescent="0.3">
      <c r="A634" t="s">
        <v>128</v>
      </c>
      <c r="B634" s="3">
        <v>0.84311196781819286</v>
      </c>
      <c r="C634" t="s">
        <v>115</v>
      </c>
      <c r="D634" t="s">
        <v>6</v>
      </c>
    </row>
    <row r="635" spans="1:4" x14ac:dyDescent="0.3">
      <c r="A635" t="s">
        <v>128</v>
      </c>
      <c r="B635" s="3">
        <v>0.88583541241883368</v>
      </c>
      <c r="C635" t="s">
        <v>116</v>
      </c>
      <c r="D635" t="s">
        <v>16</v>
      </c>
    </row>
    <row r="636" spans="1:4" x14ac:dyDescent="0.3">
      <c r="A636" t="s">
        <v>128</v>
      </c>
      <c r="B636" s="3">
        <v>0.73078262885397605</v>
      </c>
      <c r="C636" t="s">
        <v>117</v>
      </c>
      <c r="D636" t="s">
        <v>13</v>
      </c>
    </row>
    <row r="637" spans="1:4" x14ac:dyDescent="0.3">
      <c r="A637" t="s">
        <v>128</v>
      </c>
      <c r="B637" s="3">
        <v>0.82428411374807964</v>
      </c>
      <c r="C637" t="s">
        <v>118</v>
      </c>
    </row>
    <row r="638" spans="1:4" x14ac:dyDescent="0.3">
      <c r="A638" t="s">
        <v>128</v>
      </c>
      <c r="B638" s="3">
        <v>0.93106457731185466</v>
      </c>
      <c r="C638" t="s">
        <v>118</v>
      </c>
      <c r="D638" t="s">
        <v>16</v>
      </c>
    </row>
    <row r="639" spans="1:4" x14ac:dyDescent="0.3">
      <c r="A639" t="s">
        <v>128</v>
      </c>
      <c r="B639" s="3">
        <v>0.94166772577268676</v>
      </c>
      <c r="C639" t="s">
        <v>118</v>
      </c>
      <c r="D639" t="s">
        <v>13</v>
      </c>
    </row>
    <row r="640" spans="1:4" x14ac:dyDescent="0.3">
      <c r="A640" t="s">
        <v>128</v>
      </c>
      <c r="B640" s="3">
        <v>0.82339500707849</v>
      </c>
      <c r="C640" t="s">
        <v>119</v>
      </c>
      <c r="D640" t="s">
        <v>8</v>
      </c>
    </row>
    <row r="641" spans="1:4" x14ac:dyDescent="0.3">
      <c r="A641" t="s">
        <v>128</v>
      </c>
      <c r="B641" s="3">
        <v>0.43894992654190101</v>
      </c>
      <c r="C641" t="s">
        <v>120</v>
      </c>
      <c r="D641" t="s">
        <v>14</v>
      </c>
    </row>
    <row r="642" spans="1:4" x14ac:dyDescent="0.3">
      <c r="A642" t="s">
        <v>128</v>
      </c>
      <c r="B642" s="3">
        <v>0.76398011900075735</v>
      </c>
      <c r="C642" t="s">
        <v>121</v>
      </c>
      <c r="D642" t="s">
        <v>16</v>
      </c>
    </row>
    <row r="643" spans="1:4" x14ac:dyDescent="0.3">
      <c r="A643" t="s">
        <v>128</v>
      </c>
      <c r="B643" s="3">
        <v>0.92714957998413705</v>
      </c>
      <c r="C643" t="s">
        <v>122</v>
      </c>
      <c r="D643" t="s">
        <v>16</v>
      </c>
    </row>
    <row r="644" spans="1:4" x14ac:dyDescent="0.3">
      <c r="A644" t="s">
        <v>128</v>
      </c>
      <c r="B644" s="3">
        <v>0.95047533304606602</v>
      </c>
      <c r="C644" t="s">
        <v>123</v>
      </c>
      <c r="D644" t="s">
        <v>16</v>
      </c>
    </row>
    <row r="645" spans="1:4" x14ac:dyDescent="0.3">
      <c r="A645" t="s">
        <v>128</v>
      </c>
      <c r="B645" s="3">
        <v>0.94891330437339205</v>
      </c>
      <c r="C645" t="s">
        <v>124</v>
      </c>
      <c r="D645" t="s">
        <v>6</v>
      </c>
    </row>
    <row r="646" spans="1:4" x14ac:dyDescent="0.3">
      <c r="A646" t="s">
        <v>128</v>
      </c>
      <c r="B646" s="3">
        <v>0.89224516626593919</v>
      </c>
      <c r="C646" t="s">
        <v>125</v>
      </c>
      <c r="D646" t="s">
        <v>14</v>
      </c>
    </row>
    <row r="647" spans="1:4" x14ac:dyDescent="0.3">
      <c r="A647" t="s">
        <v>128</v>
      </c>
      <c r="B647" s="3">
        <v>0.85840242273577494</v>
      </c>
      <c r="C647" t="s">
        <v>126</v>
      </c>
      <c r="D647" t="s">
        <v>10</v>
      </c>
    </row>
    <row r="648" spans="1:4" x14ac:dyDescent="0.3">
      <c r="A648" t="s">
        <v>128</v>
      </c>
      <c r="B648" s="3">
        <v>0.97587427140777294</v>
      </c>
      <c r="C648" t="s">
        <v>126</v>
      </c>
      <c r="D648" t="s">
        <v>8</v>
      </c>
    </row>
    <row r="649" spans="1:4" x14ac:dyDescent="0.3">
      <c r="A649" t="s">
        <v>128</v>
      </c>
      <c r="B649" s="3">
        <v>0.96294332034131824</v>
      </c>
      <c r="C649" t="s">
        <v>126</v>
      </c>
      <c r="D649" t="s">
        <v>13</v>
      </c>
    </row>
    <row r="650" spans="1:4" x14ac:dyDescent="0.3">
      <c r="A650" t="s">
        <v>129</v>
      </c>
      <c r="B650" s="3">
        <v>1</v>
      </c>
      <c r="C650" t="s">
        <v>5</v>
      </c>
      <c r="D650" t="s">
        <v>6</v>
      </c>
    </row>
    <row r="651" spans="1:4" x14ac:dyDescent="0.3">
      <c r="A651" t="s">
        <v>129</v>
      </c>
      <c r="B651" s="3">
        <v>0.8547539809455883</v>
      </c>
      <c r="C651" t="s">
        <v>7</v>
      </c>
      <c r="D651" t="s">
        <v>8</v>
      </c>
    </row>
    <row r="652" spans="1:4" x14ac:dyDescent="0.3">
      <c r="A652" t="s">
        <v>129</v>
      </c>
      <c r="B652" s="3">
        <v>0.90323636003382202</v>
      </c>
      <c r="C652" t="s">
        <v>9</v>
      </c>
      <c r="D652" t="s">
        <v>6</v>
      </c>
    </row>
    <row r="653" spans="1:4" x14ac:dyDescent="0.3">
      <c r="A653" t="s">
        <v>129</v>
      </c>
      <c r="B653" s="3">
        <v>0.97661742255975381</v>
      </c>
      <c r="C653" t="s">
        <v>9</v>
      </c>
      <c r="D653" t="s">
        <v>10</v>
      </c>
    </row>
    <row r="654" spans="1:4" x14ac:dyDescent="0.3">
      <c r="A654" t="s">
        <v>129</v>
      </c>
      <c r="B654" s="3">
        <v>0.90218887354218757</v>
      </c>
      <c r="C654" t="s">
        <v>9</v>
      </c>
      <c r="D654" t="s">
        <v>8</v>
      </c>
    </row>
    <row r="655" spans="1:4" x14ac:dyDescent="0.3">
      <c r="A655" t="s">
        <v>129</v>
      </c>
      <c r="B655" s="3">
        <v>0.6361625540012622</v>
      </c>
      <c r="C655" t="s">
        <v>11</v>
      </c>
      <c r="D655" t="s">
        <v>8</v>
      </c>
    </row>
    <row r="656" spans="1:4" x14ac:dyDescent="0.3">
      <c r="A656" t="s">
        <v>129</v>
      </c>
      <c r="B656" s="3">
        <v>0.46958116683434253</v>
      </c>
      <c r="C656" t="s">
        <v>12</v>
      </c>
      <c r="D656" t="s">
        <v>6</v>
      </c>
    </row>
    <row r="657" spans="1:4" x14ac:dyDescent="0.3">
      <c r="A657" t="s">
        <v>129</v>
      </c>
      <c r="B657" s="3">
        <v>0.50519353436947101</v>
      </c>
      <c r="C657" t="s">
        <v>12</v>
      </c>
      <c r="D657" t="s">
        <v>10</v>
      </c>
    </row>
    <row r="658" spans="1:4" x14ac:dyDescent="0.3">
      <c r="A658" t="s">
        <v>129</v>
      </c>
      <c r="B658" s="3">
        <v>0.46150041098540751</v>
      </c>
      <c r="C658" t="s">
        <v>12</v>
      </c>
      <c r="D658" t="s">
        <v>8</v>
      </c>
    </row>
    <row r="659" spans="1:4" x14ac:dyDescent="0.3">
      <c r="A659" t="s">
        <v>129</v>
      </c>
      <c r="B659" s="3">
        <v>0.51625889990422291</v>
      </c>
      <c r="C659" t="s">
        <v>12</v>
      </c>
      <c r="D659" t="s">
        <v>13</v>
      </c>
    </row>
    <row r="660" spans="1:4" x14ac:dyDescent="0.3">
      <c r="A660" t="s">
        <v>129</v>
      </c>
      <c r="B660" s="3">
        <v>0.32789866628525743</v>
      </c>
      <c r="C660" t="s">
        <v>12</v>
      </c>
      <c r="D660" t="s">
        <v>14</v>
      </c>
    </row>
    <row r="661" spans="1:4" x14ac:dyDescent="0.3">
      <c r="A661" t="s">
        <v>129</v>
      </c>
      <c r="B661" s="3">
        <v>0.930060002717644</v>
      </c>
      <c r="C661" t="s">
        <v>15</v>
      </c>
    </row>
    <row r="662" spans="1:4" x14ac:dyDescent="0.3">
      <c r="A662" t="s">
        <v>129</v>
      </c>
      <c r="B662" s="3">
        <v>0.98137141291182106</v>
      </c>
      <c r="C662" t="s">
        <v>15</v>
      </c>
      <c r="D662" t="s">
        <v>16</v>
      </c>
    </row>
    <row r="663" spans="1:4" x14ac:dyDescent="0.3">
      <c r="A663" t="s">
        <v>129</v>
      </c>
      <c r="B663" s="3">
        <v>0.97859280674142957</v>
      </c>
      <c r="C663" t="s">
        <v>15</v>
      </c>
      <c r="D663" t="s">
        <v>13</v>
      </c>
    </row>
    <row r="664" spans="1:4" x14ac:dyDescent="0.3">
      <c r="A664" t="s">
        <v>129</v>
      </c>
      <c r="B664" s="3">
        <v>0.94670853037562208</v>
      </c>
      <c r="C664" t="s">
        <v>17</v>
      </c>
      <c r="D664" t="s">
        <v>16</v>
      </c>
    </row>
    <row r="665" spans="1:4" x14ac:dyDescent="0.3">
      <c r="A665" t="s">
        <v>129</v>
      </c>
      <c r="B665" s="3">
        <v>0.98190763293782346</v>
      </c>
      <c r="C665" t="s">
        <v>17</v>
      </c>
      <c r="D665" t="s">
        <v>8</v>
      </c>
    </row>
    <row r="666" spans="1:4" x14ac:dyDescent="0.3">
      <c r="A666" t="s">
        <v>129</v>
      </c>
      <c r="B666" s="3">
        <v>0.97640275199746696</v>
      </c>
      <c r="C666" t="s">
        <v>17</v>
      </c>
      <c r="D666" t="s">
        <v>13</v>
      </c>
    </row>
    <row r="667" spans="1:4" x14ac:dyDescent="0.3">
      <c r="A667" t="s">
        <v>129</v>
      </c>
      <c r="B667" s="3">
        <v>0.94036635996724693</v>
      </c>
      <c r="C667" t="s">
        <v>18</v>
      </c>
      <c r="D667" t="s">
        <v>10</v>
      </c>
    </row>
    <row r="668" spans="1:4" x14ac:dyDescent="0.3">
      <c r="A668" t="s">
        <v>129</v>
      </c>
      <c r="B668" s="3">
        <v>0.89347468689846699</v>
      </c>
      <c r="C668" t="s">
        <v>19</v>
      </c>
      <c r="D668" t="s">
        <v>10</v>
      </c>
    </row>
    <row r="669" spans="1:4" x14ac:dyDescent="0.3">
      <c r="A669" t="s">
        <v>129</v>
      </c>
      <c r="B669" s="3">
        <v>0.93237744646096021</v>
      </c>
      <c r="C669" t="s">
        <v>20</v>
      </c>
      <c r="D669" t="s">
        <v>8</v>
      </c>
    </row>
    <row r="670" spans="1:4" x14ac:dyDescent="0.3">
      <c r="A670" t="s">
        <v>129</v>
      </c>
      <c r="B670" s="3">
        <v>0.6837989842083616</v>
      </c>
      <c r="C670" t="s">
        <v>21</v>
      </c>
      <c r="D670" t="s">
        <v>6</v>
      </c>
    </row>
    <row r="671" spans="1:4" x14ac:dyDescent="0.3">
      <c r="A671" t="s">
        <v>129</v>
      </c>
      <c r="B671" s="3">
        <v>0.64558782030003825</v>
      </c>
      <c r="C671" t="s">
        <v>21</v>
      </c>
      <c r="D671" t="s">
        <v>10</v>
      </c>
    </row>
    <row r="672" spans="1:4" x14ac:dyDescent="0.3">
      <c r="A672" t="s">
        <v>129</v>
      </c>
      <c r="B672" s="3">
        <v>0.85645548476890676</v>
      </c>
      <c r="C672" t="s">
        <v>22</v>
      </c>
      <c r="D672" t="s">
        <v>10</v>
      </c>
    </row>
    <row r="673" spans="1:4" x14ac:dyDescent="0.3">
      <c r="A673" t="s">
        <v>129</v>
      </c>
      <c r="B673" s="3">
        <v>0.43624891335394084</v>
      </c>
      <c r="C673" t="s">
        <v>23</v>
      </c>
      <c r="D673" t="s">
        <v>13</v>
      </c>
    </row>
    <row r="674" spans="1:4" x14ac:dyDescent="0.3">
      <c r="A674" t="s">
        <v>129</v>
      </c>
      <c r="B674" s="3">
        <v>0.82410031246332249</v>
      </c>
      <c r="C674" t="s">
        <v>24</v>
      </c>
    </row>
    <row r="675" spans="1:4" x14ac:dyDescent="0.3">
      <c r="A675" t="s">
        <v>129</v>
      </c>
      <c r="B675" s="3">
        <v>0.69160971298276053</v>
      </c>
      <c r="C675" t="s">
        <v>24</v>
      </c>
      <c r="D675" t="s">
        <v>6</v>
      </c>
    </row>
    <row r="676" spans="1:4" x14ac:dyDescent="0.3">
      <c r="A676" t="s">
        <v>129</v>
      </c>
      <c r="B676" s="3">
        <v>0.78919901013315574</v>
      </c>
      <c r="C676" t="s">
        <v>25</v>
      </c>
    </row>
    <row r="677" spans="1:4" x14ac:dyDescent="0.3">
      <c r="A677" t="s">
        <v>129</v>
      </c>
      <c r="B677" s="3">
        <v>0.78138952821259966</v>
      </c>
      <c r="C677" t="s">
        <v>25</v>
      </c>
      <c r="D677" t="s">
        <v>16</v>
      </c>
    </row>
    <row r="678" spans="1:4" x14ac:dyDescent="0.3">
      <c r="A678" t="s">
        <v>129</v>
      </c>
      <c r="B678" s="3">
        <v>0.55404974990510236</v>
      </c>
      <c r="C678" t="s">
        <v>26</v>
      </c>
      <c r="D678" t="s">
        <v>6</v>
      </c>
    </row>
    <row r="679" spans="1:4" x14ac:dyDescent="0.3">
      <c r="A679" t="s">
        <v>129</v>
      </c>
      <c r="B679" s="3">
        <v>0.84902229507338289</v>
      </c>
      <c r="C679" t="s">
        <v>27</v>
      </c>
      <c r="D679" t="s">
        <v>14</v>
      </c>
    </row>
    <row r="680" spans="1:4" x14ac:dyDescent="0.3">
      <c r="A680" t="s">
        <v>129</v>
      </c>
      <c r="B680" s="3">
        <v>0.93824549964643422</v>
      </c>
      <c r="C680" t="s">
        <v>28</v>
      </c>
      <c r="D680" t="s">
        <v>8</v>
      </c>
    </row>
    <row r="681" spans="1:4" x14ac:dyDescent="0.3">
      <c r="A681" t="s">
        <v>129</v>
      </c>
      <c r="B681" s="3">
        <v>0.9438754989271384</v>
      </c>
      <c r="C681" t="s">
        <v>28</v>
      </c>
      <c r="D681" t="s">
        <v>14</v>
      </c>
    </row>
    <row r="682" spans="1:4" x14ac:dyDescent="0.3">
      <c r="A682" t="s">
        <v>129</v>
      </c>
      <c r="B682" s="3">
        <v>0.97219802160257185</v>
      </c>
      <c r="C682" t="s">
        <v>29</v>
      </c>
      <c r="D682" t="s">
        <v>6</v>
      </c>
    </row>
    <row r="683" spans="1:4" x14ac:dyDescent="0.3">
      <c r="A683" t="s">
        <v>129</v>
      </c>
      <c r="B683" s="3">
        <v>0.9692140043161368</v>
      </c>
      <c r="C683" t="s">
        <v>29</v>
      </c>
      <c r="D683" t="s">
        <v>10</v>
      </c>
    </row>
    <row r="684" spans="1:4" x14ac:dyDescent="0.3">
      <c r="A684" t="s">
        <v>129</v>
      </c>
      <c r="B684" s="3">
        <v>0.93538901812749931</v>
      </c>
      <c r="C684" t="s">
        <v>29</v>
      </c>
      <c r="D684" t="s">
        <v>8</v>
      </c>
    </row>
    <row r="685" spans="1:4" x14ac:dyDescent="0.3">
      <c r="A685" t="s">
        <v>129</v>
      </c>
      <c r="B685" s="3">
        <v>0.95008043806179332</v>
      </c>
      <c r="C685" t="s">
        <v>29</v>
      </c>
      <c r="D685" t="s">
        <v>13</v>
      </c>
    </row>
    <row r="686" spans="1:4" x14ac:dyDescent="0.3">
      <c r="A686" t="s">
        <v>129</v>
      </c>
      <c r="B686" s="3">
        <v>0.95657391701715022</v>
      </c>
      <c r="C686" t="s">
        <v>29</v>
      </c>
      <c r="D686" t="s">
        <v>14</v>
      </c>
    </row>
    <row r="687" spans="1:4" x14ac:dyDescent="0.3">
      <c r="A687" t="s">
        <v>129</v>
      </c>
      <c r="B687" s="3">
        <v>0.83001883808463428</v>
      </c>
      <c r="C687" t="s">
        <v>30</v>
      </c>
      <c r="D687" t="s">
        <v>6</v>
      </c>
    </row>
    <row r="688" spans="1:4" x14ac:dyDescent="0.3">
      <c r="A688" t="s">
        <v>129</v>
      </c>
      <c r="B688" s="3">
        <v>0.51155302653378787</v>
      </c>
      <c r="C688" t="s">
        <v>31</v>
      </c>
      <c r="D688" t="s">
        <v>13</v>
      </c>
    </row>
    <row r="689" spans="1:4" x14ac:dyDescent="0.3">
      <c r="A689" t="s">
        <v>129</v>
      </c>
      <c r="B689" s="3">
        <v>0.93273180317790561</v>
      </c>
      <c r="C689" t="s">
        <v>32</v>
      </c>
    </row>
    <row r="690" spans="1:4" x14ac:dyDescent="0.3">
      <c r="A690" t="s">
        <v>129</v>
      </c>
      <c r="B690" s="3">
        <v>0.48520852313689705</v>
      </c>
      <c r="C690" t="s">
        <v>32</v>
      </c>
      <c r="D690" t="s">
        <v>6</v>
      </c>
    </row>
    <row r="691" spans="1:4" x14ac:dyDescent="0.3">
      <c r="A691" t="s">
        <v>129</v>
      </c>
      <c r="B691" s="3">
        <v>0.93769426739446993</v>
      </c>
      <c r="C691" t="s">
        <v>32</v>
      </c>
      <c r="D691" t="s">
        <v>16</v>
      </c>
    </row>
    <row r="692" spans="1:4" x14ac:dyDescent="0.3">
      <c r="A692" t="s">
        <v>129</v>
      </c>
      <c r="B692" s="3">
        <v>0.94116254607746519</v>
      </c>
      <c r="C692" t="s">
        <v>32</v>
      </c>
      <c r="D692" t="s">
        <v>13</v>
      </c>
    </row>
    <row r="693" spans="1:4" x14ac:dyDescent="0.3">
      <c r="A693" t="s">
        <v>129</v>
      </c>
      <c r="B693" s="3">
        <v>0.70193042964606878</v>
      </c>
      <c r="C693" t="s">
        <v>33</v>
      </c>
      <c r="D693" t="s">
        <v>10</v>
      </c>
    </row>
    <row r="694" spans="1:4" x14ac:dyDescent="0.3">
      <c r="A694" t="s">
        <v>129</v>
      </c>
      <c r="B694" s="3">
        <v>0.94852165437429015</v>
      </c>
      <c r="C694" t="s">
        <v>34</v>
      </c>
    </row>
    <row r="695" spans="1:4" x14ac:dyDescent="0.3">
      <c r="A695" t="s">
        <v>129</v>
      </c>
      <c r="B695" s="3">
        <v>0.92374329551245982</v>
      </c>
      <c r="C695" t="s">
        <v>34</v>
      </c>
      <c r="D695" t="s">
        <v>16</v>
      </c>
    </row>
    <row r="696" spans="1:4" x14ac:dyDescent="0.3">
      <c r="A696" t="s">
        <v>129</v>
      </c>
      <c r="B696" s="3">
        <v>0.86506447938602982</v>
      </c>
      <c r="C696" t="s">
        <v>35</v>
      </c>
      <c r="D696" t="s">
        <v>16</v>
      </c>
    </row>
    <row r="697" spans="1:4" x14ac:dyDescent="0.3">
      <c r="A697" t="s">
        <v>129</v>
      </c>
      <c r="B697" s="3">
        <v>0.93635891501466517</v>
      </c>
      <c r="C697" t="s">
        <v>36</v>
      </c>
      <c r="D697" t="s">
        <v>13</v>
      </c>
    </row>
    <row r="698" spans="1:4" x14ac:dyDescent="0.3">
      <c r="A698" t="s">
        <v>129</v>
      </c>
      <c r="B698" s="3">
        <v>0.89356590734645702</v>
      </c>
      <c r="C698" t="s">
        <v>37</v>
      </c>
      <c r="D698" t="s">
        <v>10</v>
      </c>
    </row>
    <row r="699" spans="1:4" x14ac:dyDescent="0.3">
      <c r="A699" t="s">
        <v>129</v>
      </c>
      <c r="B699" s="3">
        <v>0.92333756806070222</v>
      </c>
      <c r="C699" t="s">
        <v>38</v>
      </c>
    </row>
    <row r="700" spans="1:4" x14ac:dyDescent="0.3">
      <c r="A700" t="s">
        <v>129</v>
      </c>
      <c r="B700" s="3">
        <v>0.82440511044838782</v>
      </c>
      <c r="C700" t="s">
        <v>38</v>
      </c>
      <c r="D700" t="s">
        <v>14</v>
      </c>
    </row>
    <row r="701" spans="1:4" x14ac:dyDescent="0.3">
      <c r="A701" t="s">
        <v>129</v>
      </c>
      <c r="B701" s="3">
        <v>0.94561242552834046</v>
      </c>
      <c r="C701" t="s">
        <v>39</v>
      </c>
      <c r="D701" t="s">
        <v>6</v>
      </c>
    </row>
    <row r="702" spans="1:4" x14ac:dyDescent="0.3">
      <c r="A702" t="s">
        <v>129</v>
      </c>
      <c r="B702" s="3">
        <v>0.94242305512172309</v>
      </c>
      <c r="C702" t="s">
        <v>39</v>
      </c>
      <c r="D702" t="s">
        <v>10</v>
      </c>
    </row>
    <row r="703" spans="1:4" x14ac:dyDescent="0.3">
      <c r="A703" t="s">
        <v>129</v>
      </c>
      <c r="B703" s="3">
        <v>0.93944361516677022</v>
      </c>
      <c r="C703" t="s">
        <v>39</v>
      </c>
      <c r="D703" t="s">
        <v>8</v>
      </c>
    </row>
    <row r="704" spans="1:4" x14ac:dyDescent="0.3">
      <c r="A704" t="s">
        <v>129</v>
      </c>
      <c r="B704" s="3">
        <v>0.72576011158472165</v>
      </c>
      <c r="C704" t="s">
        <v>40</v>
      </c>
      <c r="D704" t="s">
        <v>6</v>
      </c>
    </row>
    <row r="705" spans="1:4" x14ac:dyDescent="0.3">
      <c r="A705" t="s">
        <v>129</v>
      </c>
      <c r="B705" s="3">
        <v>0.62154877669886721</v>
      </c>
      <c r="C705" t="s">
        <v>41</v>
      </c>
    </row>
    <row r="706" spans="1:4" x14ac:dyDescent="0.3">
      <c r="A706" t="s">
        <v>129</v>
      </c>
      <c r="B706" s="3">
        <v>0.44891380920927143</v>
      </c>
      <c r="C706" t="s">
        <v>41</v>
      </c>
      <c r="D706" t="s">
        <v>8</v>
      </c>
    </row>
    <row r="707" spans="1:4" x14ac:dyDescent="0.3">
      <c r="A707" t="s">
        <v>129</v>
      </c>
      <c r="B707" s="3">
        <v>0.97616590226359801</v>
      </c>
      <c r="C707" t="s">
        <v>42</v>
      </c>
      <c r="D707" t="s">
        <v>10</v>
      </c>
    </row>
    <row r="708" spans="1:4" x14ac:dyDescent="0.3">
      <c r="A708" t="s">
        <v>129</v>
      </c>
      <c r="B708" s="3">
        <v>0.98126050810985965</v>
      </c>
      <c r="C708" t="s">
        <v>42</v>
      </c>
      <c r="D708" t="s">
        <v>8</v>
      </c>
    </row>
    <row r="709" spans="1:4" x14ac:dyDescent="0.3">
      <c r="A709" t="s">
        <v>129</v>
      </c>
      <c r="B709" s="3">
        <v>0.86252475938215922</v>
      </c>
      <c r="C709" t="s">
        <v>43</v>
      </c>
      <c r="D709" t="s">
        <v>10</v>
      </c>
    </row>
    <row r="710" spans="1:4" x14ac:dyDescent="0.3">
      <c r="A710" t="s">
        <v>129</v>
      </c>
      <c r="B710" s="3">
        <v>0.95495879333997502</v>
      </c>
      <c r="C710" t="s">
        <v>44</v>
      </c>
      <c r="D710" t="s">
        <v>6</v>
      </c>
    </row>
    <row r="711" spans="1:4" x14ac:dyDescent="0.3">
      <c r="A711" t="s">
        <v>129</v>
      </c>
      <c r="B711" s="3">
        <v>0.9610640343637733</v>
      </c>
      <c r="C711" t="s">
        <v>44</v>
      </c>
      <c r="D711" t="s">
        <v>14</v>
      </c>
    </row>
    <row r="712" spans="1:4" x14ac:dyDescent="0.3">
      <c r="A712" t="s">
        <v>129</v>
      </c>
      <c r="B712" s="3">
        <v>0.47008574367601152</v>
      </c>
      <c r="C712" t="s">
        <v>45</v>
      </c>
      <c r="D712" t="s">
        <v>8</v>
      </c>
    </row>
    <row r="713" spans="1:4" x14ac:dyDescent="0.3">
      <c r="A713" t="s">
        <v>129</v>
      </c>
      <c r="B713" s="3">
        <v>0.29193079708291308</v>
      </c>
      <c r="C713" t="s">
        <v>46</v>
      </c>
      <c r="D713" t="s">
        <v>10</v>
      </c>
    </row>
    <row r="714" spans="1:4" x14ac:dyDescent="0.3">
      <c r="A714" t="s">
        <v>129</v>
      </c>
      <c r="B714" s="3">
        <v>0.95882542491001821</v>
      </c>
      <c r="C714" t="s">
        <v>47</v>
      </c>
      <c r="D714" t="s">
        <v>10</v>
      </c>
    </row>
    <row r="715" spans="1:4" x14ac:dyDescent="0.3">
      <c r="A715" t="s">
        <v>129</v>
      </c>
      <c r="B715" s="3">
        <v>0.96046005542500157</v>
      </c>
      <c r="C715" t="s">
        <v>47</v>
      </c>
      <c r="D715" t="s">
        <v>8</v>
      </c>
    </row>
    <row r="716" spans="1:4" x14ac:dyDescent="0.3">
      <c r="A716" t="s">
        <v>129</v>
      </c>
      <c r="B716" s="3">
        <v>0.96130766448069438</v>
      </c>
      <c r="C716" t="s">
        <v>47</v>
      </c>
      <c r="D716" t="s">
        <v>14</v>
      </c>
    </row>
    <row r="717" spans="1:4" x14ac:dyDescent="0.3">
      <c r="A717" t="s">
        <v>129</v>
      </c>
      <c r="B717" s="3">
        <v>0.81789283638975108</v>
      </c>
      <c r="C717" t="s">
        <v>48</v>
      </c>
      <c r="D717" t="s">
        <v>6</v>
      </c>
    </row>
    <row r="718" spans="1:4" x14ac:dyDescent="0.3">
      <c r="A718" t="s">
        <v>129</v>
      </c>
      <c r="B718" s="3">
        <v>0.83103187551180668</v>
      </c>
      <c r="C718" t="s">
        <v>48</v>
      </c>
      <c r="D718" t="s">
        <v>10</v>
      </c>
    </row>
    <row r="719" spans="1:4" x14ac:dyDescent="0.3">
      <c r="A719" t="s">
        <v>129</v>
      </c>
      <c r="B719" s="3">
        <v>0.73936777551203681</v>
      </c>
      <c r="C719" t="s">
        <v>48</v>
      </c>
      <c r="D719" t="s">
        <v>14</v>
      </c>
    </row>
    <row r="720" spans="1:4" x14ac:dyDescent="0.3">
      <c r="A720" t="s">
        <v>129</v>
      </c>
      <c r="B720" s="3">
        <v>0.77778688729611289</v>
      </c>
      <c r="C720" t="s">
        <v>49</v>
      </c>
    </row>
    <row r="721" spans="1:4" x14ac:dyDescent="0.3">
      <c r="A721" t="s">
        <v>129</v>
      </c>
      <c r="B721" s="3">
        <v>0.89948383841021318</v>
      </c>
      <c r="C721" t="s">
        <v>49</v>
      </c>
      <c r="D721" t="s">
        <v>16</v>
      </c>
    </row>
    <row r="722" spans="1:4" x14ac:dyDescent="0.3">
      <c r="A722" t="s">
        <v>129</v>
      </c>
      <c r="B722" s="3">
        <v>0.89065937223330649</v>
      </c>
      <c r="C722" t="s">
        <v>50</v>
      </c>
      <c r="D722" t="s">
        <v>10</v>
      </c>
    </row>
    <row r="723" spans="1:4" x14ac:dyDescent="0.3">
      <c r="A723" t="s">
        <v>129</v>
      </c>
      <c r="B723" s="3">
        <v>0.83681096770716712</v>
      </c>
      <c r="C723" t="s">
        <v>50</v>
      </c>
      <c r="D723" t="s">
        <v>14</v>
      </c>
    </row>
    <row r="724" spans="1:4" x14ac:dyDescent="0.3">
      <c r="A724" t="s">
        <v>129</v>
      </c>
      <c r="B724" s="3">
        <v>0.95850051922259194</v>
      </c>
      <c r="C724" t="s">
        <v>51</v>
      </c>
      <c r="D724" t="s">
        <v>8</v>
      </c>
    </row>
    <row r="725" spans="1:4" x14ac:dyDescent="0.3">
      <c r="A725" t="s">
        <v>129</v>
      </c>
      <c r="B725" s="3">
        <v>0.77354548811996104</v>
      </c>
      <c r="C725" t="s">
        <v>52</v>
      </c>
      <c r="D725" t="s">
        <v>6</v>
      </c>
    </row>
    <row r="726" spans="1:4" x14ac:dyDescent="0.3">
      <c r="A726" t="s">
        <v>129</v>
      </c>
      <c r="B726" s="3">
        <v>0.57258478043004402</v>
      </c>
      <c r="C726" t="s">
        <v>52</v>
      </c>
      <c r="D726" t="s">
        <v>8</v>
      </c>
    </row>
    <row r="727" spans="1:4" x14ac:dyDescent="0.3">
      <c r="A727" t="s">
        <v>129</v>
      </c>
      <c r="B727" s="3">
        <v>0.55180678713451325</v>
      </c>
      <c r="C727" t="s">
        <v>52</v>
      </c>
      <c r="D727" t="s">
        <v>13</v>
      </c>
    </row>
    <row r="728" spans="1:4" x14ac:dyDescent="0.3">
      <c r="A728" t="s">
        <v>129</v>
      </c>
      <c r="B728" s="3">
        <v>0.95653495433965197</v>
      </c>
      <c r="C728" t="s">
        <v>53</v>
      </c>
      <c r="D728" t="s">
        <v>8</v>
      </c>
    </row>
    <row r="729" spans="1:4" x14ac:dyDescent="0.3">
      <c r="A729" t="s">
        <v>129</v>
      </c>
      <c r="B729" s="3">
        <v>0.86686288534439604</v>
      </c>
      <c r="C729" t="s">
        <v>54</v>
      </c>
    </row>
    <row r="730" spans="1:4" x14ac:dyDescent="0.3">
      <c r="A730" t="s">
        <v>129</v>
      </c>
      <c r="B730" s="3">
        <v>0.90713084432941893</v>
      </c>
      <c r="C730" t="s">
        <v>54</v>
      </c>
      <c r="D730" t="s">
        <v>16</v>
      </c>
    </row>
    <row r="731" spans="1:4" x14ac:dyDescent="0.3">
      <c r="A731" t="s">
        <v>129</v>
      </c>
      <c r="B731" s="3">
        <v>0.70596792327283553</v>
      </c>
      <c r="C731" t="s">
        <v>54</v>
      </c>
      <c r="D731" t="s">
        <v>10</v>
      </c>
    </row>
    <row r="732" spans="1:4" x14ac:dyDescent="0.3">
      <c r="A732" t="s">
        <v>129</v>
      </c>
      <c r="B732" s="3">
        <v>0.80492460526047094</v>
      </c>
      <c r="C732" t="s">
        <v>54</v>
      </c>
      <c r="D732" t="s">
        <v>13</v>
      </c>
    </row>
    <row r="733" spans="1:4" x14ac:dyDescent="0.3">
      <c r="A733" t="s">
        <v>129</v>
      </c>
      <c r="B733" s="3">
        <v>0.53662355743287848</v>
      </c>
      <c r="C733" t="s">
        <v>54</v>
      </c>
      <c r="D733" t="s">
        <v>14</v>
      </c>
    </row>
    <row r="734" spans="1:4" x14ac:dyDescent="0.3">
      <c r="A734" t="s">
        <v>129</v>
      </c>
      <c r="B734" s="3">
        <v>0.76713802709487067</v>
      </c>
      <c r="C734" t="s">
        <v>55</v>
      </c>
      <c r="D734" t="s">
        <v>6</v>
      </c>
    </row>
    <row r="735" spans="1:4" x14ac:dyDescent="0.3">
      <c r="A735" t="s">
        <v>129</v>
      </c>
      <c r="B735" s="3">
        <v>0.88976631472255763</v>
      </c>
      <c r="C735" t="s">
        <v>55</v>
      </c>
      <c r="D735" t="s">
        <v>10</v>
      </c>
    </row>
    <row r="736" spans="1:4" x14ac:dyDescent="0.3">
      <c r="A736" t="s">
        <v>129</v>
      </c>
      <c r="B736" s="3">
        <v>0.80142264781618211</v>
      </c>
      <c r="C736" t="s">
        <v>55</v>
      </c>
      <c r="D736" t="s">
        <v>8</v>
      </c>
    </row>
    <row r="737" spans="1:4" x14ac:dyDescent="0.3">
      <c r="A737" t="s">
        <v>129</v>
      </c>
      <c r="B737" s="3">
        <v>0.70830814124463648</v>
      </c>
      <c r="C737" t="s">
        <v>55</v>
      </c>
      <c r="D737" t="s">
        <v>13</v>
      </c>
    </row>
    <row r="738" spans="1:4" x14ac:dyDescent="0.3">
      <c r="A738" t="s">
        <v>129</v>
      </c>
      <c r="B738" s="3">
        <v>0.77670002419837247</v>
      </c>
      <c r="C738" t="s">
        <v>55</v>
      </c>
      <c r="D738" t="s">
        <v>14</v>
      </c>
    </row>
    <row r="739" spans="1:4" x14ac:dyDescent="0.3">
      <c r="A739" t="s">
        <v>129</v>
      </c>
      <c r="B739" s="3">
        <v>0.9435882651769365</v>
      </c>
      <c r="C739" t="s">
        <v>56</v>
      </c>
      <c r="D739" t="s">
        <v>8</v>
      </c>
    </row>
    <row r="740" spans="1:4" x14ac:dyDescent="0.3">
      <c r="A740" t="s">
        <v>129</v>
      </c>
      <c r="B740" s="3">
        <v>0.86591328760210717</v>
      </c>
      <c r="C740" t="s">
        <v>57</v>
      </c>
      <c r="D740" t="s">
        <v>16</v>
      </c>
    </row>
    <row r="741" spans="1:4" x14ac:dyDescent="0.3">
      <c r="A741" t="s">
        <v>129</v>
      </c>
      <c r="B741" s="3">
        <v>0.8170470526064455</v>
      </c>
      <c r="C741" t="s">
        <v>58</v>
      </c>
      <c r="D741" t="s">
        <v>10</v>
      </c>
    </row>
    <row r="742" spans="1:4" x14ac:dyDescent="0.3">
      <c r="A742" t="s">
        <v>129</v>
      </c>
      <c r="B742" s="3">
        <v>0.81986173818949226</v>
      </c>
      <c r="C742" t="s">
        <v>59</v>
      </c>
      <c r="D742" t="s">
        <v>16</v>
      </c>
    </row>
    <row r="743" spans="1:4" x14ac:dyDescent="0.3">
      <c r="A743" t="s">
        <v>129</v>
      </c>
      <c r="B743" s="3">
        <v>0.999732572085408</v>
      </c>
      <c r="C743" t="s">
        <v>60</v>
      </c>
      <c r="D743" t="s">
        <v>14</v>
      </c>
    </row>
    <row r="744" spans="1:4" x14ac:dyDescent="0.3">
      <c r="A744" t="s">
        <v>129</v>
      </c>
      <c r="B744" s="3">
        <v>0.86242416246235487</v>
      </c>
      <c r="C744" t="s">
        <v>61</v>
      </c>
      <c r="D744" t="s">
        <v>10</v>
      </c>
    </row>
    <row r="745" spans="1:4" x14ac:dyDescent="0.3">
      <c r="A745" t="s">
        <v>129</v>
      </c>
      <c r="B745" s="3">
        <v>0.64047146178543257</v>
      </c>
      <c r="C745" t="s">
        <v>62</v>
      </c>
      <c r="D745" t="s">
        <v>14</v>
      </c>
    </row>
    <row r="746" spans="1:4" x14ac:dyDescent="0.3">
      <c r="A746" t="s">
        <v>129</v>
      </c>
      <c r="B746" s="3">
        <v>0.96287735016027165</v>
      </c>
      <c r="C746" t="s">
        <v>63</v>
      </c>
      <c r="D746" t="s">
        <v>6</v>
      </c>
    </row>
    <row r="747" spans="1:4" x14ac:dyDescent="0.3">
      <c r="A747" t="s">
        <v>129</v>
      </c>
      <c r="B747" s="3">
        <v>0.98810265631476757</v>
      </c>
      <c r="C747" t="s">
        <v>64</v>
      </c>
      <c r="D747" t="s">
        <v>16</v>
      </c>
    </row>
    <row r="748" spans="1:4" x14ac:dyDescent="0.3">
      <c r="A748" t="s">
        <v>129</v>
      </c>
      <c r="B748" s="3">
        <v>0.98439968648240361</v>
      </c>
      <c r="C748" t="s">
        <v>64</v>
      </c>
      <c r="D748" t="s">
        <v>13</v>
      </c>
    </row>
    <row r="749" spans="1:4" x14ac:dyDescent="0.3">
      <c r="A749" t="s">
        <v>129</v>
      </c>
      <c r="B749" s="3">
        <v>0.83750863989262203</v>
      </c>
      <c r="C749" t="s">
        <v>65</v>
      </c>
      <c r="D749" t="s">
        <v>8</v>
      </c>
    </row>
    <row r="750" spans="1:4" x14ac:dyDescent="0.3">
      <c r="A750" t="s">
        <v>129</v>
      </c>
      <c r="B750" s="3">
        <v>0.95861732784233022</v>
      </c>
      <c r="C750" t="s">
        <v>66</v>
      </c>
      <c r="D750" t="s">
        <v>16</v>
      </c>
    </row>
    <row r="751" spans="1:4" x14ac:dyDescent="0.3">
      <c r="A751" t="s">
        <v>129</v>
      </c>
      <c r="B751" s="3">
        <v>0.78545809101966024</v>
      </c>
      <c r="C751" t="s">
        <v>67</v>
      </c>
      <c r="D751" t="s">
        <v>16</v>
      </c>
    </row>
    <row r="752" spans="1:4" x14ac:dyDescent="0.3">
      <c r="A752" t="s">
        <v>129</v>
      </c>
      <c r="B752" s="3">
        <v>0.44733539546167345</v>
      </c>
      <c r="C752" t="s">
        <v>68</v>
      </c>
      <c r="D752" t="s">
        <v>13</v>
      </c>
    </row>
    <row r="753" spans="1:4" x14ac:dyDescent="0.3">
      <c r="A753" t="s">
        <v>129</v>
      </c>
      <c r="B753" s="3">
        <v>0.95963467557036342</v>
      </c>
      <c r="C753" t="s">
        <v>69</v>
      </c>
      <c r="D753" t="s">
        <v>6</v>
      </c>
    </row>
    <row r="754" spans="1:4" x14ac:dyDescent="0.3">
      <c r="A754" t="s">
        <v>129</v>
      </c>
      <c r="B754" s="3">
        <v>0.94192744869623246</v>
      </c>
      <c r="C754" t="s">
        <v>69</v>
      </c>
      <c r="D754" t="s">
        <v>16</v>
      </c>
    </row>
    <row r="755" spans="1:4" x14ac:dyDescent="0.3">
      <c r="A755" t="s">
        <v>129</v>
      </c>
      <c r="B755" s="3">
        <v>0.95602043887858323</v>
      </c>
      <c r="C755" t="s">
        <v>69</v>
      </c>
      <c r="D755" t="s">
        <v>10</v>
      </c>
    </row>
    <row r="756" spans="1:4" x14ac:dyDescent="0.3">
      <c r="A756" t="s">
        <v>129</v>
      </c>
      <c r="B756" s="3">
        <v>0.96373176837242136</v>
      </c>
      <c r="C756" t="s">
        <v>69</v>
      </c>
      <c r="D756" t="s">
        <v>8</v>
      </c>
    </row>
    <row r="757" spans="1:4" x14ac:dyDescent="0.3">
      <c r="A757" t="s">
        <v>129</v>
      </c>
      <c r="B757" s="3">
        <v>0.96961346606480037</v>
      </c>
      <c r="C757" t="s">
        <v>69</v>
      </c>
      <c r="D757" t="s">
        <v>13</v>
      </c>
    </row>
    <row r="758" spans="1:4" x14ac:dyDescent="0.3">
      <c r="A758" t="s">
        <v>129</v>
      </c>
      <c r="B758" s="3">
        <v>0.94596260815825206</v>
      </c>
      <c r="C758" t="s">
        <v>69</v>
      </c>
      <c r="D758" t="s">
        <v>14</v>
      </c>
    </row>
    <row r="759" spans="1:4" x14ac:dyDescent="0.3">
      <c r="A759" t="s">
        <v>129</v>
      </c>
      <c r="B759" s="3">
        <v>0.90663417346040653</v>
      </c>
      <c r="C759" t="s">
        <v>70</v>
      </c>
      <c r="D759" t="s">
        <v>6</v>
      </c>
    </row>
    <row r="760" spans="1:4" x14ac:dyDescent="0.3">
      <c r="A760" t="s">
        <v>129</v>
      </c>
      <c r="B760" s="3">
        <v>0.9226044539437902</v>
      </c>
      <c r="C760" t="s">
        <v>70</v>
      </c>
      <c r="D760" t="s">
        <v>10</v>
      </c>
    </row>
    <row r="761" spans="1:4" x14ac:dyDescent="0.3">
      <c r="A761" t="s">
        <v>129</v>
      </c>
      <c r="B761" s="3">
        <v>0.94056942334683957</v>
      </c>
      <c r="C761" t="s">
        <v>70</v>
      </c>
      <c r="D761" t="s">
        <v>8</v>
      </c>
    </row>
    <row r="762" spans="1:4" x14ac:dyDescent="0.3">
      <c r="A762" t="s">
        <v>129</v>
      </c>
      <c r="B762" s="3">
        <v>0.92068623471650879</v>
      </c>
      <c r="C762" t="s">
        <v>70</v>
      </c>
      <c r="D762" t="s">
        <v>13</v>
      </c>
    </row>
    <row r="763" spans="1:4" x14ac:dyDescent="0.3">
      <c r="A763" t="s">
        <v>129</v>
      </c>
      <c r="B763" s="3">
        <v>0.92773526357449443</v>
      </c>
      <c r="C763" t="s">
        <v>70</v>
      </c>
      <c r="D763" t="s">
        <v>14</v>
      </c>
    </row>
    <row r="764" spans="1:4" x14ac:dyDescent="0.3">
      <c r="A764" t="s">
        <v>129</v>
      </c>
      <c r="B764" s="3">
        <v>0.69075943500005299</v>
      </c>
      <c r="C764" t="s">
        <v>71</v>
      </c>
      <c r="D764" t="s">
        <v>14</v>
      </c>
    </row>
    <row r="765" spans="1:4" x14ac:dyDescent="0.3">
      <c r="A765" t="s">
        <v>129</v>
      </c>
      <c r="B765" s="3">
        <v>0.89118297913770406</v>
      </c>
      <c r="C765" t="s">
        <v>72</v>
      </c>
      <c r="D765" t="s">
        <v>10</v>
      </c>
    </row>
    <row r="766" spans="1:4" x14ac:dyDescent="0.3">
      <c r="A766" t="s">
        <v>129</v>
      </c>
      <c r="B766" s="3">
        <v>0.96841027637830246</v>
      </c>
      <c r="C766" t="s">
        <v>72</v>
      </c>
      <c r="D766" t="s">
        <v>8</v>
      </c>
    </row>
    <row r="767" spans="1:4" x14ac:dyDescent="0.3">
      <c r="A767" t="s">
        <v>129</v>
      </c>
      <c r="B767" s="3">
        <v>0.93564413096231924</v>
      </c>
      <c r="C767" t="s">
        <v>72</v>
      </c>
      <c r="D767" t="s">
        <v>14</v>
      </c>
    </row>
    <row r="768" spans="1:4" x14ac:dyDescent="0.3">
      <c r="A768" t="s">
        <v>129</v>
      </c>
      <c r="B768" s="3">
        <v>0.31471908106439</v>
      </c>
      <c r="C768" t="s">
        <v>73</v>
      </c>
      <c r="D768" t="s">
        <v>6</v>
      </c>
    </row>
    <row r="769" spans="1:4" x14ac:dyDescent="0.3">
      <c r="A769" t="s">
        <v>129</v>
      </c>
      <c r="B769" s="3">
        <v>0.94523632824570469</v>
      </c>
      <c r="C769" t="s">
        <v>74</v>
      </c>
    </row>
    <row r="770" spans="1:4" x14ac:dyDescent="0.3">
      <c r="A770" t="s">
        <v>129</v>
      </c>
      <c r="B770" s="3">
        <v>0.95035521482609397</v>
      </c>
      <c r="C770" t="s">
        <v>74</v>
      </c>
      <c r="D770" t="s">
        <v>14</v>
      </c>
    </row>
    <row r="771" spans="1:4" x14ac:dyDescent="0.3">
      <c r="A771" t="s">
        <v>129</v>
      </c>
      <c r="B771" s="3">
        <v>0.89627607494574413</v>
      </c>
      <c r="C771" t="s">
        <v>75</v>
      </c>
      <c r="D771" t="s">
        <v>8</v>
      </c>
    </row>
    <row r="772" spans="1:4" x14ac:dyDescent="0.3">
      <c r="A772" t="s">
        <v>129</v>
      </c>
      <c r="B772" s="3">
        <v>0.887603565788466</v>
      </c>
      <c r="C772" t="s">
        <v>76</v>
      </c>
    </row>
    <row r="773" spans="1:4" x14ac:dyDescent="0.3">
      <c r="A773" t="s">
        <v>129</v>
      </c>
      <c r="B773" s="3">
        <v>0.5801127329157546</v>
      </c>
      <c r="C773" t="s">
        <v>76</v>
      </c>
      <c r="D773" t="s">
        <v>6</v>
      </c>
    </row>
    <row r="774" spans="1:4" x14ac:dyDescent="0.3">
      <c r="A774" t="s">
        <v>129</v>
      </c>
      <c r="B774" s="3">
        <v>0.85336577498922017</v>
      </c>
      <c r="C774" t="s">
        <v>76</v>
      </c>
      <c r="D774" t="s">
        <v>16</v>
      </c>
    </row>
    <row r="775" spans="1:4" x14ac:dyDescent="0.3">
      <c r="A775" t="s">
        <v>129</v>
      </c>
      <c r="B775" s="3">
        <v>0.66331329723387755</v>
      </c>
      <c r="C775" t="s">
        <v>76</v>
      </c>
      <c r="D775" t="s">
        <v>10</v>
      </c>
    </row>
    <row r="776" spans="1:4" x14ac:dyDescent="0.3">
      <c r="A776" t="s">
        <v>129</v>
      </c>
      <c r="B776" s="3">
        <v>0.93375609644490032</v>
      </c>
      <c r="C776" t="s">
        <v>76</v>
      </c>
      <c r="D776" t="s">
        <v>8</v>
      </c>
    </row>
    <row r="777" spans="1:4" x14ac:dyDescent="0.3">
      <c r="A777" t="s">
        <v>129</v>
      </c>
      <c r="B777" s="3">
        <v>0.87255889500214778</v>
      </c>
      <c r="C777" t="s">
        <v>77</v>
      </c>
      <c r="D777" t="s">
        <v>14</v>
      </c>
    </row>
    <row r="778" spans="1:4" x14ac:dyDescent="0.3">
      <c r="A778" t="s">
        <v>129</v>
      </c>
      <c r="B778" s="3">
        <v>0.95015643052089627</v>
      </c>
      <c r="C778" t="s">
        <v>78</v>
      </c>
      <c r="D778" t="s">
        <v>6</v>
      </c>
    </row>
    <row r="779" spans="1:4" x14ac:dyDescent="0.3">
      <c r="A779" t="s">
        <v>129</v>
      </c>
      <c r="B779" s="3">
        <v>0.93840604426177809</v>
      </c>
      <c r="C779" t="s">
        <v>78</v>
      </c>
      <c r="D779" t="s">
        <v>10</v>
      </c>
    </row>
    <row r="780" spans="1:4" x14ac:dyDescent="0.3">
      <c r="A780" t="s">
        <v>129</v>
      </c>
      <c r="B780" s="3">
        <v>0.94533027242710199</v>
      </c>
      <c r="C780" t="s">
        <v>78</v>
      </c>
      <c r="D780" t="s">
        <v>8</v>
      </c>
    </row>
    <row r="781" spans="1:4" x14ac:dyDescent="0.3">
      <c r="A781" t="s">
        <v>129</v>
      </c>
      <c r="B781" s="3">
        <v>0.91546991395330957</v>
      </c>
      <c r="C781" t="s">
        <v>78</v>
      </c>
      <c r="D781" t="s">
        <v>13</v>
      </c>
    </row>
    <row r="782" spans="1:4" x14ac:dyDescent="0.3">
      <c r="A782" t="s">
        <v>129</v>
      </c>
      <c r="B782" s="3">
        <v>0.94899312274587633</v>
      </c>
      <c r="C782" t="s">
        <v>78</v>
      </c>
      <c r="D782" t="s">
        <v>14</v>
      </c>
    </row>
    <row r="783" spans="1:4" x14ac:dyDescent="0.3">
      <c r="A783" t="s">
        <v>129</v>
      </c>
      <c r="B783" s="3">
        <v>0.90449662976063894</v>
      </c>
      <c r="C783" t="s">
        <v>79</v>
      </c>
      <c r="D783" t="s">
        <v>10</v>
      </c>
    </row>
    <row r="784" spans="1:4" x14ac:dyDescent="0.3">
      <c r="A784" t="s">
        <v>129</v>
      </c>
      <c r="B784" s="3">
        <v>0.94765429724131567</v>
      </c>
      <c r="C784" t="s">
        <v>80</v>
      </c>
      <c r="D784" t="s">
        <v>6</v>
      </c>
    </row>
    <row r="785" spans="1:4" x14ac:dyDescent="0.3">
      <c r="A785" t="s">
        <v>129</v>
      </c>
      <c r="B785" s="3">
        <v>0.88459474192278365</v>
      </c>
      <c r="C785" t="s">
        <v>80</v>
      </c>
      <c r="D785" t="s">
        <v>16</v>
      </c>
    </row>
    <row r="786" spans="1:4" x14ac:dyDescent="0.3">
      <c r="A786" t="s">
        <v>129</v>
      </c>
      <c r="B786" s="3">
        <v>0.94711042054711603</v>
      </c>
      <c r="C786" t="s">
        <v>80</v>
      </c>
      <c r="D786" t="s">
        <v>10</v>
      </c>
    </row>
    <row r="787" spans="1:4" x14ac:dyDescent="0.3">
      <c r="A787" t="s">
        <v>129</v>
      </c>
      <c r="B787" s="3">
        <v>0.93554440008033779</v>
      </c>
      <c r="C787" t="s">
        <v>80</v>
      </c>
      <c r="D787" t="s">
        <v>8</v>
      </c>
    </row>
    <row r="788" spans="1:4" x14ac:dyDescent="0.3">
      <c r="A788" t="s">
        <v>129</v>
      </c>
      <c r="B788" s="3">
        <v>0.93280381794221345</v>
      </c>
      <c r="C788" t="s">
        <v>80</v>
      </c>
      <c r="D788" t="s">
        <v>13</v>
      </c>
    </row>
    <row r="789" spans="1:4" x14ac:dyDescent="0.3">
      <c r="A789" t="s">
        <v>129</v>
      </c>
      <c r="B789" s="3">
        <v>0.93911518575815001</v>
      </c>
      <c r="C789" t="s">
        <v>80</v>
      </c>
      <c r="D789" t="s">
        <v>14</v>
      </c>
    </row>
    <row r="790" spans="1:4" x14ac:dyDescent="0.3">
      <c r="A790" t="s">
        <v>129</v>
      </c>
      <c r="B790" s="3">
        <v>0.82918657587382827</v>
      </c>
      <c r="C790" t="s">
        <v>82</v>
      </c>
      <c r="D790" t="s">
        <v>10</v>
      </c>
    </row>
    <row r="791" spans="1:4" x14ac:dyDescent="0.3">
      <c r="A791" t="s">
        <v>129</v>
      </c>
      <c r="B791" s="3">
        <v>0.99143779112347352</v>
      </c>
      <c r="C791" t="s">
        <v>83</v>
      </c>
      <c r="D791" t="s">
        <v>10</v>
      </c>
    </row>
    <row r="792" spans="1:4" x14ac:dyDescent="0.3">
      <c r="A792" t="s">
        <v>129</v>
      </c>
      <c r="B792" s="3">
        <v>0.96167197347406574</v>
      </c>
      <c r="C792" t="s">
        <v>83</v>
      </c>
      <c r="D792" t="s">
        <v>8</v>
      </c>
    </row>
    <row r="793" spans="1:4" x14ac:dyDescent="0.3">
      <c r="A793" t="s">
        <v>129</v>
      </c>
      <c r="B793" s="3">
        <v>0.84063626082616594</v>
      </c>
      <c r="C793" t="s">
        <v>84</v>
      </c>
      <c r="D793" t="s">
        <v>8</v>
      </c>
    </row>
    <row r="794" spans="1:4" x14ac:dyDescent="0.3">
      <c r="A794" t="s">
        <v>129</v>
      </c>
      <c r="B794" s="3">
        <v>0.97584811212469413</v>
      </c>
      <c r="C794" t="s">
        <v>85</v>
      </c>
      <c r="D794" t="s">
        <v>13</v>
      </c>
    </row>
    <row r="795" spans="1:4" x14ac:dyDescent="0.3">
      <c r="A795" t="s">
        <v>129</v>
      </c>
      <c r="B795" s="3">
        <v>2.1322869657426535E-2</v>
      </c>
      <c r="C795" t="s">
        <v>130</v>
      </c>
      <c r="D795" t="s">
        <v>13</v>
      </c>
    </row>
    <row r="796" spans="1:4" x14ac:dyDescent="0.3">
      <c r="A796" t="s">
        <v>129</v>
      </c>
      <c r="B796" s="3">
        <v>0.9507844705077978</v>
      </c>
      <c r="C796" t="s">
        <v>86</v>
      </c>
      <c r="D796" t="s">
        <v>6</v>
      </c>
    </row>
    <row r="797" spans="1:4" x14ac:dyDescent="0.3">
      <c r="A797" t="s">
        <v>129</v>
      </c>
      <c r="B797" s="3">
        <v>0.95341363434451787</v>
      </c>
      <c r="C797" t="s">
        <v>86</v>
      </c>
      <c r="D797" t="s">
        <v>16</v>
      </c>
    </row>
    <row r="798" spans="1:4" x14ac:dyDescent="0.3">
      <c r="A798" t="s">
        <v>129</v>
      </c>
      <c r="B798" s="3">
        <v>0.97068972212441462</v>
      </c>
      <c r="C798" t="s">
        <v>86</v>
      </c>
      <c r="D798" t="s">
        <v>10</v>
      </c>
    </row>
    <row r="799" spans="1:4" x14ac:dyDescent="0.3">
      <c r="A799" t="s">
        <v>129</v>
      </c>
      <c r="B799" s="3">
        <v>0.95552909519185014</v>
      </c>
      <c r="C799" t="s">
        <v>86</v>
      </c>
      <c r="D799" t="s">
        <v>8</v>
      </c>
    </row>
    <row r="800" spans="1:4" x14ac:dyDescent="0.3">
      <c r="A800" t="s">
        <v>129</v>
      </c>
      <c r="B800" s="3">
        <v>0.96850907320702218</v>
      </c>
      <c r="C800" t="s">
        <v>86</v>
      </c>
      <c r="D800" t="s">
        <v>13</v>
      </c>
    </row>
    <row r="801" spans="1:4" x14ac:dyDescent="0.3">
      <c r="A801" t="s">
        <v>129</v>
      </c>
      <c r="B801" s="3">
        <v>0.96242510543775994</v>
      </c>
      <c r="C801" t="s">
        <v>86</v>
      </c>
      <c r="D801" t="s">
        <v>14</v>
      </c>
    </row>
    <row r="802" spans="1:4" x14ac:dyDescent="0.3">
      <c r="A802" t="s">
        <v>129</v>
      </c>
      <c r="B802" s="3">
        <v>0.92298148230188926</v>
      </c>
      <c r="C802" t="s">
        <v>87</v>
      </c>
    </row>
    <row r="803" spans="1:4" x14ac:dyDescent="0.3">
      <c r="A803" t="s">
        <v>129</v>
      </c>
      <c r="B803" s="3">
        <v>0.95703183476595066</v>
      </c>
      <c r="C803" t="s">
        <v>87</v>
      </c>
      <c r="D803" t="s">
        <v>6</v>
      </c>
    </row>
    <row r="804" spans="1:4" x14ac:dyDescent="0.3">
      <c r="A804" t="s">
        <v>129</v>
      </c>
      <c r="B804" s="3">
        <v>0.78920420050812023</v>
      </c>
      <c r="C804" t="s">
        <v>88</v>
      </c>
      <c r="D804" t="s">
        <v>6</v>
      </c>
    </row>
    <row r="805" spans="1:4" x14ac:dyDescent="0.3">
      <c r="A805" t="s">
        <v>129</v>
      </c>
      <c r="B805" s="3">
        <v>0.97885265756437345</v>
      </c>
      <c r="C805" t="s">
        <v>89</v>
      </c>
      <c r="D805" t="s">
        <v>8</v>
      </c>
    </row>
    <row r="806" spans="1:4" x14ac:dyDescent="0.3">
      <c r="A806" t="s">
        <v>129</v>
      </c>
      <c r="B806" s="3">
        <v>0.92426021146671455</v>
      </c>
      <c r="C806" t="s">
        <v>90</v>
      </c>
      <c r="D806" t="s">
        <v>6</v>
      </c>
    </row>
    <row r="807" spans="1:4" x14ac:dyDescent="0.3">
      <c r="A807" t="s">
        <v>129</v>
      </c>
      <c r="B807" s="3">
        <v>0.86518736182328615</v>
      </c>
      <c r="C807" t="s">
        <v>90</v>
      </c>
      <c r="D807" t="s">
        <v>10</v>
      </c>
    </row>
    <row r="808" spans="1:4" x14ac:dyDescent="0.3">
      <c r="A808" t="s">
        <v>129</v>
      </c>
      <c r="B808" s="3">
        <v>0.85137751434013276</v>
      </c>
      <c r="C808" t="s">
        <v>90</v>
      </c>
      <c r="D808" t="s">
        <v>8</v>
      </c>
    </row>
    <row r="809" spans="1:4" x14ac:dyDescent="0.3">
      <c r="A809" t="s">
        <v>129</v>
      </c>
      <c r="B809" s="3">
        <v>0.94295177585828771</v>
      </c>
      <c r="C809" t="s">
        <v>90</v>
      </c>
      <c r="D809" t="s">
        <v>13</v>
      </c>
    </row>
    <row r="810" spans="1:4" x14ac:dyDescent="0.3">
      <c r="A810" t="s">
        <v>129</v>
      </c>
      <c r="B810" s="3">
        <v>0.45015895436674969</v>
      </c>
      <c r="C810" t="s">
        <v>91</v>
      </c>
      <c r="D810" t="s">
        <v>8</v>
      </c>
    </row>
    <row r="811" spans="1:4" x14ac:dyDescent="0.3">
      <c r="A811" t="s">
        <v>129</v>
      </c>
      <c r="B811" s="3">
        <v>0.6558362086156635</v>
      </c>
      <c r="C811" t="s">
        <v>92</v>
      </c>
      <c r="D811" t="s">
        <v>16</v>
      </c>
    </row>
    <row r="812" spans="1:4" x14ac:dyDescent="0.3">
      <c r="A812" t="s">
        <v>129</v>
      </c>
      <c r="B812" s="3">
        <v>0.97301212990204833</v>
      </c>
      <c r="C812" t="s">
        <v>93</v>
      </c>
      <c r="D812" t="s">
        <v>14</v>
      </c>
    </row>
    <row r="813" spans="1:4" x14ac:dyDescent="0.3">
      <c r="A813" t="s">
        <v>129</v>
      </c>
      <c r="B813" s="3">
        <v>0.75530313631662849</v>
      </c>
      <c r="C813" t="s">
        <v>94</v>
      </c>
    </row>
    <row r="814" spans="1:4" x14ac:dyDescent="0.3">
      <c r="A814" t="s">
        <v>129</v>
      </c>
      <c r="B814" s="3">
        <v>0.77853500021858391</v>
      </c>
      <c r="C814" t="s">
        <v>94</v>
      </c>
      <c r="D814" t="s">
        <v>6</v>
      </c>
    </row>
    <row r="815" spans="1:4" x14ac:dyDescent="0.3">
      <c r="A815" t="s">
        <v>129</v>
      </c>
      <c r="B815" s="3">
        <v>0.84107131192756324</v>
      </c>
      <c r="C815" t="s">
        <v>95</v>
      </c>
      <c r="D815" t="s">
        <v>16</v>
      </c>
    </row>
    <row r="816" spans="1:4" x14ac:dyDescent="0.3">
      <c r="A816" t="s">
        <v>129</v>
      </c>
      <c r="B816" s="3">
        <v>0.6071605360197565</v>
      </c>
      <c r="C816" t="s">
        <v>96</v>
      </c>
      <c r="D816" t="s">
        <v>8</v>
      </c>
    </row>
    <row r="817" spans="1:4" x14ac:dyDescent="0.3">
      <c r="A817" t="s">
        <v>129</v>
      </c>
      <c r="B817" s="3">
        <v>0.95973792354448817</v>
      </c>
      <c r="C817" t="s">
        <v>97</v>
      </c>
      <c r="D817" t="s">
        <v>6</v>
      </c>
    </row>
    <row r="818" spans="1:4" x14ac:dyDescent="0.3">
      <c r="A818" t="s">
        <v>129</v>
      </c>
      <c r="B818" s="3">
        <v>0.8422025685817397</v>
      </c>
      <c r="C818" t="s">
        <v>97</v>
      </c>
      <c r="D818" t="s">
        <v>16</v>
      </c>
    </row>
    <row r="819" spans="1:4" x14ac:dyDescent="0.3">
      <c r="A819" t="s">
        <v>129</v>
      </c>
      <c r="B819" s="3">
        <v>0.95986841168858128</v>
      </c>
      <c r="C819" t="s">
        <v>97</v>
      </c>
      <c r="D819" t="s">
        <v>10</v>
      </c>
    </row>
    <row r="820" spans="1:4" x14ac:dyDescent="0.3">
      <c r="A820" t="s">
        <v>129</v>
      </c>
      <c r="B820" s="3">
        <v>0.96060740337537687</v>
      </c>
      <c r="C820" t="s">
        <v>97</v>
      </c>
      <c r="D820" t="s">
        <v>8</v>
      </c>
    </row>
    <row r="821" spans="1:4" x14ac:dyDescent="0.3">
      <c r="A821" t="s">
        <v>129</v>
      </c>
      <c r="B821" s="3">
        <v>0.94980233730822328</v>
      </c>
      <c r="C821" t="s">
        <v>97</v>
      </c>
      <c r="D821" t="s">
        <v>13</v>
      </c>
    </row>
    <row r="822" spans="1:4" x14ac:dyDescent="0.3">
      <c r="A822" t="s">
        <v>129</v>
      </c>
      <c r="B822" s="3">
        <v>0.95706271267844467</v>
      </c>
      <c r="C822" t="s">
        <v>97</v>
      </c>
      <c r="D822" t="s">
        <v>14</v>
      </c>
    </row>
    <row r="823" spans="1:4" x14ac:dyDescent="0.3">
      <c r="A823" t="s">
        <v>129</v>
      </c>
      <c r="B823" s="3">
        <v>0.60009673961075594</v>
      </c>
      <c r="C823" t="s">
        <v>98</v>
      </c>
      <c r="D823" t="s">
        <v>14</v>
      </c>
    </row>
    <row r="824" spans="1:4" x14ac:dyDescent="0.3">
      <c r="A824" t="s">
        <v>129</v>
      </c>
      <c r="B824" s="3">
        <v>0.98048457669982514</v>
      </c>
      <c r="C824" t="s">
        <v>99</v>
      </c>
      <c r="D824" t="s">
        <v>13</v>
      </c>
    </row>
    <row r="825" spans="1:4" x14ac:dyDescent="0.3">
      <c r="A825" t="s">
        <v>129</v>
      </c>
      <c r="B825" s="3">
        <v>0.85694505622058026</v>
      </c>
      <c r="C825" t="s">
        <v>100</v>
      </c>
      <c r="D825" t="s">
        <v>14</v>
      </c>
    </row>
    <row r="826" spans="1:4" x14ac:dyDescent="0.3">
      <c r="A826" t="s">
        <v>129</v>
      </c>
      <c r="B826" s="3">
        <v>0.95171033873898325</v>
      </c>
      <c r="C826" t="s">
        <v>101</v>
      </c>
      <c r="D826" t="s">
        <v>6</v>
      </c>
    </row>
    <row r="827" spans="1:4" x14ac:dyDescent="0.3">
      <c r="A827" t="s">
        <v>129</v>
      </c>
      <c r="B827" s="3">
        <v>0.9524595438049428</v>
      </c>
      <c r="C827" t="s">
        <v>101</v>
      </c>
      <c r="D827" t="s">
        <v>10</v>
      </c>
    </row>
    <row r="828" spans="1:4" x14ac:dyDescent="0.3">
      <c r="A828" t="s">
        <v>129</v>
      </c>
      <c r="B828" s="3">
        <v>0.93799655675000615</v>
      </c>
      <c r="C828" t="s">
        <v>101</v>
      </c>
      <c r="D828" t="s">
        <v>8</v>
      </c>
    </row>
    <row r="829" spans="1:4" x14ac:dyDescent="0.3">
      <c r="A829" t="s">
        <v>129</v>
      </c>
      <c r="B829" s="3">
        <v>0.95464918643797425</v>
      </c>
      <c r="C829" t="s">
        <v>101</v>
      </c>
      <c r="D829" t="s">
        <v>14</v>
      </c>
    </row>
    <row r="830" spans="1:4" x14ac:dyDescent="0.3">
      <c r="A830" t="s">
        <v>129</v>
      </c>
      <c r="B830" s="3">
        <v>0.92235433146292212</v>
      </c>
      <c r="C830" t="s">
        <v>102</v>
      </c>
      <c r="D830" t="s">
        <v>8</v>
      </c>
    </row>
    <row r="831" spans="1:4" x14ac:dyDescent="0.3">
      <c r="A831" t="s">
        <v>129</v>
      </c>
      <c r="B831" s="3">
        <v>0.83742101202676666</v>
      </c>
      <c r="C831" t="s">
        <v>103</v>
      </c>
      <c r="D831" t="s">
        <v>6</v>
      </c>
    </row>
    <row r="832" spans="1:4" x14ac:dyDescent="0.3">
      <c r="A832" t="s">
        <v>129</v>
      </c>
      <c r="B832" s="3">
        <v>0.96870323179287898</v>
      </c>
      <c r="C832" t="s">
        <v>103</v>
      </c>
      <c r="D832" t="s">
        <v>14</v>
      </c>
    </row>
    <row r="833" spans="1:4" x14ac:dyDescent="0.3">
      <c r="A833" t="s">
        <v>129</v>
      </c>
      <c r="B833" s="3">
        <v>0.95311291255151753</v>
      </c>
      <c r="C833" t="s">
        <v>105</v>
      </c>
      <c r="D833" t="s">
        <v>6</v>
      </c>
    </row>
    <row r="834" spans="1:4" x14ac:dyDescent="0.3">
      <c r="A834" t="s">
        <v>129</v>
      </c>
      <c r="B834" s="3">
        <v>0.91218367126558242</v>
      </c>
      <c r="C834" t="s">
        <v>105</v>
      </c>
      <c r="D834" t="s">
        <v>16</v>
      </c>
    </row>
    <row r="835" spans="1:4" x14ac:dyDescent="0.3">
      <c r="A835" t="s">
        <v>129</v>
      </c>
      <c r="B835" s="3">
        <v>0.94204312110804378</v>
      </c>
      <c r="C835" t="s">
        <v>105</v>
      </c>
      <c r="D835" t="s">
        <v>10</v>
      </c>
    </row>
    <row r="836" spans="1:4" x14ac:dyDescent="0.3">
      <c r="A836" t="s">
        <v>129</v>
      </c>
      <c r="B836" s="3">
        <v>0.94324448505544556</v>
      </c>
      <c r="C836" t="s">
        <v>105</v>
      </c>
      <c r="D836" t="s">
        <v>8</v>
      </c>
    </row>
    <row r="837" spans="1:4" x14ac:dyDescent="0.3">
      <c r="A837" t="s">
        <v>129</v>
      </c>
      <c r="B837" s="3">
        <v>0.94596452423592836</v>
      </c>
      <c r="C837" t="s">
        <v>105</v>
      </c>
      <c r="D837" t="s">
        <v>13</v>
      </c>
    </row>
    <row r="838" spans="1:4" x14ac:dyDescent="0.3">
      <c r="A838" t="s">
        <v>129</v>
      </c>
      <c r="B838" s="3">
        <v>0.95166299171478208</v>
      </c>
      <c r="C838" t="s">
        <v>105</v>
      </c>
      <c r="D838" t="s">
        <v>14</v>
      </c>
    </row>
    <row r="839" spans="1:4" x14ac:dyDescent="0.3">
      <c r="A839" t="s">
        <v>129</v>
      </c>
      <c r="B839" s="3">
        <v>0.98112676113705188</v>
      </c>
      <c r="C839" t="s">
        <v>106</v>
      </c>
      <c r="D839" t="s">
        <v>16</v>
      </c>
    </row>
    <row r="840" spans="1:4" x14ac:dyDescent="0.3">
      <c r="A840" t="s">
        <v>129</v>
      </c>
      <c r="B840" s="3">
        <v>0.91218893579800198</v>
      </c>
      <c r="C840" t="s">
        <v>107</v>
      </c>
      <c r="D840" t="s">
        <v>16</v>
      </c>
    </row>
    <row r="841" spans="1:4" x14ac:dyDescent="0.3">
      <c r="A841" t="s">
        <v>129</v>
      </c>
      <c r="B841" s="3">
        <v>0.9700528013424331</v>
      </c>
      <c r="C841" t="s">
        <v>108</v>
      </c>
      <c r="D841" t="s">
        <v>16</v>
      </c>
    </row>
    <row r="842" spans="1:4" x14ac:dyDescent="0.3">
      <c r="A842" t="s">
        <v>129</v>
      </c>
      <c r="B842" s="3">
        <v>0.89369032156518202</v>
      </c>
      <c r="C842" t="s">
        <v>109</v>
      </c>
      <c r="D842" t="s">
        <v>8</v>
      </c>
    </row>
    <row r="843" spans="1:4" x14ac:dyDescent="0.3">
      <c r="A843" t="s">
        <v>129</v>
      </c>
      <c r="B843" s="3">
        <v>0.87199055358045985</v>
      </c>
      <c r="C843" t="s">
        <v>110</v>
      </c>
    </row>
    <row r="844" spans="1:4" x14ac:dyDescent="0.3">
      <c r="A844" t="s">
        <v>129</v>
      </c>
      <c r="B844" s="3">
        <v>0.76558391004443327</v>
      </c>
      <c r="C844" t="s">
        <v>110</v>
      </c>
      <c r="D844" t="s">
        <v>6</v>
      </c>
    </row>
    <row r="845" spans="1:4" x14ac:dyDescent="0.3">
      <c r="A845" t="s">
        <v>129</v>
      </c>
      <c r="B845" s="3">
        <v>0.7706947712550094</v>
      </c>
      <c r="C845" t="s">
        <v>111</v>
      </c>
      <c r="D845" t="s">
        <v>13</v>
      </c>
    </row>
    <row r="846" spans="1:4" x14ac:dyDescent="0.3">
      <c r="A846" t="s">
        <v>129</v>
      </c>
      <c r="B846" s="3">
        <v>0.87465205606367502</v>
      </c>
      <c r="C846" t="s">
        <v>112</v>
      </c>
      <c r="D846" t="s">
        <v>6</v>
      </c>
    </row>
    <row r="847" spans="1:4" x14ac:dyDescent="0.3">
      <c r="A847" t="s">
        <v>129</v>
      </c>
      <c r="B847" s="3">
        <v>0.92866870044512762</v>
      </c>
      <c r="C847" t="s">
        <v>113</v>
      </c>
    </row>
    <row r="848" spans="1:4" x14ac:dyDescent="0.3">
      <c r="A848" t="s">
        <v>129</v>
      </c>
      <c r="B848" s="3">
        <v>0.97770331457073645</v>
      </c>
      <c r="C848" t="s">
        <v>113</v>
      </c>
      <c r="D848" t="s">
        <v>16</v>
      </c>
    </row>
    <row r="849" spans="1:4" x14ac:dyDescent="0.3">
      <c r="A849" t="s">
        <v>129</v>
      </c>
      <c r="B849" s="3">
        <v>0.84214835140182132</v>
      </c>
      <c r="C849" t="s">
        <v>114</v>
      </c>
      <c r="D849" t="s">
        <v>16</v>
      </c>
    </row>
    <row r="850" spans="1:4" x14ac:dyDescent="0.3">
      <c r="A850" t="s">
        <v>129</v>
      </c>
      <c r="B850" s="3">
        <v>0.8390576460745095</v>
      </c>
      <c r="C850" t="s">
        <v>115</v>
      </c>
      <c r="D850" t="s">
        <v>6</v>
      </c>
    </row>
    <row r="851" spans="1:4" x14ac:dyDescent="0.3">
      <c r="A851" t="s">
        <v>129</v>
      </c>
      <c r="B851" s="3">
        <v>0.91386083090972436</v>
      </c>
      <c r="C851" t="s">
        <v>116</v>
      </c>
      <c r="D851" t="s">
        <v>16</v>
      </c>
    </row>
    <row r="852" spans="1:4" x14ac:dyDescent="0.3">
      <c r="A852" t="s">
        <v>129</v>
      </c>
      <c r="B852" s="3">
        <v>0.7137687945674478</v>
      </c>
      <c r="C852" t="s">
        <v>117</v>
      </c>
      <c r="D852" t="s">
        <v>13</v>
      </c>
    </row>
    <row r="853" spans="1:4" x14ac:dyDescent="0.3">
      <c r="A853" t="s">
        <v>129</v>
      </c>
      <c r="B853" s="3">
        <v>0.87930393752299008</v>
      </c>
      <c r="C853" t="s">
        <v>118</v>
      </c>
    </row>
    <row r="854" spans="1:4" x14ac:dyDescent="0.3">
      <c r="A854" t="s">
        <v>129</v>
      </c>
      <c r="B854" s="3">
        <v>0.9506902250065189</v>
      </c>
      <c r="C854" t="s">
        <v>118</v>
      </c>
      <c r="D854" t="s">
        <v>16</v>
      </c>
    </row>
    <row r="855" spans="1:4" x14ac:dyDescent="0.3">
      <c r="A855" t="s">
        <v>129</v>
      </c>
      <c r="B855" s="3">
        <v>0.94451613448358118</v>
      </c>
      <c r="C855" t="s">
        <v>118</v>
      </c>
      <c r="D855" t="s">
        <v>13</v>
      </c>
    </row>
    <row r="856" spans="1:4" x14ac:dyDescent="0.3">
      <c r="A856" t="s">
        <v>129</v>
      </c>
      <c r="B856" s="3">
        <v>0.84945982749439519</v>
      </c>
      <c r="C856" t="s">
        <v>119</v>
      </c>
      <c r="D856" t="s">
        <v>8</v>
      </c>
    </row>
    <row r="857" spans="1:4" x14ac:dyDescent="0.3">
      <c r="A857" t="s">
        <v>129</v>
      </c>
      <c r="B857" s="3">
        <v>0.46729389473741917</v>
      </c>
      <c r="C857" t="s">
        <v>120</v>
      </c>
      <c r="D857" t="s">
        <v>14</v>
      </c>
    </row>
    <row r="858" spans="1:4" x14ac:dyDescent="0.3">
      <c r="A858" t="s">
        <v>129</v>
      </c>
      <c r="B858" s="3">
        <v>0.78334904256565241</v>
      </c>
      <c r="C858" t="s">
        <v>121</v>
      </c>
      <c r="D858" t="s">
        <v>16</v>
      </c>
    </row>
    <row r="859" spans="1:4" x14ac:dyDescent="0.3">
      <c r="A859" t="s">
        <v>129</v>
      </c>
      <c r="B859" s="3">
        <v>0.91959127694649179</v>
      </c>
      <c r="C859" t="s">
        <v>122</v>
      </c>
      <c r="D859" t="s">
        <v>16</v>
      </c>
    </row>
    <row r="860" spans="1:4" x14ac:dyDescent="0.3">
      <c r="A860" t="s">
        <v>129</v>
      </c>
      <c r="B860" s="3">
        <v>0.96338775337430838</v>
      </c>
      <c r="C860" t="s">
        <v>123</v>
      </c>
      <c r="D860" t="s">
        <v>16</v>
      </c>
    </row>
    <row r="861" spans="1:4" x14ac:dyDescent="0.3">
      <c r="A861" t="s">
        <v>129</v>
      </c>
      <c r="B861" s="3">
        <v>0.95019981892074579</v>
      </c>
      <c r="C861" t="s">
        <v>124</v>
      </c>
      <c r="D861" t="s">
        <v>6</v>
      </c>
    </row>
    <row r="862" spans="1:4" x14ac:dyDescent="0.3">
      <c r="A862" t="s">
        <v>129</v>
      </c>
      <c r="B862" s="3">
        <v>0.89276467222250855</v>
      </c>
      <c r="C862" t="s">
        <v>125</v>
      </c>
      <c r="D862" t="s">
        <v>14</v>
      </c>
    </row>
    <row r="863" spans="1:4" x14ac:dyDescent="0.3">
      <c r="A863" t="s">
        <v>129</v>
      </c>
      <c r="B863" s="3">
        <v>0.94947899449785811</v>
      </c>
      <c r="C863" t="s">
        <v>126</v>
      </c>
      <c r="D863" t="s">
        <v>10</v>
      </c>
    </row>
    <row r="864" spans="1:4" x14ac:dyDescent="0.3">
      <c r="A864" t="s">
        <v>129</v>
      </c>
      <c r="B864" s="3">
        <v>0.9657454182217956</v>
      </c>
      <c r="C864" t="s">
        <v>126</v>
      </c>
      <c r="D864" t="s">
        <v>8</v>
      </c>
    </row>
    <row r="865" spans="1:4" x14ac:dyDescent="0.3">
      <c r="A865" t="s">
        <v>129</v>
      </c>
      <c r="B865" s="3">
        <v>0.93573218864959751</v>
      </c>
      <c r="C865" t="s">
        <v>126</v>
      </c>
      <c r="D865" t="s">
        <v>13</v>
      </c>
    </row>
    <row r="866" spans="1:4" x14ac:dyDescent="0.3">
      <c r="A866" t="s">
        <v>131</v>
      </c>
      <c r="B866" s="3">
        <v>1</v>
      </c>
      <c r="C866" t="s">
        <v>5</v>
      </c>
      <c r="D866" t="s">
        <v>6</v>
      </c>
    </row>
    <row r="867" spans="1:4" x14ac:dyDescent="0.3">
      <c r="A867" t="s">
        <v>131</v>
      </c>
      <c r="B867" s="3">
        <v>0.76303112883958701</v>
      </c>
      <c r="C867" t="s">
        <v>7</v>
      </c>
      <c r="D867" t="s">
        <v>8</v>
      </c>
    </row>
    <row r="868" spans="1:4" x14ac:dyDescent="0.3">
      <c r="A868" t="s">
        <v>131</v>
      </c>
      <c r="B868" s="3">
        <v>0.93000899688400596</v>
      </c>
      <c r="C868" t="s">
        <v>9</v>
      </c>
      <c r="D868" t="s">
        <v>6</v>
      </c>
    </row>
    <row r="869" spans="1:4" x14ac:dyDescent="0.3">
      <c r="A869" t="s">
        <v>131</v>
      </c>
      <c r="B869" s="3">
        <v>0.97901728886151651</v>
      </c>
      <c r="C869" t="s">
        <v>9</v>
      </c>
      <c r="D869" t="s">
        <v>10</v>
      </c>
    </row>
    <row r="870" spans="1:4" x14ac:dyDescent="0.3">
      <c r="A870" t="s">
        <v>131</v>
      </c>
      <c r="B870" s="3">
        <v>0.88610995999335074</v>
      </c>
      <c r="C870" t="s">
        <v>9</v>
      </c>
      <c r="D870" t="s">
        <v>8</v>
      </c>
    </row>
    <row r="871" spans="1:4" x14ac:dyDescent="0.3">
      <c r="A871" t="s">
        <v>131</v>
      </c>
      <c r="B871" s="3">
        <v>0.54989612751024897</v>
      </c>
      <c r="C871" t="s">
        <v>11</v>
      </c>
      <c r="D871" t="s">
        <v>8</v>
      </c>
    </row>
    <row r="872" spans="1:4" x14ac:dyDescent="0.3">
      <c r="A872" t="s">
        <v>131</v>
      </c>
      <c r="B872" s="3">
        <v>0.3693743380134934</v>
      </c>
      <c r="C872" t="s">
        <v>12</v>
      </c>
      <c r="D872" t="s">
        <v>6</v>
      </c>
    </row>
    <row r="873" spans="1:4" x14ac:dyDescent="0.3">
      <c r="A873" t="s">
        <v>131</v>
      </c>
      <c r="B873" s="3">
        <v>0.33483209622841631</v>
      </c>
      <c r="C873" t="s">
        <v>12</v>
      </c>
      <c r="D873" t="s">
        <v>10</v>
      </c>
    </row>
    <row r="874" spans="1:4" x14ac:dyDescent="0.3">
      <c r="A874" t="s">
        <v>131</v>
      </c>
      <c r="B874" s="3">
        <v>0.37949302829461101</v>
      </c>
      <c r="C874" t="s">
        <v>12</v>
      </c>
      <c r="D874" t="s">
        <v>8</v>
      </c>
    </row>
    <row r="875" spans="1:4" x14ac:dyDescent="0.3">
      <c r="A875" t="s">
        <v>131</v>
      </c>
      <c r="B875" s="3">
        <v>0.47953664356591674</v>
      </c>
      <c r="C875" t="s">
        <v>12</v>
      </c>
      <c r="D875" t="s">
        <v>13</v>
      </c>
    </row>
    <row r="876" spans="1:4" x14ac:dyDescent="0.3">
      <c r="A876" t="s">
        <v>131</v>
      </c>
      <c r="B876" s="3">
        <v>0.32747665660098746</v>
      </c>
      <c r="C876" t="s">
        <v>12</v>
      </c>
      <c r="D876" t="s">
        <v>14</v>
      </c>
    </row>
    <row r="877" spans="1:4" x14ac:dyDescent="0.3">
      <c r="A877" t="s">
        <v>131</v>
      </c>
      <c r="B877" s="3">
        <v>1</v>
      </c>
      <c r="C877" t="s">
        <v>15</v>
      </c>
    </row>
    <row r="878" spans="1:4" x14ac:dyDescent="0.3">
      <c r="A878" t="s">
        <v>131</v>
      </c>
      <c r="B878" s="3">
        <v>0.97672609566191737</v>
      </c>
      <c r="C878" t="s">
        <v>15</v>
      </c>
      <c r="D878" t="s">
        <v>16</v>
      </c>
    </row>
    <row r="879" spans="1:4" x14ac:dyDescent="0.3">
      <c r="A879" t="s">
        <v>131</v>
      </c>
      <c r="B879" s="3">
        <v>0.97967833894613099</v>
      </c>
      <c r="C879" t="s">
        <v>15</v>
      </c>
      <c r="D879" t="s">
        <v>13</v>
      </c>
    </row>
    <row r="880" spans="1:4" x14ac:dyDescent="0.3">
      <c r="A880" t="s">
        <v>131</v>
      </c>
      <c r="B880" s="3">
        <v>0.94685472234998458</v>
      </c>
      <c r="C880" t="s">
        <v>17</v>
      </c>
      <c r="D880" t="s">
        <v>16</v>
      </c>
    </row>
    <row r="881" spans="1:4" x14ac:dyDescent="0.3">
      <c r="A881" t="s">
        <v>131</v>
      </c>
      <c r="B881" s="3">
        <v>0.97871436171558235</v>
      </c>
      <c r="C881" t="s">
        <v>17</v>
      </c>
      <c r="D881" t="s">
        <v>8</v>
      </c>
    </row>
    <row r="882" spans="1:4" x14ac:dyDescent="0.3">
      <c r="A882" t="s">
        <v>131</v>
      </c>
      <c r="B882" s="3">
        <v>0.96370765413561676</v>
      </c>
      <c r="C882" t="s">
        <v>17</v>
      </c>
      <c r="D882" t="s">
        <v>13</v>
      </c>
    </row>
    <row r="883" spans="1:4" x14ac:dyDescent="0.3">
      <c r="A883" t="s">
        <v>131</v>
      </c>
      <c r="B883" s="3">
        <v>0.96724908371734331</v>
      </c>
      <c r="C883" t="s">
        <v>18</v>
      </c>
      <c r="D883" t="s">
        <v>10</v>
      </c>
    </row>
    <row r="884" spans="1:4" x14ac:dyDescent="0.3">
      <c r="A884" t="s">
        <v>131</v>
      </c>
      <c r="B884" s="3">
        <v>0.89726688670183341</v>
      </c>
      <c r="C884" t="s">
        <v>19</v>
      </c>
      <c r="D884" t="s">
        <v>10</v>
      </c>
    </row>
    <row r="885" spans="1:4" x14ac:dyDescent="0.3">
      <c r="A885" t="s">
        <v>131</v>
      </c>
      <c r="B885" s="3">
        <v>0.92878815230452705</v>
      </c>
      <c r="C885" t="s">
        <v>20</v>
      </c>
      <c r="D885" t="s">
        <v>8</v>
      </c>
    </row>
    <row r="886" spans="1:4" x14ac:dyDescent="0.3">
      <c r="A886" t="s">
        <v>131</v>
      </c>
      <c r="B886" s="3">
        <v>0.51585490931832401</v>
      </c>
      <c r="C886" t="s">
        <v>21</v>
      </c>
      <c r="D886" t="s">
        <v>6</v>
      </c>
    </row>
    <row r="887" spans="1:4" x14ac:dyDescent="0.3">
      <c r="A887" t="s">
        <v>131</v>
      </c>
      <c r="B887" s="3">
        <v>0.68987990675432043</v>
      </c>
      <c r="C887" t="s">
        <v>21</v>
      </c>
      <c r="D887" t="s">
        <v>10</v>
      </c>
    </row>
    <row r="888" spans="1:4" x14ac:dyDescent="0.3">
      <c r="A888" t="s">
        <v>131</v>
      </c>
      <c r="B888" s="3">
        <v>0.83803215705814538</v>
      </c>
      <c r="C888" t="s">
        <v>22</v>
      </c>
      <c r="D888" t="s">
        <v>10</v>
      </c>
    </row>
    <row r="889" spans="1:4" x14ac:dyDescent="0.3">
      <c r="A889" t="s">
        <v>131</v>
      </c>
      <c r="B889" s="3">
        <v>0.48979104919123323</v>
      </c>
      <c r="C889" t="s">
        <v>23</v>
      </c>
      <c r="D889" t="s">
        <v>13</v>
      </c>
    </row>
    <row r="890" spans="1:4" x14ac:dyDescent="0.3">
      <c r="A890" t="s">
        <v>131</v>
      </c>
      <c r="B890" s="3">
        <v>0.52370752800807185</v>
      </c>
      <c r="C890" t="s">
        <v>24</v>
      </c>
    </row>
    <row r="891" spans="1:4" x14ac:dyDescent="0.3">
      <c r="A891" t="s">
        <v>131</v>
      </c>
      <c r="B891" s="3">
        <v>0.63423448504460012</v>
      </c>
      <c r="C891" t="s">
        <v>24</v>
      </c>
      <c r="D891" t="s">
        <v>6</v>
      </c>
    </row>
    <row r="892" spans="1:4" x14ac:dyDescent="0.3">
      <c r="A892" t="s">
        <v>131</v>
      </c>
      <c r="B892" s="3">
        <v>0.82172919629867114</v>
      </c>
      <c r="C892" t="s">
        <v>25</v>
      </c>
    </row>
    <row r="893" spans="1:4" x14ac:dyDescent="0.3">
      <c r="A893" t="s">
        <v>131</v>
      </c>
      <c r="B893" s="3">
        <v>0.82770545994184441</v>
      </c>
      <c r="C893" t="s">
        <v>25</v>
      </c>
      <c r="D893" t="s">
        <v>16</v>
      </c>
    </row>
    <row r="894" spans="1:4" x14ac:dyDescent="0.3">
      <c r="A894" t="s">
        <v>131</v>
      </c>
      <c r="B894" s="3">
        <v>0.60190706503789448</v>
      </c>
      <c r="C894" t="s">
        <v>26</v>
      </c>
      <c r="D894" t="s">
        <v>6</v>
      </c>
    </row>
    <row r="895" spans="1:4" x14ac:dyDescent="0.3">
      <c r="A895" t="s">
        <v>131</v>
      </c>
      <c r="B895" s="3">
        <v>0.83356948378272644</v>
      </c>
      <c r="C895" t="s">
        <v>27</v>
      </c>
      <c r="D895" t="s">
        <v>14</v>
      </c>
    </row>
    <row r="896" spans="1:4" x14ac:dyDescent="0.3">
      <c r="A896" t="s">
        <v>131</v>
      </c>
      <c r="B896" s="3">
        <v>0.91137564612301492</v>
      </c>
      <c r="C896" t="s">
        <v>28</v>
      </c>
      <c r="D896" t="s">
        <v>8</v>
      </c>
    </row>
    <row r="897" spans="1:4" x14ac:dyDescent="0.3">
      <c r="A897" t="s">
        <v>131</v>
      </c>
      <c r="B897" s="3">
        <v>0.93718108790613963</v>
      </c>
      <c r="C897" t="s">
        <v>28</v>
      </c>
      <c r="D897" t="s">
        <v>14</v>
      </c>
    </row>
    <row r="898" spans="1:4" x14ac:dyDescent="0.3">
      <c r="A898" t="s">
        <v>131</v>
      </c>
      <c r="B898" s="3">
        <v>0.97416428538691213</v>
      </c>
      <c r="C898" t="s">
        <v>29</v>
      </c>
      <c r="D898" t="s">
        <v>6</v>
      </c>
    </row>
    <row r="899" spans="1:4" x14ac:dyDescent="0.3">
      <c r="A899" t="s">
        <v>131</v>
      </c>
      <c r="B899" s="3">
        <v>0.97436759026372555</v>
      </c>
      <c r="C899" t="s">
        <v>29</v>
      </c>
      <c r="D899" t="s">
        <v>10</v>
      </c>
    </row>
    <row r="900" spans="1:4" x14ac:dyDescent="0.3">
      <c r="A900" t="s">
        <v>131</v>
      </c>
      <c r="B900" s="3">
        <v>0.93472649308879008</v>
      </c>
      <c r="C900" t="s">
        <v>29</v>
      </c>
      <c r="D900" t="s">
        <v>8</v>
      </c>
    </row>
    <row r="901" spans="1:4" x14ac:dyDescent="0.3">
      <c r="A901" t="s">
        <v>131</v>
      </c>
      <c r="B901" s="3">
        <v>0.96363725754632545</v>
      </c>
      <c r="C901" t="s">
        <v>29</v>
      </c>
      <c r="D901" t="s">
        <v>13</v>
      </c>
    </row>
    <row r="902" spans="1:4" x14ac:dyDescent="0.3">
      <c r="A902" t="s">
        <v>131</v>
      </c>
      <c r="B902" s="3">
        <v>0.96546343392300182</v>
      </c>
      <c r="C902" t="s">
        <v>29</v>
      </c>
      <c r="D902" t="s">
        <v>14</v>
      </c>
    </row>
    <row r="903" spans="1:4" x14ac:dyDescent="0.3">
      <c r="A903" t="s">
        <v>131</v>
      </c>
      <c r="B903" s="3">
        <v>0.79453256819923834</v>
      </c>
      <c r="C903" t="s">
        <v>30</v>
      </c>
      <c r="D903" t="s">
        <v>6</v>
      </c>
    </row>
    <row r="904" spans="1:4" x14ac:dyDescent="0.3">
      <c r="A904" t="s">
        <v>131</v>
      </c>
      <c r="B904" s="3">
        <v>0.17771170280809426</v>
      </c>
      <c r="C904" t="s">
        <v>132</v>
      </c>
      <c r="D904" t="s">
        <v>6</v>
      </c>
    </row>
    <row r="905" spans="1:4" x14ac:dyDescent="0.3">
      <c r="A905" t="s">
        <v>131</v>
      </c>
      <c r="B905" s="3">
        <v>0.47972104202302185</v>
      </c>
      <c r="C905" t="s">
        <v>31</v>
      </c>
      <c r="D905" t="s">
        <v>13</v>
      </c>
    </row>
    <row r="906" spans="1:4" x14ac:dyDescent="0.3">
      <c r="A906" t="s">
        <v>131</v>
      </c>
      <c r="B906" s="3">
        <v>0.95974264602883774</v>
      </c>
      <c r="C906" t="s">
        <v>32</v>
      </c>
    </row>
    <row r="907" spans="1:4" x14ac:dyDescent="0.3">
      <c r="A907" t="s">
        <v>131</v>
      </c>
      <c r="B907" s="3">
        <v>0.37169332988995973</v>
      </c>
      <c r="C907" t="s">
        <v>32</v>
      </c>
      <c r="D907" t="s">
        <v>6</v>
      </c>
    </row>
    <row r="908" spans="1:4" x14ac:dyDescent="0.3">
      <c r="A908" t="s">
        <v>131</v>
      </c>
      <c r="B908" s="3">
        <v>0.93348766193873445</v>
      </c>
      <c r="C908" t="s">
        <v>32</v>
      </c>
      <c r="D908" t="s">
        <v>16</v>
      </c>
    </row>
    <row r="909" spans="1:4" x14ac:dyDescent="0.3">
      <c r="A909" t="s">
        <v>131</v>
      </c>
      <c r="B909" s="3">
        <v>0.94359922915585637</v>
      </c>
      <c r="C909" t="s">
        <v>32</v>
      </c>
      <c r="D909" t="s">
        <v>13</v>
      </c>
    </row>
    <row r="910" spans="1:4" x14ac:dyDescent="0.3">
      <c r="A910" t="s">
        <v>131</v>
      </c>
      <c r="B910" s="3">
        <v>0.70967975638972447</v>
      </c>
      <c r="C910" t="s">
        <v>33</v>
      </c>
      <c r="D910" t="s">
        <v>10</v>
      </c>
    </row>
    <row r="911" spans="1:4" x14ac:dyDescent="0.3">
      <c r="A911" t="s">
        <v>131</v>
      </c>
      <c r="B911" s="3">
        <v>0.91184565987569144</v>
      </c>
      <c r="C911" t="s">
        <v>34</v>
      </c>
    </row>
    <row r="912" spans="1:4" x14ac:dyDescent="0.3">
      <c r="A912" t="s">
        <v>131</v>
      </c>
      <c r="B912" s="3">
        <v>0.91670081414210236</v>
      </c>
      <c r="C912" t="s">
        <v>34</v>
      </c>
      <c r="D912" t="s">
        <v>16</v>
      </c>
    </row>
    <row r="913" spans="1:4" x14ac:dyDescent="0.3">
      <c r="A913" t="s">
        <v>131</v>
      </c>
      <c r="B913" s="3">
        <v>0.90477127938138813</v>
      </c>
      <c r="C913" t="s">
        <v>35</v>
      </c>
      <c r="D913" t="s">
        <v>16</v>
      </c>
    </row>
    <row r="914" spans="1:4" x14ac:dyDescent="0.3">
      <c r="A914" t="s">
        <v>131</v>
      </c>
      <c r="B914" s="3">
        <v>0.92429420234087878</v>
      </c>
      <c r="C914" t="s">
        <v>36</v>
      </c>
      <c r="D914" t="s">
        <v>13</v>
      </c>
    </row>
    <row r="915" spans="1:4" x14ac:dyDescent="0.3">
      <c r="A915" t="s">
        <v>131</v>
      </c>
      <c r="B915" s="3">
        <v>0.92573621736739853</v>
      </c>
      <c r="C915" t="s">
        <v>37</v>
      </c>
      <c r="D915" t="s">
        <v>10</v>
      </c>
    </row>
    <row r="916" spans="1:4" x14ac:dyDescent="0.3">
      <c r="A916" t="s">
        <v>131</v>
      </c>
      <c r="B916" s="3">
        <v>0.9141036003046209</v>
      </c>
      <c r="C916" t="s">
        <v>38</v>
      </c>
    </row>
    <row r="917" spans="1:4" x14ac:dyDescent="0.3">
      <c r="A917" t="s">
        <v>131</v>
      </c>
      <c r="B917" s="3">
        <v>0.8295621785007784</v>
      </c>
      <c r="C917" t="s">
        <v>38</v>
      </c>
      <c r="D917" t="s">
        <v>14</v>
      </c>
    </row>
    <row r="918" spans="1:4" x14ac:dyDescent="0.3">
      <c r="A918" t="s">
        <v>131</v>
      </c>
      <c r="B918" s="3">
        <v>0.91868352863547331</v>
      </c>
      <c r="C918" t="s">
        <v>39</v>
      </c>
      <c r="D918" t="s">
        <v>6</v>
      </c>
    </row>
    <row r="919" spans="1:4" x14ac:dyDescent="0.3">
      <c r="A919" t="s">
        <v>131</v>
      </c>
      <c r="B919" s="3">
        <v>0.91658867801503818</v>
      </c>
      <c r="C919" t="s">
        <v>39</v>
      </c>
      <c r="D919" t="s">
        <v>10</v>
      </c>
    </row>
    <row r="920" spans="1:4" x14ac:dyDescent="0.3">
      <c r="A920" t="s">
        <v>131</v>
      </c>
      <c r="B920" s="3">
        <v>0.89334877924916312</v>
      </c>
      <c r="C920" t="s">
        <v>39</v>
      </c>
      <c r="D920" t="s">
        <v>8</v>
      </c>
    </row>
    <row r="921" spans="1:4" x14ac:dyDescent="0.3">
      <c r="A921" t="s">
        <v>131</v>
      </c>
      <c r="B921" s="3">
        <v>0.7354535081872553</v>
      </c>
      <c r="C921" t="s">
        <v>40</v>
      </c>
      <c r="D921" t="s">
        <v>6</v>
      </c>
    </row>
    <row r="922" spans="1:4" x14ac:dyDescent="0.3">
      <c r="A922" t="s">
        <v>131</v>
      </c>
      <c r="B922" s="3">
        <v>0.57143469010761805</v>
      </c>
      <c r="C922" t="s">
        <v>41</v>
      </c>
    </row>
    <row r="923" spans="1:4" x14ac:dyDescent="0.3">
      <c r="A923" t="s">
        <v>131</v>
      </c>
      <c r="B923" s="3">
        <v>0.40779413667197639</v>
      </c>
      <c r="C923" t="s">
        <v>41</v>
      </c>
      <c r="D923" t="s">
        <v>8</v>
      </c>
    </row>
    <row r="924" spans="1:4" x14ac:dyDescent="0.3">
      <c r="A924" t="s">
        <v>131</v>
      </c>
      <c r="B924" s="3">
        <v>0.97493801667927826</v>
      </c>
      <c r="C924" t="s">
        <v>42</v>
      </c>
      <c r="D924" t="s">
        <v>10</v>
      </c>
    </row>
    <row r="925" spans="1:4" x14ac:dyDescent="0.3">
      <c r="A925" t="s">
        <v>131</v>
      </c>
      <c r="B925" s="3">
        <v>0.97521638014093648</v>
      </c>
      <c r="C925" t="s">
        <v>42</v>
      </c>
      <c r="D925" t="s">
        <v>8</v>
      </c>
    </row>
    <row r="926" spans="1:4" x14ac:dyDescent="0.3">
      <c r="A926" t="s">
        <v>131</v>
      </c>
      <c r="B926" s="3">
        <v>0.86201598577020122</v>
      </c>
      <c r="C926" t="s">
        <v>43</v>
      </c>
      <c r="D926" t="s">
        <v>10</v>
      </c>
    </row>
    <row r="927" spans="1:4" x14ac:dyDescent="0.3">
      <c r="A927" t="s">
        <v>131</v>
      </c>
      <c r="B927" s="3">
        <v>0.96005788997025088</v>
      </c>
      <c r="C927" t="s">
        <v>44</v>
      </c>
      <c r="D927" t="s">
        <v>6</v>
      </c>
    </row>
    <row r="928" spans="1:4" x14ac:dyDescent="0.3">
      <c r="A928" t="s">
        <v>131</v>
      </c>
      <c r="B928" s="3">
        <v>0.97207668656097301</v>
      </c>
      <c r="C928" t="s">
        <v>44</v>
      </c>
      <c r="D928" t="s">
        <v>14</v>
      </c>
    </row>
    <row r="929" spans="1:4" x14ac:dyDescent="0.3">
      <c r="A929" t="s">
        <v>131</v>
      </c>
      <c r="B929" s="3">
        <v>0.53240220140015004</v>
      </c>
      <c r="C929" t="s">
        <v>45</v>
      </c>
      <c r="D929" t="s">
        <v>8</v>
      </c>
    </row>
    <row r="930" spans="1:4" x14ac:dyDescent="0.3">
      <c r="A930" t="s">
        <v>131</v>
      </c>
      <c r="B930" s="3">
        <v>0.30156983667272458</v>
      </c>
      <c r="C930" t="s">
        <v>46</v>
      </c>
      <c r="D930" t="s">
        <v>10</v>
      </c>
    </row>
    <row r="931" spans="1:4" x14ac:dyDescent="0.3">
      <c r="A931" t="s">
        <v>131</v>
      </c>
      <c r="B931" s="3">
        <v>0.95368223552952314</v>
      </c>
      <c r="C931" t="s">
        <v>47</v>
      </c>
      <c r="D931" t="s">
        <v>10</v>
      </c>
    </row>
    <row r="932" spans="1:4" x14ac:dyDescent="0.3">
      <c r="A932" t="s">
        <v>131</v>
      </c>
      <c r="B932" s="3">
        <v>0.95159396728348711</v>
      </c>
      <c r="C932" t="s">
        <v>47</v>
      </c>
      <c r="D932" t="s">
        <v>8</v>
      </c>
    </row>
    <row r="933" spans="1:4" x14ac:dyDescent="0.3">
      <c r="A933" t="s">
        <v>131</v>
      </c>
      <c r="B933" s="3">
        <v>0.95810677548777679</v>
      </c>
      <c r="C933" t="s">
        <v>47</v>
      </c>
      <c r="D933" t="s">
        <v>14</v>
      </c>
    </row>
    <row r="934" spans="1:4" x14ac:dyDescent="0.3">
      <c r="A934" t="s">
        <v>131</v>
      </c>
      <c r="B934" s="3">
        <v>0.82202754992304927</v>
      </c>
      <c r="C934" t="s">
        <v>48</v>
      </c>
      <c r="D934" t="s">
        <v>6</v>
      </c>
    </row>
    <row r="935" spans="1:4" x14ac:dyDescent="0.3">
      <c r="A935" t="s">
        <v>131</v>
      </c>
      <c r="B935" s="3">
        <v>0.78005705050209817</v>
      </c>
      <c r="C935" t="s">
        <v>48</v>
      </c>
      <c r="D935" t="s">
        <v>10</v>
      </c>
    </row>
    <row r="936" spans="1:4" x14ac:dyDescent="0.3">
      <c r="A936" t="s">
        <v>131</v>
      </c>
      <c r="B936" s="3">
        <v>0.71821168098686039</v>
      </c>
      <c r="C936" t="s">
        <v>48</v>
      </c>
      <c r="D936" t="s">
        <v>14</v>
      </c>
    </row>
    <row r="937" spans="1:4" x14ac:dyDescent="0.3">
      <c r="A937" t="s">
        <v>131</v>
      </c>
      <c r="B937" s="3">
        <v>0.70881566855244649</v>
      </c>
      <c r="C937" t="s">
        <v>49</v>
      </c>
    </row>
    <row r="938" spans="1:4" x14ac:dyDescent="0.3">
      <c r="A938" t="s">
        <v>131</v>
      </c>
      <c r="B938" s="3">
        <v>0.88028279070734927</v>
      </c>
      <c r="C938" t="s">
        <v>49</v>
      </c>
      <c r="D938" t="s">
        <v>16</v>
      </c>
    </row>
    <row r="939" spans="1:4" x14ac:dyDescent="0.3">
      <c r="A939" t="s">
        <v>131</v>
      </c>
      <c r="B939" s="3">
        <v>0.81946849377877662</v>
      </c>
      <c r="C939" t="s">
        <v>50</v>
      </c>
      <c r="D939" t="s">
        <v>10</v>
      </c>
    </row>
    <row r="940" spans="1:4" x14ac:dyDescent="0.3">
      <c r="A940" t="s">
        <v>131</v>
      </c>
      <c r="B940" s="3">
        <v>0.79152890722571378</v>
      </c>
      <c r="C940" t="s">
        <v>50</v>
      </c>
      <c r="D940" t="s">
        <v>14</v>
      </c>
    </row>
    <row r="941" spans="1:4" x14ac:dyDescent="0.3">
      <c r="A941" t="s">
        <v>131</v>
      </c>
      <c r="B941" s="3">
        <v>0.97403106043548127</v>
      </c>
      <c r="C941" t="s">
        <v>51</v>
      </c>
      <c r="D941" t="s">
        <v>8</v>
      </c>
    </row>
    <row r="942" spans="1:4" x14ac:dyDescent="0.3">
      <c r="A942" t="s">
        <v>131</v>
      </c>
      <c r="B942" s="3">
        <v>0.75817490029169388</v>
      </c>
      <c r="C942" t="s">
        <v>52</v>
      </c>
      <c r="D942" t="s">
        <v>6</v>
      </c>
    </row>
    <row r="943" spans="1:4" x14ac:dyDescent="0.3">
      <c r="A943" t="s">
        <v>131</v>
      </c>
      <c r="B943" s="3">
        <v>0.60711472871604688</v>
      </c>
      <c r="C943" t="s">
        <v>52</v>
      </c>
      <c r="D943" t="s">
        <v>8</v>
      </c>
    </row>
    <row r="944" spans="1:4" x14ac:dyDescent="0.3">
      <c r="A944" t="s">
        <v>131</v>
      </c>
      <c r="B944" s="3">
        <v>0.5212940238621725</v>
      </c>
      <c r="C944" t="s">
        <v>52</v>
      </c>
      <c r="D944" t="s">
        <v>13</v>
      </c>
    </row>
    <row r="945" spans="1:4" x14ac:dyDescent="0.3">
      <c r="A945" t="s">
        <v>131</v>
      </c>
      <c r="B945" s="3">
        <v>0.9279235540392009</v>
      </c>
      <c r="C945" t="s">
        <v>53</v>
      </c>
      <c r="D945" t="s">
        <v>8</v>
      </c>
    </row>
    <row r="946" spans="1:4" x14ac:dyDescent="0.3">
      <c r="A946" t="s">
        <v>131</v>
      </c>
      <c r="B946" s="3">
        <v>0.85544063717573493</v>
      </c>
      <c r="C946" t="s">
        <v>54</v>
      </c>
    </row>
    <row r="947" spans="1:4" x14ac:dyDescent="0.3">
      <c r="A947" t="s">
        <v>131</v>
      </c>
      <c r="B947" s="3">
        <v>0.90716635792296241</v>
      </c>
      <c r="C947" t="s">
        <v>54</v>
      </c>
      <c r="D947" t="s">
        <v>16</v>
      </c>
    </row>
    <row r="948" spans="1:4" x14ac:dyDescent="0.3">
      <c r="A948" t="s">
        <v>131</v>
      </c>
      <c r="B948" s="3">
        <v>0.71462125100944129</v>
      </c>
      <c r="C948" t="s">
        <v>54</v>
      </c>
      <c r="D948" t="s">
        <v>10</v>
      </c>
    </row>
    <row r="949" spans="1:4" x14ac:dyDescent="0.3">
      <c r="A949" t="s">
        <v>131</v>
      </c>
      <c r="B949" s="3">
        <v>0.81361407217551429</v>
      </c>
      <c r="C949" t="s">
        <v>54</v>
      </c>
      <c r="D949" t="s">
        <v>13</v>
      </c>
    </row>
    <row r="950" spans="1:4" x14ac:dyDescent="0.3">
      <c r="A950" t="s">
        <v>131</v>
      </c>
      <c r="B950" s="3">
        <v>0.59356063374505652</v>
      </c>
      <c r="C950" t="s">
        <v>54</v>
      </c>
      <c r="D950" t="s">
        <v>14</v>
      </c>
    </row>
    <row r="951" spans="1:4" x14ac:dyDescent="0.3">
      <c r="A951" t="s">
        <v>131</v>
      </c>
      <c r="B951" s="3">
        <v>0.78116364222629475</v>
      </c>
      <c r="C951" t="s">
        <v>55</v>
      </c>
      <c r="D951" t="s">
        <v>6</v>
      </c>
    </row>
    <row r="952" spans="1:4" x14ac:dyDescent="0.3">
      <c r="A952" t="s">
        <v>131</v>
      </c>
      <c r="B952" s="3">
        <v>0.89318716590333436</v>
      </c>
      <c r="C952" t="s">
        <v>55</v>
      </c>
      <c r="D952" t="s">
        <v>10</v>
      </c>
    </row>
    <row r="953" spans="1:4" x14ac:dyDescent="0.3">
      <c r="A953" t="s">
        <v>131</v>
      </c>
      <c r="B953" s="3">
        <v>0.8052206990232732</v>
      </c>
      <c r="C953" t="s">
        <v>55</v>
      </c>
      <c r="D953" t="s">
        <v>8</v>
      </c>
    </row>
    <row r="954" spans="1:4" x14ac:dyDescent="0.3">
      <c r="A954" t="s">
        <v>131</v>
      </c>
      <c r="B954" s="3">
        <v>0.82348766577787003</v>
      </c>
      <c r="C954" t="s">
        <v>55</v>
      </c>
      <c r="D954" t="s">
        <v>13</v>
      </c>
    </row>
    <row r="955" spans="1:4" x14ac:dyDescent="0.3">
      <c r="A955" t="s">
        <v>131</v>
      </c>
      <c r="B955" s="3">
        <v>0.79709301862516102</v>
      </c>
      <c r="C955" t="s">
        <v>55</v>
      </c>
      <c r="D955" t="s">
        <v>14</v>
      </c>
    </row>
    <row r="956" spans="1:4" x14ac:dyDescent="0.3">
      <c r="A956" t="s">
        <v>131</v>
      </c>
      <c r="B956" s="3">
        <v>0.94175814296071381</v>
      </c>
      <c r="C956" t="s">
        <v>56</v>
      </c>
      <c r="D956" t="s">
        <v>8</v>
      </c>
    </row>
    <row r="957" spans="1:4" x14ac:dyDescent="0.3">
      <c r="A957" t="s">
        <v>131</v>
      </c>
      <c r="B957" s="3">
        <v>0.88529590368292244</v>
      </c>
      <c r="C957" t="s">
        <v>57</v>
      </c>
      <c r="D957" t="s">
        <v>16</v>
      </c>
    </row>
    <row r="958" spans="1:4" x14ac:dyDescent="0.3">
      <c r="A958" t="s">
        <v>131</v>
      </c>
      <c r="B958" s="3">
        <v>0.77486960996266274</v>
      </c>
      <c r="C958" t="s">
        <v>58</v>
      </c>
      <c r="D958" t="s">
        <v>10</v>
      </c>
    </row>
    <row r="959" spans="1:4" x14ac:dyDescent="0.3">
      <c r="A959" t="s">
        <v>131</v>
      </c>
      <c r="B959" s="3">
        <v>0.80513626377818603</v>
      </c>
      <c r="C959" t="s">
        <v>59</v>
      </c>
      <c r="D959" t="s">
        <v>16</v>
      </c>
    </row>
    <row r="960" spans="1:4" x14ac:dyDescent="0.3">
      <c r="A960" t="s">
        <v>131</v>
      </c>
      <c r="B960" s="3">
        <v>1</v>
      </c>
      <c r="C960" t="s">
        <v>60</v>
      </c>
      <c r="D960" t="s">
        <v>14</v>
      </c>
    </row>
    <row r="961" spans="1:4" x14ac:dyDescent="0.3">
      <c r="A961" t="s">
        <v>131</v>
      </c>
      <c r="B961" s="3">
        <v>0.70684299450338817</v>
      </c>
      <c r="C961" t="s">
        <v>61</v>
      </c>
      <c r="D961" t="s">
        <v>10</v>
      </c>
    </row>
    <row r="962" spans="1:4" x14ac:dyDescent="0.3">
      <c r="A962" t="s">
        <v>131</v>
      </c>
      <c r="B962" s="3">
        <v>0.63621035113504087</v>
      </c>
      <c r="C962" t="s">
        <v>62</v>
      </c>
      <c r="D962" t="s">
        <v>14</v>
      </c>
    </row>
    <row r="963" spans="1:4" x14ac:dyDescent="0.3">
      <c r="A963" t="s">
        <v>131</v>
      </c>
      <c r="B963" s="3">
        <v>0.95495712778239317</v>
      </c>
      <c r="C963" t="s">
        <v>63</v>
      </c>
      <c r="D963" t="s">
        <v>6</v>
      </c>
    </row>
    <row r="964" spans="1:4" x14ac:dyDescent="0.3">
      <c r="A964" t="s">
        <v>131</v>
      </c>
      <c r="B964" s="3">
        <v>0.98379279203142456</v>
      </c>
      <c r="C964" t="s">
        <v>64</v>
      </c>
      <c r="D964" t="s">
        <v>16</v>
      </c>
    </row>
    <row r="965" spans="1:4" x14ac:dyDescent="0.3">
      <c r="A965" t="s">
        <v>131</v>
      </c>
      <c r="B965" s="3">
        <v>0.98163785093544975</v>
      </c>
      <c r="C965" t="s">
        <v>64</v>
      </c>
      <c r="D965" t="s">
        <v>13</v>
      </c>
    </row>
    <row r="966" spans="1:4" x14ac:dyDescent="0.3">
      <c r="A966" t="s">
        <v>131</v>
      </c>
      <c r="B966" s="3">
        <v>0.8493186932022595</v>
      </c>
      <c r="C966" t="s">
        <v>65</v>
      </c>
      <c r="D966" t="s">
        <v>8</v>
      </c>
    </row>
    <row r="967" spans="1:4" x14ac:dyDescent="0.3">
      <c r="A967" t="s">
        <v>131</v>
      </c>
      <c r="B967" s="3">
        <v>0.95561111564453394</v>
      </c>
      <c r="C967" t="s">
        <v>66</v>
      </c>
      <c r="D967" t="s">
        <v>16</v>
      </c>
    </row>
    <row r="968" spans="1:4" x14ac:dyDescent="0.3">
      <c r="A968" t="s">
        <v>131</v>
      </c>
      <c r="B968" s="3">
        <v>0.7919697479547344</v>
      </c>
      <c r="C968" t="s">
        <v>67</v>
      </c>
      <c r="D968" t="s">
        <v>16</v>
      </c>
    </row>
    <row r="969" spans="1:4" x14ac:dyDescent="0.3">
      <c r="A969" t="s">
        <v>131</v>
      </c>
      <c r="B969" s="3">
        <v>0.48301866546290606</v>
      </c>
      <c r="C969" t="s">
        <v>68</v>
      </c>
      <c r="D969" t="s">
        <v>13</v>
      </c>
    </row>
    <row r="970" spans="1:4" x14ac:dyDescent="0.3">
      <c r="A970" t="s">
        <v>131</v>
      </c>
      <c r="B970" s="3">
        <v>0.95657176269068744</v>
      </c>
      <c r="C970" t="s">
        <v>69</v>
      </c>
      <c r="D970" t="s">
        <v>6</v>
      </c>
    </row>
    <row r="971" spans="1:4" x14ac:dyDescent="0.3">
      <c r="A971" t="s">
        <v>131</v>
      </c>
      <c r="B971" s="3">
        <v>0.94068825777308296</v>
      </c>
      <c r="C971" t="s">
        <v>69</v>
      </c>
      <c r="D971" t="s">
        <v>16</v>
      </c>
    </row>
    <row r="972" spans="1:4" x14ac:dyDescent="0.3">
      <c r="A972" t="s">
        <v>131</v>
      </c>
      <c r="B972" s="3">
        <v>0.94566199373313264</v>
      </c>
      <c r="C972" t="s">
        <v>69</v>
      </c>
      <c r="D972" t="s">
        <v>10</v>
      </c>
    </row>
    <row r="973" spans="1:4" x14ac:dyDescent="0.3">
      <c r="A973" t="s">
        <v>131</v>
      </c>
      <c r="B973" s="3">
        <v>0.96320183902755785</v>
      </c>
      <c r="C973" t="s">
        <v>69</v>
      </c>
      <c r="D973" t="s">
        <v>8</v>
      </c>
    </row>
    <row r="974" spans="1:4" x14ac:dyDescent="0.3">
      <c r="A974" t="s">
        <v>131</v>
      </c>
      <c r="B974" s="3">
        <v>0.95554336117031258</v>
      </c>
      <c r="C974" t="s">
        <v>69</v>
      </c>
      <c r="D974" t="s">
        <v>13</v>
      </c>
    </row>
    <row r="975" spans="1:4" x14ac:dyDescent="0.3">
      <c r="A975" t="s">
        <v>131</v>
      </c>
      <c r="B975" s="3">
        <v>0.94365028290252828</v>
      </c>
      <c r="C975" t="s">
        <v>69</v>
      </c>
      <c r="D975" t="s">
        <v>14</v>
      </c>
    </row>
    <row r="976" spans="1:4" x14ac:dyDescent="0.3">
      <c r="A976" t="s">
        <v>131</v>
      </c>
      <c r="B976" s="3">
        <v>0.90954482729306241</v>
      </c>
      <c r="C976" t="s">
        <v>70</v>
      </c>
      <c r="D976" t="s">
        <v>6</v>
      </c>
    </row>
    <row r="977" spans="1:4" x14ac:dyDescent="0.3">
      <c r="A977" t="s">
        <v>131</v>
      </c>
      <c r="B977" s="3">
        <v>0.92330473220508136</v>
      </c>
      <c r="C977" t="s">
        <v>70</v>
      </c>
      <c r="D977" t="s">
        <v>10</v>
      </c>
    </row>
    <row r="978" spans="1:4" x14ac:dyDescent="0.3">
      <c r="A978" t="s">
        <v>131</v>
      </c>
      <c r="B978" s="3">
        <v>0.90758989304139803</v>
      </c>
      <c r="C978" t="s">
        <v>70</v>
      </c>
      <c r="D978" t="s">
        <v>8</v>
      </c>
    </row>
    <row r="979" spans="1:4" x14ac:dyDescent="0.3">
      <c r="A979" t="s">
        <v>131</v>
      </c>
      <c r="B979" s="3">
        <v>0.92547566274509152</v>
      </c>
      <c r="C979" t="s">
        <v>70</v>
      </c>
      <c r="D979" t="s">
        <v>13</v>
      </c>
    </row>
    <row r="980" spans="1:4" x14ac:dyDescent="0.3">
      <c r="A980" t="s">
        <v>131</v>
      </c>
      <c r="B980" s="3">
        <v>0.91257210984601456</v>
      </c>
      <c r="C980" t="s">
        <v>70</v>
      </c>
      <c r="D980" t="s">
        <v>14</v>
      </c>
    </row>
    <row r="981" spans="1:4" x14ac:dyDescent="0.3">
      <c r="A981" t="s">
        <v>131</v>
      </c>
      <c r="B981" s="3">
        <v>0.68393658155276238</v>
      </c>
      <c r="C981" t="s">
        <v>71</v>
      </c>
      <c r="D981" t="s">
        <v>14</v>
      </c>
    </row>
    <row r="982" spans="1:4" x14ac:dyDescent="0.3">
      <c r="A982" t="s">
        <v>131</v>
      </c>
      <c r="B982" s="3">
        <v>0.89013117559002741</v>
      </c>
      <c r="C982" t="s">
        <v>72</v>
      </c>
      <c r="D982" t="s">
        <v>10</v>
      </c>
    </row>
    <row r="983" spans="1:4" x14ac:dyDescent="0.3">
      <c r="A983" t="s">
        <v>131</v>
      </c>
      <c r="B983" s="3">
        <v>0.94938959694827707</v>
      </c>
      <c r="C983" t="s">
        <v>72</v>
      </c>
      <c r="D983" t="s">
        <v>8</v>
      </c>
    </row>
    <row r="984" spans="1:4" x14ac:dyDescent="0.3">
      <c r="A984" t="s">
        <v>131</v>
      </c>
      <c r="B984" s="3">
        <v>0.93539775801870284</v>
      </c>
      <c r="C984" t="s">
        <v>72</v>
      </c>
      <c r="D984" t="s">
        <v>14</v>
      </c>
    </row>
    <row r="985" spans="1:4" x14ac:dyDescent="0.3">
      <c r="A985" t="s">
        <v>131</v>
      </c>
      <c r="B985" s="3">
        <v>0.25108440606093124</v>
      </c>
      <c r="C985" t="s">
        <v>73</v>
      </c>
      <c r="D985" t="s">
        <v>6</v>
      </c>
    </row>
    <row r="986" spans="1:4" x14ac:dyDescent="0.3">
      <c r="A986" t="s">
        <v>131</v>
      </c>
      <c r="B986" s="3">
        <v>0.91791520364482249</v>
      </c>
      <c r="C986" t="s">
        <v>74</v>
      </c>
    </row>
    <row r="987" spans="1:4" x14ac:dyDescent="0.3">
      <c r="A987" t="s">
        <v>131</v>
      </c>
      <c r="B987" s="3">
        <v>0.94924257578101123</v>
      </c>
      <c r="C987" t="s">
        <v>74</v>
      </c>
      <c r="D987" t="s">
        <v>14</v>
      </c>
    </row>
    <row r="988" spans="1:4" x14ac:dyDescent="0.3">
      <c r="A988" t="s">
        <v>131</v>
      </c>
      <c r="B988" s="3">
        <v>0.90909427917304197</v>
      </c>
      <c r="C988" t="s">
        <v>75</v>
      </c>
      <c r="D988" t="s">
        <v>8</v>
      </c>
    </row>
    <row r="989" spans="1:4" x14ac:dyDescent="0.3">
      <c r="A989" t="s">
        <v>131</v>
      </c>
      <c r="B989" s="3">
        <v>0.74202017211675653</v>
      </c>
      <c r="C989" t="s">
        <v>76</v>
      </c>
    </row>
    <row r="990" spans="1:4" x14ac:dyDescent="0.3">
      <c r="A990" t="s">
        <v>131</v>
      </c>
      <c r="B990" s="3">
        <v>0.6389506535046019</v>
      </c>
      <c r="C990" t="s">
        <v>76</v>
      </c>
      <c r="D990" t="s">
        <v>6</v>
      </c>
    </row>
    <row r="991" spans="1:4" x14ac:dyDescent="0.3">
      <c r="A991" t="s">
        <v>131</v>
      </c>
      <c r="B991" s="3">
        <v>0.87764608318388804</v>
      </c>
      <c r="C991" t="s">
        <v>76</v>
      </c>
      <c r="D991" t="s">
        <v>16</v>
      </c>
    </row>
    <row r="992" spans="1:4" x14ac:dyDescent="0.3">
      <c r="A992" t="s">
        <v>131</v>
      </c>
      <c r="B992" s="3">
        <v>0.70794973546232809</v>
      </c>
      <c r="C992" t="s">
        <v>76</v>
      </c>
      <c r="D992" t="s">
        <v>10</v>
      </c>
    </row>
    <row r="993" spans="1:4" x14ac:dyDescent="0.3">
      <c r="A993" t="s">
        <v>131</v>
      </c>
      <c r="B993" s="3">
        <v>0.7899821188017192</v>
      </c>
      <c r="C993" t="s">
        <v>76</v>
      </c>
      <c r="D993" t="s">
        <v>8</v>
      </c>
    </row>
    <row r="994" spans="1:4" x14ac:dyDescent="0.3">
      <c r="A994" t="s">
        <v>131</v>
      </c>
      <c r="B994" s="3">
        <v>0.85012841901957892</v>
      </c>
      <c r="C994" t="s">
        <v>77</v>
      </c>
      <c r="D994" t="s">
        <v>14</v>
      </c>
    </row>
    <row r="995" spans="1:4" x14ac:dyDescent="0.3">
      <c r="A995" t="s">
        <v>131</v>
      </c>
      <c r="B995" s="3">
        <v>0.94251155406313236</v>
      </c>
      <c r="C995" t="s">
        <v>78</v>
      </c>
      <c r="D995" t="s">
        <v>6</v>
      </c>
    </row>
    <row r="996" spans="1:4" x14ac:dyDescent="0.3">
      <c r="A996" t="s">
        <v>131</v>
      </c>
      <c r="B996" s="3">
        <v>0.93500714299358867</v>
      </c>
      <c r="C996" t="s">
        <v>78</v>
      </c>
      <c r="D996" t="s">
        <v>10</v>
      </c>
    </row>
    <row r="997" spans="1:4" x14ac:dyDescent="0.3">
      <c r="A997" t="s">
        <v>131</v>
      </c>
      <c r="B997" s="3">
        <v>0.91968972748092526</v>
      </c>
      <c r="C997" t="s">
        <v>78</v>
      </c>
      <c r="D997" t="s">
        <v>8</v>
      </c>
    </row>
    <row r="998" spans="1:4" x14ac:dyDescent="0.3">
      <c r="A998" t="s">
        <v>131</v>
      </c>
      <c r="B998" s="3">
        <v>0.91809786068796306</v>
      </c>
      <c r="C998" t="s">
        <v>78</v>
      </c>
      <c r="D998" t="s">
        <v>13</v>
      </c>
    </row>
    <row r="999" spans="1:4" x14ac:dyDescent="0.3">
      <c r="A999" t="s">
        <v>131</v>
      </c>
      <c r="B999" s="3">
        <v>0.9496938436789043</v>
      </c>
      <c r="C999" t="s">
        <v>78</v>
      </c>
      <c r="D999" t="s">
        <v>14</v>
      </c>
    </row>
    <row r="1000" spans="1:4" x14ac:dyDescent="0.3">
      <c r="A1000" t="s">
        <v>131</v>
      </c>
      <c r="B1000" s="3">
        <v>0.80808819297233703</v>
      </c>
      <c r="C1000" t="s">
        <v>79</v>
      </c>
      <c r="D1000" t="s">
        <v>10</v>
      </c>
    </row>
    <row r="1001" spans="1:4" x14ac:dyDescent="0.3">
      <c r="A1001" t="s">
        <v>131</v>
      </c>
      <c r="B1001" s="3">
        <v>0.93711934776074346</v>
      </c>
      <c r="C1001" t="s">
        <v>80</v>
      </c>
      <c r="D1001" t="s">
        <v>6</v>
      </c>
    </row>
    <row r="1002" spans="1:4" x14ac:dyDescent="0.3">
      <c r="A1002" t="s">
        <v>131</v>
      </c>
      <c r="B1002" s="3">
        <v>0.866330952312102</v>
      </c>
      <c r="C1002" t="s">
        <v>80</v>
      </c>
      <c r="D1002" t="s">
        <v>16</v>
      </c>
    </row>
    <row r="1003" spans="1:4" x14ac:dyDescent="0.3">
      <c r="A1003" t="s">
        <v>131</v>
      </c>
      <c r="B1003" s="3">
        <v>0.93687859139448648</v>
      </c>
      <c r="C1003" t="s">
        <v>80</v>
      </c>
      <c r="D1003" t="s">
        <v>10</v>
      </c>
    </row>
    <row r="1004" spans="1:4" x14ac:dyDescent="0.3">
      <c r="A1004" t="s">
        <v>131</v>
      </c>
      <c r="B1004" s="3">
        <v>0.9275398997112505</v>
      </c>
      <c r="C1004" t="s">
        <v>80</v>
      </c>
      <c r="D1004" t="s">
        <v>8</v>
      </c>
    </row>
    <row r="1005" spans="1:4" x14ac:dyDescent="0.3">
      <c r="A1005" t="s">
        <v>131</v>
      </c>
      <c r="B1005" s="3">
        <v>0.92863882698884082</v>
      </c>
      <c r="C1005" t="s">
        <v>80</v>
      </c>
      <c r="D1005" t="s">
        <v>13</v>
      </c>
    </row>
    <row r="1006" spans="1:4" x14ac:dyDescent="0.3">
      <c r="A1006" t="s">
        <v>131</v>
      </c>
      <c r="B1006" s="3">
        <v>0.93108403621331615</v>
      </c>
      <c r="C1006" t="s">
        <v>80</v>
      </c>
      <c r="D1006" t="s">
        <v>14</v>
      </c>
    </row>
    <row r="1007" spans="1:4" x14ac:dyDescent="0.3">
      <c r="A1007" t="s">
        <v>131</v>
      </c>
      <c r="B1007" s="3">
        <v>0.83012985414210061</v>
      </c>
      <c r="C1007" t="s">
        <v>82</v>
      </c>
      <c r="D1007" t="s">
        <v>10</v>
      </c>
    </row>
    <row r="1008" spans="1:4" x14ac:dyDescent="0.3">
      <c r="A1008" t="s">
        <v>131</v>
      </c>
      <c r="B1008" s="3">
        <v>0.99168662292639809</v>
      </c>
      <c r="C1008" t="s">
        <v>83</v>
      </c>
      <c r="D1008" t="s">
        <v>10</v>
      </c>
    </row>
    <row r="1009" spans="1:4" x14ac:dyDescent="0.3">
      <c r="A1009" t="s">
        <v>131</v>
      </c>
      <c r="B1009" s="3">
        <v>0.95837069932852081</v>
      </c>
      <c r="C1009" t="s">
        <v>83</v>
      </c>
      <c r="D1009" t="s">
        <v>8</v>
      </c>
    </row>
    <row r="1010" spans="1:4" x14ac:dyDescent="0.3">
      <c r="A1010" t="s">
        <v>131</v>
      </c>
      <c r="B1010" s="3">
        <v>0.95757764924102928</v>
      </c>
      <c r="C1010" t="s">
        <v>84</v>
      </c>
      <c r="D1010" t="s">
        <v>8</v>
      </c>
    </row>
    <row r="1011" spans="1:4" x14ac:dyDescent="0.3">
      <c r="A1011" t="s">
        <v>131</v>
      </c>
      <c r="B1011" s="3">
        <v>0.96986619163839183</v>
      </c>
      <c r="C1011" t="s">
        <v>85</v>
      </c>
      <c r="D1011" t="s">
        <v>13</v>
      </c>
    </row>
    <row r="1012" spans="1:4" x14ac:dyDescent="0.3">
      <c r="A1012" t="s">
        <v>131</v>
      </c>
      <c r="B1012" s="3">
        <v>2.4296575341291513E-2</v>
      </c>
      <c r="C1012" t="s">
        <v>130</v>
      </c>
      <c r="D1012" t="s">
        <v>13</v>
      </c>
    </row>
    <row r="1013" spans="1:4" x14ac:dyDescent="0.3">
      <c r="A1013" t="s">
        <v>131</v>
      </c>
      <c r="B1013" s="3">
        <v>0.95826126793439703</v>
      </c>
      <c r="C1013" t="s">
        <v>86</v>
      </c>
      <c r="D1013" t="s">
        <v>6</v>
      </c>
    </row>
    <row r="1014" spans="1:4" x14ac:dyDescent="0.3">
      <c r="A1014" t="s">
        <v>131</v>
      </c>
      <c r="B1014" s="3">
        <v>0.98309294417975079</v>
      </c>
      <c r="C1014" t="s">
        <v>86</v>
      </c>
      <c r="D1014" t="s">
        <v>16</v>
      </c>
    </row>
    <row r="1015" spans="1:4" x14ac:dyDescent="0.3">
      <c r="A1015" t="s">
        <v>131</v>
      </c>
      <c r="B1015" s="3">
        <v>0.97741466188392501</v>
      </c>
      <c r="C1015" t="s">
        <v>86</v>
      </c>
      <c r="D1015" t="s">
        <v>10</v>
      </c>
    </row>
    <row r="1016" spans="1:4" x14ac:dyDescent="0.3">
      <c r="A1016" t="s">
        <v>131</v>
      </c>
      <c r="B1016" s="3">
        <v>0.95753570949360722</v>
      </c>
      <c r="C1016" t="s">
        <v>86</v>
      </c>
      <c r="D1016" t="s">
        <v>8</v>
      </c>
    </row>
    <row r="1017" spans="1:4" x14ac:dyDescent="0.3">
      <c r="A1017" t="s">
        <v>131</v>
      </c>
      <c r="B1017" s="3">
        <v>0.96865959230670851</v>
      </c>
      <c r="C1017" t="s">
        <v>86</v>
      </c>
      <c r="D1017" t="s">
        <v>13</v>
      </c>
    </row>
    <row r="1018" spans="1:4" x14ac:dyDescent="0.3">
      <c r="A1018" t="s">
        <v>131</v>
      </c>
      <c r="B1018" s="3">
        <v>0.95840424403627489</v>
      </c>
      <c r="C1018" t="s">
        <v>86</v>
      </c>
      <c r="D1018" t="s">
        <v>14</v>
      </c>
    </row>
    <row r="1019" spans="1:4" x14ac:dyDescent="0.3">
      <c r="A1019" t="s">
        <v>131</v>
      </c>
      <c r="B1019" s="3">
        <v>0.92022663888573597</v>
      </c>
      <c r="C1019" t="s">
        <v>87</v>
      </c>
    </row>
    <row r="1020" spans="1:4" x14ac:dyDescent="0.3">
      <c r="A1020" t="s">
        <v>131</v>
      </c>
      <c r="B1020" s="3">
        <v>0.95935323783124948</v>
      </c>
      <c r="C1020" t="s">
        <v>87</v>
      </c>
      <c r="D1020" t="s">
        <v>6</v>
      </c>
    </row>
    <row r="1021" spans="1:4" x14ac:dyDescent="0.3">
      <c r="A1021" t="s">
        <v>131</v>
      </c>
      <c r="B1021" s="3">
        <v>0.83855073891421639</v>
      </c>
      <c r="C1021" t="s">
        <v>88</v>
      </c>
      <c r="D1021" t="s">
        <v>6</v>
      </c>
    </row>
    <row r="1022" spans="1:4" x14ac:dyDescent="0.3">
      <c r="A1022" t="s">
        <v>131</v>
      </c>
      <c r="B1022" s="3">
        <v>0.96929274822553624</v>
      </c>
      <c r="C1022" t="s">
        <v>89</v>
      </c>
      <c r="D1022" t="s">
        <v>8</v>
      </c>
    </row>
    <row r="1023" spans="1:4" x14ac:dyDescent="0.3">
      <c r="A1023" t="s">
        <v>131</v>
      </c>
      <c r="B1023" s="3">
        <v>0.92811548725949666</v>
      </c>
      <c r="C1023" t="s">
        <v>90</v>
      </c>
      <c r="D1023" t="s">
        <v>6</v>
      </c>
    </row>
    <row r="1024" spans="1:4" x14ac:dyDescent="0.3">
      <c r="A1024" t="s">
        <v>131</v>
      </c>
      <c r="B1024" s="3">
        <v>0.90207388417204326</v>
      </c>
      <c r="C1024" t="s">
        <v>90</v>
      </c>
      <c r="D1024" t="s">
        <v>10</v>
      </c>
    </row>
    <row r="1025" spans="1:4" x14ac:dyDescent="0.3">
      <c r="A1025" t="s">
        <v>131</v>
      </c>
      <c r="B1025" s="3">
        <v>0.85631035414642387</v>
      </c>
      <c r="C1025" t="s">
        <v>90</v>
      </c>
      <c r="D1025" t="s">
        <v>8</v>
      </c>
    </row>
    <row r="1026" spans="1:4" x14ac:dyDescent="0.3">
      <c r="A1026" t="s">
        <v>131</v>
      </c>
      <c r="B1026" s="3">
        <v>0.94509052103602542</v>
      </c>
      <c r="C1026" t="s">
        <v>90</v>
      </c>
      <c r="D1026" t="s">
        <v>13</v>
      </c>
    </row>
    <row r="1027" spans="1:4" x14ac:dyDescent="0.3">
      <c r="A1027" t="s">
        <v>131</v>
      </c>
      <c r="B1027" s="3">
        <v>0.41698983111630339</v>
      </c>
      <c r="C1027" t="s">
        <v>91</v>
      </c>
      <c r="D1027" t="s">
        <v>8</v>
      </c>
    </row>
    <row r="1028" spans="1:4" x14ac:dyDescent="0.3">
      <c r="A1028" t="s">
        <v>131</v>
      </c>
      <c r="B1028" s="3">
        <v>0.60550606491471082</v>
      </c>
      <c r="C1028" t="s">
        <v>92</v>
      </c>
      <c r="D1028" t="s">
        <v>16</v>
      </c>
    </row>
    <row r="1029" spans="1:4" x14ac:dyDescent="0.3">
      <c r="A1029" t="s">
        <v>131</v>
      </c>
      <c r="B1029" s="3">
        <v>0.87482500674749575</v>
      </c>
      <c r="C1029" t="s">
        <v>93</v>
      </c>
    </row>
    <row r="1030" spans="1:4" x14ac:dyDescent="0.3">
      <c r="A1030" t="s">
        <v>131</v>
      </c>
      <c r="B1030" s="3">
        <v>0.87362211792464928</v>
      </c>
      <c r="C1030" t="s">
        <v>94</v>
      </c>
    </row>
    <row r="1031" spans="1:4" x14ac:dyDescent="0.3">
      <c r="A1031" t="s">
        <v>131</v>
      </c>
      <c r="B1031" s="3">
        <v>0.83070962469584431</v>
      </c>
      <c r="C1031" t="s">
        <v>94</v>
      </c>
      <c r="D1031" t="s">
        <v>6</v>
      </c>
    </row>
    <row r="1032" spans="1:4" x14ac:dyDescent="0.3">
      <c r="A1032" t="s">
        <v>131</v>
      </c>
      <c r="B1032" s="3">
        <v>0.83881829227341265</v>
      </c>
      <c r="C1032" t="s">
        <v>95</v>
      </c>
      <c r="D1032" t="s">
        <v>16</v>
      </c>
    </row>
    <row r="1033" spans="1:4" x14ac:dyDescent="0.3">
      <c r="A1033" t="s">
        <v>131</v>
      </c>
      <c r="B1033" s="3">
        <v>0.49496725766255834</v>
      </c>
      <c r="C1033" t="s">
        <v>96</v>
      </c>
      <c r="D1033" t="s">
        <v>8</v>
      </c>
    </row>
    <row r="1034" spans="1:4" x14ac:dyDescent="0.3">
      <c r="A1034" t="s">
        <v>131</v>
      </c>
      <c r="B1034" s="3">
        <v>0.96397028955482444</v>
      </c>
      <c r="C1034" t="s">
        <v>97</v>
      </c>
      <c r="D1034" t="s">
        <v>6</v>
      </c>
    </row>
    <row r="1035" spans="1:4" x14ac:dyDescent="0.3">
      <c r="A1035" t="s">
        <v>131</v>
      </c>
      <c r="B1035" s="3">
        <v>0.84585927326062449</v>
      </c>
      <c r="C1035" t="s">
        <v>97</v>
      </c>
      <c r="D1035" t="s">
        <v>16</v>
      </c>
    </row>
    <row r="1036" spans="1:4" x14ac:dyDescent="0.3">
      <c r="A1036" t="s">
        <v>131</v>
      </c>
      <c r="B1036" s="3">
        <v>0.96237007844146816</v>
      </c>
      <c r="C1036" t="s">
        <v>97</v>
      </c>
      <c r="D1036" t="s">
        <v>10</v>
      </c>
    </row>
    <row r="1037" spans="1:4" x14ac:dyDescent="0.3">
      <c r="A1037" t="s">
        <v>131</v>
      </c>
      <c r="B1037" s="3">
        <v>0.96040733501067888</v>
      </c>
      <c r="C1037" t="s">
        <v>97</v>
      </c>
      <c r="D1037" t="s">
        <v>8</v>
      </c>
    </row>
    <row r="1038" spans="1:4" x14ac:dyDescent="0.3">
      <c r="A1038" t="s">
        <v>131</v>
      </c>
      <c r="B1038" s="3">
        <v>0.94494608143205028</v>
      </c>
      <c r="C1038" t="s">
        <v>97</v>
      </c>
      <c r="D1038" t="s">
        <v>13</v>
      </c>
    </row>
    <row r="1039" spans="1:4" x14ac:dyDescent="0.3">
      <c r="A1039" t="s">
        <v>131</v>
      </c>
      <c r="B1039" s="3">
        <v>0.96692183389317676</v>
      </c>
      <c r="C1039" t="s">
        <v>97</v>
      </c>
      <c r="D1039" t="s">
        <v>14</v>
      </c>
    </row>
    <row r="1040" spans="1:4" x14ac:dyDescent="0.3">
      <c r="A1040" t="s">
        <v>131</v>
      </c>
      <c r="B1040" s="3">
        <v>0.59580161478259341</v>
      </c>
      <c r="C1040" t="s">
        <v>98</v>
      </c>
      <c r="D1040" t="s">
        <v>14</v>
      </c>
    </row>
    <row r="1041" spans="1:4" x14ac:dyDescent="0.3">
      <c r="A1041" t="s">
        <v>131</v>
      </c>
      <c r="B1041" s="3">
        <v>0.98531424773785892</v>
      </c>
      <c r="C1041" t="s">
        <v>99</v>
      </c>
      <c r="D1041" t="s">
        <v>13</v>
      </c>
    </row>
    <row r="1042" spans="1:4" x14ac:dyDescent="0.3">
      <c r="A1042" t="s">
        <v>131</v>
      </c>
      <c r="B1042" s="3">
        <v>0.90054248923502156</v>
      </c>
      <c r="C1042" t="s">
        <v>100</v>
      </c>
      <c r="D1042" t="s">
        <v>14</v>
      </c>
    </row>
    <row r="1043" spans="1:4" x14ac:dyDescent="0.3">
      <c r="A1043" t="s">
        <v>131</v>
      </c>
      <c r="B1043" s="3">
        <v>0.94459443237707552</v>
      </c>
      <c r="C1043" t="s">
        <v>101</v>
      </c>
      <c r="D1043" t="s">
        <v>6</v>
      </c>
    </row>
    <row r="1044" spans="1:4" x14ac:dyDescent="0.3">
      <c r="A1044" t="s">
        <v>131</v>
      </c>
      <c r="B1044" s="3">
        <v>0.94228716036284765</v>
      </c>
      <c r="C1044" t="s">
        <v>101</v>
      </c>
      <c r="D1044" t="s">
        <v>10</v>
      </c>
    </row>
    <row r="1045" spans="1:4" x14ac:dyDescent="0.3">
      <c r="A1045" t="s">
        <v>131</v>
      </c>
      <c r="B1045" s="3">
        <v>0.91893143154983425</v>
      </c>
      <c r="C1045" t="s">
        <v>101</v>
      </c>
      <c r="D1045" t="s">
        <v>8</v>
      </c>
    </row>
    <row r="1046" spans="1:4" x14ac:dyDescent="0.3">
      <c r="A1046" t="s">
        <v>131</v>
      </c>
      <c r="B1046" s="3">
        <v>0.95421658633446649</v>
      </c>
      <c r="C1046" t="s">
        <v>101</v>
      </c>
      <c r="D1046" t="s">
        <v>14</v>
      </c>
    </row>
    <row r="1047" spans="1:4" x14ac:dyDescent="0.3">
      <c r="A1047" t="s">
        <v>131</v>
      </c>
      <c r="B1047" s="3">
        <v>0.91576239910349311</v>
      </c>
      <c r="C1047" t="s">
        <v>102</v>
      </c>
      <c r="D1047" t="s">
        <v>8</v>
      </c>
    </row>
    <row r="1048" spans="1:4" x14ac:dyDescent="0.3">
      <c r="A1048" t="s">
        <v>131</v>
      </c>
      <c r="B1048" s="3">
        <v>0.92231294959867993</v>
      </c>
      <c r="C1048" t="s">
        <v>103</v>
      </c>
      <c r="D1048" t="s">
        <v>6</v>
      </c>
    </row>
    <row r="1049" spans="1:4" x14ac:dyDescent="0.3">
      <c r="A1049" t="s">
        <v>131</v>
      </c>
      <c r="B1049" s="3">
        <v>0.99003396580025027</v>
      </c>
      <c r="C1049" t="s">
        <v>103</v>
      </c>
      <c r="D1049" t="s">
        <v>14</v>
      </c>
    </row>
    <row r="1050" spans="1:4" x14ac:dyDescent="0.3">
      <c r="A1050" t="s">
        <v>131</v>
      </c>
      <c r="B1050" s="3">
        <v>0.94786670751796198</v>
      </c>
      <c r="C1050" t="s">
        <v>105</v>
      </c>
      <c r="D1050" t="s">
        <v>6</v>
      </c>
    </row>
    <row r="1051" spans="1:4" x14ac:dyDescent="0.3">
      <c r="A1051" t="s">
        <v>131</v>
      </c>
      <c r="B1051" s="3">
        <v>0.89934509654075367</v>
      </c>
      <c r="C1051" t="s">
        <v>105</v>
      </c>
      <c r="D1051" t="s">
        <v>16</v>
      </c>
    </row>
    <row r="1052" spans="1:4" x14ac:dyDescent="0.3">
      <c r="A1052" t="s">
        <v>131</v>
      </c>
      <c r="B1052" s="3">
        <v>0.94150513854335527</v>
      </c>
      <c r="C1052" t="s">
        <v>105</v>
      </c>
      <c r="D1052" t="s">
        <v>10</v>
      </c>
    </row>
    <row r="1053" spans="1:4" x14ac:dyDescent="0.3">
      <c r="A1053" t="s">
        <v>131</v>
      </c>
      <c r="B1053" s="3">
        <v>0.93403521164427816</v>
      </c>
      <c r="C1053" t="s">
        <v>105</v>
      </c>
      <c r="D1053" t="s">
        <v>8</v>
      </c>
    </row>
    <row r="1054" spans="1:4" x14ac:dyDescent="0.3">
      <c r="A1054" t="s">
        <v>131</v>
      </c>
      <c r="B1054" s="3">
        <v>0.93481949512789153</v>
      </c>
      <c r="C1054" t="s">
        <v>105</v>
      </c>
      <c r="D1054" t="s">
        <v>13</v>
      </c>
    </row>
    <row r="1055" spans="1:4" x14ac:dyDescent="0.3">
      <c r="A1055" t="s">
        <v>131</v>
      </c>
      <c r="B1055" s="3">
        <v>0.94736424490062165</v>
      </c>
      <c r="C1055" t="s">
        <v>105</v>
      </c>
      <c r="D1055" t="s">
        <v>14</v>
      </c>
    </row>
    <row r="1056" spans="1:4" x14ac:dyDescent="0.3">
      <c r="A1056" t="s">
        <v>131</v>
      </c>
      <c r="B1056" s="3">
        <v>0.96880333478348246</v>
      </c>
      <c r="C1056" t="s">
        <v>106</v>
      </c>
      <c r="D1056" t="s">
        <v>16</v>
      </c>
    </row>
    <row r="1057" spans="1:4" x14ac:dyDescent="0.3">
      <c r="A1057" t="s">
        <v>131</v>
      </c>
      <c r="B1057" s="3">
        <v>0.91272123101128078</v>
      </c>
      <c r="C1057" t="s">
        <v>107</v>
      </c>
      <c r="D1057" t="s">
        <v>16</v>
      </c>
    </row>
    <row r="1058" spans="1:4" x14ac:dyDescent="0.3">
      <c r="A1058" t="s">
        <v>131</v>
      </c>
      <c r="B1058" s="3">
        <v>0.96203163862777408</v>
      </c>
      <c r="C1058" t="s">
        <v>108</v>
      </c>
      <c r="D1058" t="s">
        <v>16</v>
      </c>
    </row>
    <row r="1059" spans="1:4" x14ac:dyDescent="0.3">
      <c r="A1059" t="s">
        <v>131</v>
      </c>
      <c r="B1059" s="3">
        <v>0.87313463168417882</v>
      </c>
      <c r="C1059" t="s">
        <v>109</v>
      </c>
      <c r="D1059" t="s">
        <v>8</v>
      </c>
    </row>
    <row r="1060" spans="1:4" x14ac:dyDescent="0.3">
      <c r="A1060" t="s">
        <v>131</v>
      </c>
      <c r="B1060" s="3">
        <v>0.81335964502893299</v>
      </c>
      <c r="C1060" t="s">
        <v>110</v>
      </c>
    </row>
    <row r="1061" spans="1:4" x14ac:dyDescent="0.3">
      <c r="A1061" t="s">
        <v>131</v>
      </c>
      <c r="B1061" s="3">
        <v>0.76744183674384037</v>
      </c>
      <c r="C1061" t="s">
        <v>110</v>
      </c>
      <c r="D1061" t="s">
        <v>6</v>
      </c>
    </row>
    <row r="1062" spans="1:4" x14ac:dyDescent="0.3">
      <c r="A1062" t="s">
        <v>131</v>
      </c>
      <c r="B1062" s="3">
        <v>0.83502714104328424</v>
      </c>
      <c r="C1062" t="s">
        <v>111</v>
      </c>
      <c r="D1062" t="s">
        <v>13</v>
      </c>
    </row>
    <row r="1063" spans="1:4" x14ac:dyDescent="0.3">
      <c r="A1063" t="s">
        <v>131</v>
      </c>
      <c r="B1063" s="3">
        <v>0.82263707393617225</v>
      </c>
      <c r="C1063" t="s">
        <v>112</v>
      </c>
      <c r="D1063" t="s">
        <v>6</v>
      </c>
    </row>
    <row r="1064" spans="1:4" x14ac:dyDescent="0.3">
      <c r="A1064" t="s">
        <v>131</v>
      </c>
      <c r="B1064" s="3">
        <v>1</v>
      </c>
      <c r="C1064" t="s">
        <v>113</v>
      </c>
    </row>
    <row r="1065" spans="1:4" x14ac:dyDescent="0.3">
      <c r="A1065" t="s">
        <v>131</v>
      </c>
      <c r="B1065" s="3">
        <v>0.95560393134761656</v>
      </c>
      <c r="C1065" t="s">
        <v>113</v>
      </c>
      <c r="D1065" t="s">
        <v>16</v>
      </c>
    </row>
    <row r="1066" spans="1:4" x14ac:dyDescent="0.3">
      <c r="A1066" t="s">
        <v>131</v>
      </c>
      <c r="B1066" s="3">
        <v>0.81318050130645181</v>
      </c>
      <c r="C1066" t="s">
        <v>114</v>
      </c>
      <c r="D1066" t="s">
        <v>16</v>
      </c>
    </row>
    <row r="1067" spans="1:4" x14ac:dyDescent="0.3">
      <c r="A1067" t="s">
        <v>131</v>
      </c>
      <c r="B1067" s="3">
        <v>0.87908274335350967</v>
      </c>
      <c r="C1067" t="s">
        <v>115</v>
      </c>
      <c r="D1067" t="s">
        <v>6</v>
      </c>
    </row>
    <row r="1068" spans="1:4" x14ac:dyDescent="0.3">
      <c r="A1068" t="s">
        <v>131</v>
      </c>
      <c r="B1068" s="3">
        <v>0.89619149393518494</v>
      </c>
      <c r="C1068" t="s">
        <v>116</v>
      </c>
      <c r="D1068" t="s">
        <v>16</v>
      </c>
    </row>
    <row r="1069" spans="1:4" x14ac:dyDescent="0.3">
      <c r="A1069" t="s">
        <v>131</v>
      </c>
      <c r="B1069" s="3">
        <v>0.66549447876804491</v>
      </c>
      <c r="C1069" t="s">
        <v>117</v>
      </c>
      <c r="D1069" t="s">
        <v>13</v>
      </c>
    </row>
    <row r="1070" spans="1:4" x14ac:dyDescent="0.3">
      <c r="A1070" t="s">
        <v>131</v>
      </c>
      <c r="B1070" s="3">
        <v>0.90820246976923991</v>
      </c>
      <c r="C1070" t="s">
        <v>118</v>
      </c>
    </row>
    <row r="1071" spans="1:4" x14ac:dyDescent="0.3">
      <c r="A1071" t="s">
        <v>131</v>
      </c>
      <c r="B1071" s="3">
        <v>0.93678490445580365</v>
      </c>
      <c r="C1071" t="s">
        <v>118</v>
      </c>
      <c r="D1071" t="s">
        <v>16</v>
      </c>
    </row>
    <row r="1072" spans="1:4" x14ac:dyDescent="0.3">
      <c r="A1072" t="s">
        <v>131</v>
      </c>
      <c r="B1072" s="3">
        <v>0.95503790518685661</v>
      </c>
      <c r="C1072" t="s">
        <v>118</v>
      </c>
      <c r="D1072" t="s">
        <v>13</v>
      </c>
    </row>
    <row r="1073" spans="1:4" x14ac:dyDescent="0.3">
      <c r="A1073" t="s">
        <v>131</v>
      </c>
      <c r="B1073" s="3">
        <v>0.80516839442570887</v>
      </c>
      <c r="C1073" t="s">
        <v>119</v>
      </c>
      <c r="D1073" t="s">
        <v>8</v>
      </c>
    </row>
    <row r="1074" spans="1:4" x14ac:dyDescent="0.3">
      <c r="A1074" t="s">
        <v>131</v>
      </c>
      <c r="B1074" s="3">
        <v>0.4209679258218717</v>
      </c>
      <c r="C1074" t="s">
        <v>120</v>
      </c>
      <c r="D1074" t="s">
        <v>14</v>
      </c>
    </row>
    <row r="1075" spans="1:4" x14ac:dyDescent="0.3">
      <c r="A1075" t="s">
        <v>131</v>
      </c>
      <c r="B1075" s="3">
        <v>0.82898419420082725</v>
      </c>
      <c r="C1075" t="s">
        <v>121</v>
      </c>
      <c r="D1075" t="s">
        <v>16</v>
      </c>
    </row>
    <row r="1076" spans="1:4" x14ac:dyDescent="0.3">
      <c r="A1076" t="s">
        <v>131</v>
      </c>
      <c r="B1076" s="3">
        <v>0.90810200890091652</v>
      </c>
      <c r="C1076" t="s">
        <v>122</v>
      </c>
      <c r="D1076" t="s">
        <v>16</v>
      </c>
    </row>
    <row r="1077" spans="1:4" x14ac:dyDescent="0.3">
      <c r="A1077" t="s">
        <v>131</v>
      </c>
      <c r="B1077" s="3">
        <v>0.95961390181785144</v>
      </c>
      <c r="C1077" t="s">
        <v>123</v>
      </c>
      <c r="D1077" t="s">
        <v>16</v>
      </c>
    </row>
    <row r="1078" spans="1:4" x14ac:dyDescent="0.3">
      <c r="A1078" t="s">
        <v>131</v>
      </c>
      <c r="B1078" s="3">
        <v>0.95676809229221715</v>
      </c>
      <c r="C1078" t="s">
        <v>124</v>
      </c>
      <c r="D1078" t="s">
        <v>6</v>
      </c>
    </row>
    <row r="1079" spans="1:4" x14ac:dyDescent="0.3">
      <c r="A1079" t="s">
        <v>131</v>
      </c>
      <c r="B1079" s="3">
        <v>0.85114142259119152</v>
      </c>
      <c r="C1079" t="s">
        <v>125</v>
      </c>
      <c r="D1079" t="s">
        <v>14</v>
      </c>
    </row>
    <row r="1080" spans="1:4" x14ac:dyDescent="0.3">
      <c r="A1080" t="s">
        <v>131</v>
      </c>
      <c r="B1080" s="3">
        <v>0.92422703832096875</v>
      </c>
      <c r="C1080" t="s">
        <v>126</v>
      </c>
      <c r="D1080" t="s">
        <v>10</v>
      </c>
    </row>
    <row r="1081" spans="1:4" x14ac:dyDescent="0.3">
      <c r="A1081" t="s">
        <v>131</v>
      </c>
      <c r="B1081" s="3">
        <v>0.69117046911614421</v>
      </c>
      <c r="C1081" t="s">
        <v>126</v>
      </c>
      <c r="D1081" t="s">
        <v>8</v>
      </c>
    </row>
    <row r="1082" spans="1:4" x14ac:dyDescent="0.3">
      <c r="A1082" t="s">
        <v>131</v>
      </c>
      <c r="B1082" s="3">
        <v>0.9366703970274679</v>
      </c>
      <c r="C1082" t="s">
        <v>126</v>
      </c>
      <c r="D1082" t="s">
        <v>13</v>
      </c>
    </row>
    <row r="1083" spans="1:4" x14ac:dyDescent="0.3">
      <c r="A1083" t="s">
        <v>133</v>
      </c>
      <c r="B1083" s="3">
        <v>1</v>
      </c>
      <c r="C1083" t="s">
        <v>5</v>
      </c>
      <c r="D1083" t="s">
        <v>6</v>
      </c>
    </row>
    <row r="1084" spans="1:4" x14ac:dyDescent="0.3">
      <c r="A1084" t="s">
        <v>133</v>
      </c>
      <c r="B1084" s="3">
        <v>0.93322073016182516</v>
      </c>
      <c r="C1084" t="s">
        <v>7</v>
      </c>
      <c r="D1084" t="s">
        <v>8</v>
      </c>
    </row>
    <row r="1085" spans="1:4" x14ac:dyDescent="0.3">
      <c r="A1085" t="s">
        <v>133</v>
      </c>
      <c r="B1085" s="3">
        <v>0.94545292582984131</v>
      </c>
      <c r="C1085" t="s">
        <v>9</v>
      </c>
      <c r="D1085" t="s">
        <v>6</v>
      </c>
    </row>
    <row r="1086" spans="1:4" x14ac:dyDescent="0.3">
      <c r="A1086" t="s">
        <v>133</v>
      </c>
      <c r="B1086" s="3">
        <v>0.97616034519966</v>
      </c>
      <c r="C1086" t="s">
        <v>9</v>
      </c>
      <c r="D1086" t="s">
        <v>10</v>
      </c>
    </row>
    <row r="1087" spans="1:4" x14ac:dyDescent="0.3">
      <c r="A1087" t="s">
        <v>133</v>
      </c>
      <c r="B1087" s="3">
        <v>0.92506873240219722</v>
      </c>
      <c r="C1087" t="s">
        <v>9</v>
      </c>
      <c r="D1087" t="s">
        <v>8</v>
      </c>
    </row>
    <row r="1088" spans="1:4" x14ac:dyDescent="0.3">
      <c r="A1088" t="s">
        <v>133</v>
      </c>
      <c r="B1088" s="3">
        <v>0.53246154139205437</v>
      </c>
      <c r="C1088" t="s">
        <v>11</v>
      </c>
      <c r="D1088" t="s">
        <v>8</v>
      </c>
    </row>
    <row r="1089" spans="1:4" x14ac:dyDescent="0.3">
      <c r="A1089" t="s">
        <v>133</v>
      </c>
      <c r="B1089" s="3">
        <v>0.32380266324152157</v>
      </c>
      <c r="C1089" t="s">
        <v>12</v>
      </c>
      <c r="D1089" t="s">
        <v>6</v>
      </c>
    </row>
    <row r="1090" spans="1:4" x14ac:dyDescent="0.3">
      <c r="A1090" t="s">
        <v>133</v>
      </c>
      <c r="B1090" s="3">
        <v>0.31010256934054553</v>
      </c>
      <c r="C1090" t="s">
        <v>12</v>
      </c>
      <c r="D1090" t="s">
        <v>10</v>
      </c>
    </row>
    <row r="1091" spans="1:4" x14ac:dyDescent="0.3">
      <c r="A1091" t="s">
        <v>133</v>
      </c>
      <c r="B1091" s="3">
        <v>0.30512308817719053</v>
      </c>
      <c r="C1091" t="s">
        <v>12</v>
      </c>
      <c r="D1091" t="s">
        <v>8</v>
      </c>
    </row>
    <row r="1092" spans="1:4" x14ac:dyDescent="0.3">
      <c r="A1092" t="s">
        <v>133</v>
      </c>
      <c r="B1092" s="3">
        <v>0.44973484172352124</v>
      </c>
      <c r="C1092" t="s">
        <v>12</v>
      </c>
      <c r="D1092" t="s">
        <v>13</v>
      </c>
    </row>
    <row r="1093" spans="1:4" x14ac:dyDescent="0.3">
      <c r="A1093" t="s">
        <v>133</v>
      </c>
      <c r="B1093" s="3">
        <v>0.32203876208280813</v>
      </c>
      <c r="C1093" t="s">
        <v>12</v>
      </c>
      <c r="D1093" t="s">
        <v>14</v>
      </c>
    </row>
    <row r="1094" spans="1:4" x14ac:dyDescent="0.3">
      <c r="A1094" t="s">
        <v>133</v>
      </c>
      <c r="B1094" s="3">
        <v>1</v>
      </c>
      <c r="C1094" t="s">
        <v>15</v>
      </c>
    </row>
    <row r="1095" spans="1:4" x14ac:dyDescent="0.3">
      <c r="A1095" t="s">
        <v>133</v>
      </c>
      <c r="B1095" s="3">
        <v>0.98538566426856122</v>
      </c>
      <c r="C1095" t="s">
        <v>15</v>
      </c>
      <c r="D1095" t="s">
        <v>16</v>
      </c>
    </row>
    <row r="1096" spans="1:4" x14ac:dyDescent="0.3">
      <c r="A1096" t="s">
        <v>133</v>
      </c>
      <c r="B1096" s="3">
        <v>0.97360200514180739</v>
      </c>
      <c r="C1096" t="s">
        <v>15</v>
      </c>
      <c r="D1096" t="s">
        <v>13</v>
      </c>
    </row>
    <row r="1097" spans="1:4" x14ac:dyDescent="0.3">
      <c r="A1097" t="s">
        <v>133</v>
      </c>
      <c r="B1097" s="3">
        <v>0.95758033879453286</v>
      </c>
      <c r="C1097" t="s">
        <v>17</v>
      </c>
      <c r="D1097" t="s">
        <v>16</v>
      </c>
    </row>
    <row r="1098" spans="1:4" x14ac:dyDescent="0.3">
      <c r="A1098" t="s">
        <v>133</v>
      </c>
      <c r="B1098" s="3">
        <v>0.97337289958412565</v>
      </c>
      <c r="C1098" t="s">
        <v>17</v>
      </c>
      <c r="D1098" t="s">
        <v>8</v>
      </c>
    </row>
    <row r="1099" spans="1:4" x14ac:dyDescent="0.3">
      <c r="A1099" t="s">
        <v>133</v>
      </c>
      <c r="B1099" s="3">
        <v>0.96762446042732331</v>
      </c>
      <c r="C1099" t="s">
        <v>17</v>
      </c>
      <c r="D1099" t="s">
        <v>13</v>
      </c>
    </row>
    <row r="1100" spans="1:4" x14ac:dyDescent="0.3">
      <c r="A1100" t="s">
        <v>133</v>
      </c>
      <c r="B1100" s="3">
        <v>0.78650422820300026</v>
      </c>
      <c r="C1100" t="s">
        <v>18</v>
      </c>
      <c r="D1100" t="s">
        <v>6</v>
      </c>
    </row>
    <row r="1101" spans="1:4" x14ac:dyDescent="0.3">
      <c r="A1101" t="s">
        <v>133</v>
      </c>
      <c r="B1101" s="3">
        <v>0.96707507418311878</v>
      </c>
      <c r="C1101" t="s">
        <v>18</v>
      </c>
      <c r="D1101" t="s">
        <v>10</v>
      </c>
    </row>
    <row r="1102" spans="1:4" x14ac:dyDescent="0.3">
      <c r="A1102" t="s">
        <v>133</v>
      </c>
      <c r="B1102" s="3">
        <v>0.91571740801218948</v>
      </c>
      <c r="C1102" t="s">
        <v>18</v>
      </c>
      <c r="D1102" t="s">
        <v>8</v>
      </c>
    </row>
    <row r="1103" spans="1:4" x14ac:dyDescent="0.3">
      <c r="A1103" t="s">
        <v>133</v>
      </c>
      <c r="B1103" s="3">
        <v>0.92310760324450747</v>
      </c>
      <c r="C1103" t="s">
        <v>19</v>
      </c>
      <c r="D1103" t="s">
        <v>10</v>
      </c>
    </row>
    <row r="1104" spans="1:4" x14ac:dyDescent="0.3">
      <c r="A1104" t="s">
        <v>133</v>
      </c>
      <c r="B1104" s="3">
        <v>0.94302199834864875</v>
      </c>
      <c r="C1104" t="s">
        <v>20</v>
      </c>
      <c r="D1104" t="s">
        <v>8</v>
      </c>
    </row>
    <row r="1105" spans="1:4" x14ac:dyDescent="0.3">
      <c r="A1105" t="s">
        <v>133</v>
      </c>
      <c r="B1105" s="3">
        <v>0.79752376643339407</v>
      </c>
      <c r="C1105" t="s">
        <v>134</v>
      </c>
      <c r="D1105" t="s">
        <v>16</v>
      </c>
    </row>
    <row r="1106" spans="1:4" x14ac:dyDescent="0.3">
      <c r="A1106" t="s">
        <v>133</v>
      </c>
      <c r="B1106" s="3">
        <v>0.60916443338437976</v>
      </c>
      <c r="C1106" t="s">
        <v>21</v>
      </c>
      <c r="D1106" t="s">
        <v>6</v>
      </c>
    </row>
    <row r="1107" spans="1:4" x14ac:dyDescent="0.3">
      <c r="A1107" t="s">
        <v>133</v>
      </c>
      <c r="B1107" s="3">
        <v>0.6514393890222504</v>
      </c>
      <c r="C1107" t="s">
        <v>21</v>
      </c>
      <c r="D1107" t="s">
        <v>10</v>
      </c>
    </row>
    <row r="1108" spans="1:4" x14ac:dyDescent="0.3">
      <c r="A1108" t="s">
        <v>133</v>
      </c>
      <c r="B1108" s="3">
        <v>0.8871845593199692</v>
      </c>
      <c r="C1108" t="s">
        <v>22</v>
      </c>
    </row>
    <row r="1109" spans="1:4" x14ac:dyDescent="0.3">
      <c r="A1109" t="s">
        <v>133</v>
      </c>
      <c r="B1109" s="3">
        <v>0.9166117760568071</v>
      </c>
      <c r="C1109" t="s">
        <v>22</v>
      </c>
      <c r="D1109" t="s">
        <v>10</v>
      </c>
    </row>
    <row r="1110" spans="1:4" x14ac:dyDescent="0.3">
      <c r="A1110" t="s">
        <v>133</v>
      </c>
      <c r="B1110" s="3">
        <v>0.50208660499965541</v>
      </c>
      <c r="C1110" t="s">
        <v>23</v>
      </c>
      <c r="D1110" t="s">
        <v>13</v>
      </c>
    </row>
    <row r="1111" spans="1:4" x14ac:dyDescent="0.3">
      <c r="A1111" t="s">
        <v>133</v>
      </c>
      <c r="B1111" s="3">
        <v>0.72260674670982683</v>
      </c>
      <c r="C1111" t="s">
        <v>24</v>
      </c>
    </row>
    <row r="1112" spans="1:4" x14ac:dyDescent="0.3">
      <c r="A1112" t="s">
        <v>133</v>
      </c>
      <c r="B1112" s="3">
        <v>0.67227019552002432</v>
      </c>
      <c r="C1112" t="s">
        <v>24</v>
      </c>
      <c r="D1112" t="s">
        <v>6</v>
      </c>
    </row>
    <row r="1113" spans="1:4" x14ac:dyDescent="0.3">
      <c r="A1113" t="s">
        <v>133</v>
      </c>
      <c r="B1113" s="3">
        <v>0.83218681402123451</v>
      </c>
      <c r="C1113" t="s">
        <v>25</v>
      </c>
    </row>
    <row r="1114" spans="1:4" x14ac:dyDescent="0.3">
      <c r="A1114" t="s">
        <v>133</v>
      </c>
      <c r="B1114" s="3">
        <v>0.84316014900957015</v>
      </c>
      <c r="C1114" t="s">
        <v>25</v>
      </c>
      <c r="D1114" t="s">
        <v>16</v>
      </c>
    </row>
    <row r="1115" spans="1:4" x14ac:dyDescent="0.3">
      <c r="A1115" t="s">
        <v>133</v>
      </c>
      <c r="B1115" s="3">
        <v>0.59035380120353043</v>
      </c>
      <c r="C1115" t="s">
        <v>26</v>
      </c>
      <c r="D1115" t="s">
        <v>6</v>
      </c>
    </row>
    <row r="1116" spans="1:4" x14ac:dyDescent="0.3">
      <c r="A1116" t="s">
        <v>133</v>
      </c>
      <c r="B1116" s="3">
        <v>0.86623770224708951</v>
      </c>
      <c r="C1116" t="s">
        <v>27</v>
      </c>
      <c r="D1116" t="s">
        <v>14</v>
      </c>
    </row>
    <row r="1117" spans="1:4" x14ac:dyDescent="0.3">
      <c r="A1117" t="s">
        <v>133</v>
      </c>
      <c r="B1117" s="3">
        <v>0.93841585004608319</v>
      </c>
      <c r="C1117" t="s">
        <v>28</v>
      </c>
      <c r="D1117" t="s">
        <v>8</v>
      </c>
    </row>
    <row r="1118" spans="1:4" x14ac:dyDescent="0.3">
      <c r="A1118" t="s">
        <v>133</v>
      </c>
      <c r="B1118" s="3">
        <v>0.95775390877011723</v>
      </c>
      <c r="C1118" t="s">
        <v>28</v>
      </c>
      <c r="D1118" t="s">
        <v>14</v>
      </c>
    </row>
    <row r="1119" spans="1:4" x14ac:dyDescent="0.3">
      <c r="A1119" t="s">
        <v>133</v>
      </c>
      <c r="B1119" s="3">
        <v>0.97969391551985319</v>
      </c>
      <c r="C1119" t="s">
        <v>29</v>
      </c>
      <c r="D1119" t="s">
        <v>6</v>
      </c>
    </row>
    <row r="1120" spans="1:4" x14ac:dyDescent="0.3">
      <c r="A1120" t="s">
        <v>133</v>
      </c>
      <c r="B1120" s="3">
        <v>0.98479466621279199</v>
      </c>
      <c r="C1120" t="s">
        <v>29</v>
      </c>
      <c r="D1120" t="s">
        <v>10</v>
      </c>
    </row>
    <row r="1121" spans="1:4" x14ac:dyDescent="0.3">
      <c r="A1121" t="s">
        <v>133</v>
      </c>
      <c r="B1121" s="3">
        <v>0.94836512580300836</v>
      </c>
      <c r="C1121" t="s">
        <v>29</v>
      </c>
      <c r="D1121" t="s">
        <v>8</v>
      </c>
    </row>
    <row r="1122" spans="1:4" x14ac:dyDescent="0.3">
      <c r="A1122" t="s">
        <v>133</v>
      </c>
      <c r="B1122" s="3">
        <v>0.97840534735801143</v>
      </c>
      <c r="C1122" t="s">
        <v>29</v>
      </c>
      <c r="D1122" t="s">
        <v>13</v>
      </c>
    </row>
    <row r="1123" spans="1:4" x14ac:dyDescent="0.3">
      <c r="A1123" t="s">
        <v>133</v>
      </c>
      <c r="B1123" s="3">
        <v>0.96987713323155311</v>
      </c>
      <c r="C1123" t="s">
        <v>29</v>
      </c>
      <c r="D1123" t="s">
        <v>14</v>
      </c>
    </row>
    <row r="1124" spans="1:4" x14ac:dyDescent="0.3">
      <c r="A1124" t="s">
        <v>133</v>
      </c>
      <c r="B1124" s="3">
        <v>0.77494031633549421</v>
      </c>
      <c r="C1124" t="s">
        <v>30</v>
      </c>
      <c r="D1124" t="s">
        <v>6</v>
      </c>
    </row>
    <row r="1125" spans="1:4" x14ac:dyDescent="0.3">
      <c r="A1125" t="s">
        <v>133</v>
      </c>
      <c r="B1125" s="3">
        <v>0.16560399214885521</v>
      </c>
      <c r="C1125" t="s">
        <v>132</v>
      </c>
      <c r="D1125" t="s">
        <v>6</v>
      </c>
    </row>
    <row r="1126" spans="1:4" x14ac:dyDescent="0.3">
      <c r="A1126" t="s">
        <v>133</v>
      </c>
      <c r="B1126" s="3">
        <v>0.54505708665626906</v>
      </c>
      <c r="C1126" t="s">
        <v>31</v>
      </c>
      <c r="D1126" t="s">
        <v>13</v>
      </c>
    </row>
    <row r="1127" spans="1:4" x14ac:dyDescent="0.3">
      <c r="A1127" t="s">
        <v>133</v>
      </c>
      <c r="B1127" s="3">
        <v>0.96706607659763955</v>
      </c>
      <c r="C1127" t="s">
        <v>32</v>
      </c>
    </row>
    <row r="1128" spans="1:4" x14ac:dyDescent="0.3">
      <c r="A1128" t="s">
        <v>133</v>
      </c>
      <c r="B1128" s="3">
        <v>0.31531890942378588</v>
      </c>
      <c r="C1128" t="s">
        <v>32</v>
      </c>
      <c r="D1128" t="s">
        <v>6</v>
      </c>
    </row>
    <row r="1129" spans="1:4" x14ac:dyDescent="0.3">
      <c r="A1129" t="s">
        <v>133</v>
      </c>
      <c r="B1129" s="3">
        <v>0.93519220069679299</v>
      </c>
      <c r="C1129" t="s">
        <v>32</v>
      </c>
      <c r="D1129" t="s">
        <v>16</v>
      </c>
    </row>
    <row r="1130" spans="1:4" x14ac:dyDescent="0.3">
      <c r="A1130" t="s">
        <v>133</v>
      </c>
      <c r="B1130" s="3">
        <v>0.94765902206934483</v>
      </c>
      <c r="C1130" t="s">
        <v>32</v>
      </c>
      <c r="D1130" t="s">
        <v>13</v>
      </c>
    </row>
    <row r="1131" spans="1:4" x14ac:dyDescent="0.3">
      <c r="A1131" t="s">
        <v>133</v>
      </c>
      <c r="B1131" s="3">
        <v>0.71845263521800851</v>
      </c>
      <c r="C1131" t="s">
        <v>33</v>
      </c>
      <c r="D1131" t="s">
        <v>10</v>
      </c>
    </row>
    <row r="1132" spans="1:4" x14ac:dyDescent="0.3">
      <c r="A1132" t="s">
        <v>133</v>
      </c>
      <c r="B1132" s="3">
        <v>0.91820148132312696</v>
      </c>
      <c r="C1132" t="s">
        <v>34</v>
      </c>
    </row>
    <row r="1133" spans="1:4" x14ac:dyDescent="0.3">
      <c r="A1133" t="s">
        <v>133</v>
      </c>
      <c r="B1133" s="3">
        <v>0.92913260684834198</v>
      </c>
      <c r="C1133" t="s">
        <v>34</v>
      </c>
      <c r="D1133" t="s">
        <v>16</v>
      </c>
    </row>
    <row r="1134" spans="1:4" x14ac:dyDescent="0.3">
      <c r="A1134" t="s">
        <v>133</v>
      </c>
      <c r="B1134" s="3">
        <v>0.93031159584463907</v>
      </c>
      <c r="C1134" t="s">
        <v>35</v>
      </c>
      <c r="D1134" t="s">
        <v>16</v>
      </c>
    </row>
    <row r="1135" spans="1:4" x14ac:dyDescent="0.3">
      <c r="A1135" t="s">
        <v>133</v>
      </c>
      <c r="B1135" s="3">
        <v>0.93100618858858375</v>
      </c>
      <c r="C1135" t="s">
        <v>36</v>
      </c>
      <c r="D1135" t="s">
        <v>13</v>
      </c>
    </row>
    <row r="1136" spans="1:4" x14ac:dyDescent="0.3">
      <c r="A1136" t="s">
        <v>133</v>
      </c>
      <c r="B1136" s="3">
        <v>0.90803574415542443</v>
      </c>
      <c r="C1136" t="s">
        <v>37</v>
      </c>
      <c r="D1136" t="s">
        <v>10</v>
      </c>
    </row>
    <row r="1137" spans="1:4" x14ac:dyDescent="0.3">
      <c r="A1137" t="s">
        <v>133</v>
      </c>
      <c r="B1137" s="3">
        <v>0.85699376538774152</v>
      </c>
      <c r="C1137" t="s">
        <v>38</v>
      </c>
    </row>
    <row r="1138" spans="1:4" x14ac:dyDescent="0.3">
      <c r="A1138" t="s">
        <v>133</v>
      </c>
      <c r="B1138" s="3">
        <v>0.83583124767713901</v>
      </c>
      <c r="C1138" t="s">
        <v>38</v>
      </c>
      <c r="D1138" t="s">
        <v>14</v>
      </c>
    </row>
    <row r="1139" spans="1:4" x14ac:dyDescent="0.3">
      <c r="A1139" t="s">
        <v>133</v>
      </c>
      <c r="B1139" s="3">
        <v>0.94317422812064389</v>
      </c>
      <c r="C1139" t="s">
        <v>39</v>
      </c>
      <c r="D1139" t="s">
        <v>6</v>
      </c>
    </row>
    <row r="1140" spans="1:4" x14ac:dyDescent="0.3">
      <c r="A1140" t="s">
        <v>133</v>
      </c>
      <c r="B1140" s="3">
        <v>0.93820817697155312</v>
      </c>
      <c r="C1140" t="s">
        <v>39</v>
      </c>
      <c r="D1140" t="s">
        <v>10</v>
      </c>
    </row>
    <row r="1141" spans="1:4" x14ac:dyDescent="0.3">
      <c r="A1141" t="s">
        <v>133</v>
      </c>
      <c r="B1141" s="3">
        <v>0.92779437734857984</v>
      </c>
      <c r="C1141" t="s">
        <v>39</v>
      </c>
      <c r="D1141" t="s">
        <v>8</v>
      </c>
    </row>
    <row r="1142" spans="1:4" x14ac:dyDescent="0.3">
      <c r="A1142" t="s">
        <v>133</v>
      </c>
      <c r="B1142" s="3">
        <v>0.7146002068339099</v>
      </c>
      <c r="C1142" t="s">
        <v>40</v>
      </c>
      <c r="D1142" t="s">
        <v>6</v>
      </c>
    </row>
    <row r="1143" spans="1:4" x14ac:dyDescent="0.3">
      <c r="A1143" t="s">
        <v>133</v>
      </c>
      <c r="B1143" s="3">
        <v>0.42030571775109565</v>
      </c>
      <c r="C1143" t="s">
        <v>41</v>
      </c>
    </row>
    <row r="1144" spans="1:4" x14ac:dyDescent="0.3">
      <c r="A1144" t="s">
        <v>133</v>
      </c>
      <c r="B1144" s="3">
        <v>0.33686999269992152</v>
      </c>
      <c r="C1144" t="s">
        <v>41</v>
      </c>
      <c r="D1144" t="s">
        <v>8</v>
      </c>
    </row>
    <row r="1145" spans="1:4" x14ac:dyDescent="0.3">
      <c r="A1145" t="s">
        <v>133</v>
      </c>
      <c r="B1145" s="3">
        <v>0.98100779921194226</v>
      </c>
      <c r="C1145" t="s">
        <v>42</v>
      </c>
      <c r="D1145" t="s">
        <v>10</v>
      </c>
    </row>
    <row r="1146" spans="1:4" x14ac:dyDescent="0.3">
      <c r="A1146" t="s">
        <v>133</v>
      </c>
      <c r="B1146" s="3">
        <v>0.990393572566172</v>
      </c>
      <c r="C1146" t="s">
        <v>42</v>
      </c>
      <c r="D1146" t="s">
        <v>8</v>
      </c>
    </row>
    <row r="1147" spans="1:4" x14ac:dyDescent="0.3">
      <c r="A1147" t="s">
        <v>133</v>
      </c>
      <c r="B1147" s="3">
        <v>0.84442737385150479</v>
      </c>
      <c r="C1147" t="s">
        <v>43</v>
      </c>
      <c r="D1147" t="s">
        <v>10</v>
      </c>
    </row>
    <row r="1148" spans="1:4" x14ac:dyDescent="0.3">
      <c r="A1148" t="s">
        <v>133</v>
      </c>
      <c r="B1148" s="3">
        <v>0.962263295408602</v>
      </c>
      <c r="C1148" t="s">
        <v>44</v>
      </c>
      <c r="D1148" t="s">
        <v>6</v>
      </c>
    </row>
    <row r="1149" spans="1:4" x14ac:dyDescent="0.3">
      <c r="A1149" t="s">
        <v>133</v>
      </c>
      <c r="B1149" s="3">
        <v>0.98487703436562668</v>
      </c>
      <c r="C1149" t="s">
        <v>44</v>
      </c>
      <c r="D1149" t="s">
        <v>14</v>
      </c>
    </row>
    <row r="1150" spans="1:4" x14ac:dyDescent="0.3">
      <c r="A1150" t="s">
        <v>133</v>
      </c>
      <c r="B1150" s="3">
        <v>0.52771591280516006</v>
      </c>
      <c r="C1150" t="s">
        <v>45</v>
      </c>
      <c r="D1150" t="s">
        <v>8</v>
      </c>
    </row>
    <row r="1151" spans="1:4" x14ac:dyDescent="0.3">
      <c r="A1151" t="s">
        <v>133</v>
      </c>
      <c r="B1151" s="3">
        <v>0.30213839594199227</v>
      </c>
      <c r="C1151" t="s">
        <v>46</v>
      </c>
      <c r="D1151" t="s">
        <v>10</v>
      </c>
    </row>
    <row r="1152" spans="1:4" x14ac:dyDescent="0.3">
      <c r="A1152" t="s">
        <v>133</v>
      </c>
      <c r="B1152" s="3">
        <v>0.96855548533520341</v>
      </c>
      <c r="C1152" t="s">
        <v>47</v>
      </c>
      <c r="D1152" t="s">
        <v>10</v>
      </c>
    </row>
    <row r="1153" spans="1:4" x14ac:dyDescent="0.3">
      <c r="A1153" t="s">
        <v>133</v>
      </c>
      <c r="B1153" s="3">
        <v>0.96982394411019535</v>
      </c>
      <c r="C1153" t="s">
        <v>47</v>
      </c>
      <c r="D1153" t="s">
        <v>8</v>
      </c>
    </row>
    <row r="1154" spans="1:4" x14ac:dyDescent="0.3">
      <c r="A1154" t="s">
        <v>133</v>
      </c>
      <c r="B1154" s="3">
        <v>0.95876631326763384</v>
      </c>
      <c r="C1154" t="s">
        <v>47</v>
      </c>
      <c r="D1154" t="s">
        <v>14</v>
      </c>
    </row>
    <row r="1155" spans="1:4" x14ac:dyDescent="0.3">
      <c r="A1155" t="s">
        <v>133</v>
      </c>
      <c r="B1155" s="3">
        <v>0.79498908134534618</v>
      </c>
      <c r="C1155" t="s">
        <v>48</v>
      </c>
      <c r="D1155" t="s">
        <v>6</v>
      </c>
    </row>
    <row r="1156" spans="1:4" x14ac:dyDescent="0.3">
      <c r="A1156" t="s">
        <v>133</v>
      </c>
      <c r="B1156" s="3">
        <v>0.79853000221713943</v>
      </c>
      <c r="C1156" t="s">
        <v>48</v>
      </c>
      <c r="D1156" t="s">
        <v>10</v>
      </c>
    </row>
    <row r="1157" spans="1:4" x14ac:dyDescent="0.3">
      <c r="A1157" t="s">
        <v>133</v>
      </c>
      <c r="B1157" s="3">
        <v>0.78240734680393875</v>
      </c>
      <c r="C1157" t="s">
        <v>48</v>
      </c>
      <c r="D1157" t="s">
        <v>14</v>
      </c>
    </row>
    <row r="1158" spans="1:4" x14ac:dyDescent="0.3">
      <c r="A1158" t="s">
        <v>133</v>
      </c>
      <c r="B1158" s="3">
        <v>0.65799010931368285</v>
      </c>
      <c r="C1158" t="s">
        <v>49</v>
      </c>
    </row>
    <row r="1159" spans="1:4" x14ac:dyDescent="0.3">
      <c r="A1159" t="s">
        <v>133</v>
      </c>
      <c r="B1159" s="3">
        <v>0.8774177199265929</v>
      </c>
      <c r="C1159" t="s">
        <v>49</v>
      </c>
      <c r="D1159" t="s">
        <v>16</v>
      </c>
    </row>
    <row r="1160" spans="1:4" x14ac:dyDescent="0.3">
      <c r="A1160" t="s">
        <v>133</v>
      </c>
      <c r="B1160" s="3">
        <v>0.81181962081905212</v>
      </c>
      <c r="C1160" t="s">
        <v>50</v>
      </c>
      <c r="D1160" t="s">
        <v>10</v>
      </c>
    </row>
    <row r="1161" spans="1:4" x14ac:dyDescent="0.3">
      <c r="A1161" t="s">
        <v>133</v>
      </c>
      <c r="B1161" s="3">
        <v>0.78585435821135008</v>
      </c>
      <c r="C1161" t="s">
        <v>50</v>
      </c>
      <c r="D1161" t="s">
        <v>14</v>
      </c>
    </row>
    <row r="1162" spans="1:4" x14ac:dyDescent="0.3">
      <c r="A1162" t="s">
        <v>133</v>
      </c>
      <c r="B1162" s="3">
        <v>1</v>
      </c>
      <c r="C1162" t="s">
        <v>51</v>
      </c>
      <c r="D1162" t="s">
        <v>8</v>
      </c>
    </row>
    <row r="1163" spans="1:4" x14ac:dyDescent="0.3">
      <c r="A1163" t="s">
        <v>133</v>
      </c>
      <c r="B1163" s="3">
        <v>0.74854223953763388</v>
      </c>
      <c r="C1163" t="s">
        <v>52</v>
      </c>
      <c r="D1163" t="s">
        <v>6</v>
      </c>
    </row>
    <row r="1164" spans="1:4" x14ac:dyDescent="0.3">
      <c r="A1164" t="s">
        <v>133</v>
      </c>
      <c r="B1164" s="3">
        <v>0.59164132695654992</v>
      </c>
      <c r="C1164" t="s">
        <v>52</v>
      </c>
      <c r="D1164" t="s">
        <v>8</v>
      </c>
    </row>
    <row r="1165" spans="1:4" x14ac:dyDescent="0.3">
      <c r="A1165" t="s">
        <v>133</v>
      </c>
      <c r="B1165" s="3">
        <v>0.79736649220126032</v>
      </c>
      <c r="C1165" t="s">
        <v>52</v>
      </c>
      <c r="D1165" t="s">
        <v>13</v>
      </c>
    </row>
    <row r="1166" spans="1:4" x14ac:dyDescent="0.3">
      <c r="A1166" t="s">
        <v>133</v>
      </c>
      <c r="B1166" s="3">
        <v>0.95418932379258203</v>
      </c>
      <c r="C1166" t="s">
        <v>53</v>
      </c>
      <c r="D1166" t="s">
        <v>8</v>
      </c>
    </row>
    <row r="1167" spans="1:4" x14ac:dyDescent="0.3">
      <c r="A1167" t="s">
        <v>133</v>
      </c>
      <c r="B1167" s="3">
        <v>0.85226763508572834</v>
      </c>
      <c r="C1167" t="s">
        <v>54</v>
      </c>
    </row>
    <row r="1168" spans="1:4" x14ac:dyDescent="0.3">
      <c r="A1168" t="s">
        <v>133</v>
      </c>
      <c r="B1168" s="3">
        <v>0.91193439408718968</v>
      </c>
      <c r="C1168" t="s">
        <v>54</v>
      </c>
      <c r="D1168" t="s">
        <v>16</v>
      </c>
    </row>
    <row r="1169" spans="1:4" x14ac:dyDescent="0.3">
      <c r="A1169" t="s">
        <v>133</v>
      </c>
      <c r="B1169" s="3">
        <v>0.85853377121955654</v>
      </c>
      <c r="C1169" t="s">
        <v>54</v>
      </c>
      <c r="D1169" t="s">
        <v>10</v>
      </c>
    </row>
    <row r="1170" spans="1:4" x14ac:dyDescent="0.3">
      <c r="A1170" t="s">
        <v>133</v>
      </c>
      <c r="B1170" s="3">
        <v>0.82823165104206997</v>
      </c>
      <c r="C1170" t="s">
        <v>54</v>
      </c>
      <c r="D1170" t="s">
        <v>13</v>
      </c>
    </row>
    <row r="1171" spans="1:4" x14ac:dyDescent="0.3">
      <c r="A1171" t="s">
        <v>133</v>
      </c>
      <c r="B1171" s="3">
        <v>0.60906797163158277</v>
      </c>
      <c r="C1171" t="s">
        <v>54</v>
      </c>
      <c r="D1171" t="s">
        <v>14</v>
      </c>
    </row>
    <row r="1172" spans="1:4" x14ac:dyDescent="0.3">
      <c r="A1172" t="s">
        <v>133</v>
      </c>
      <c r="B1172" s="3">
        <v>0.78145433694674393</v>
      </c>
      <c r="C1172" t="s">
        <v>55</v>
      </c>
      <c r="D1172" t="s">
        <v>6</v>
      </c>
    </row>
    <row r="1173" spans="1:4" x14ac:dyDescent="0.3">
      <c r="A1173" t="s">
        <v>133</v>
      </c>
      <c r="B1173" s="3">
        <v>0.88643697998495841</v>
      </c>
      <c r="C1173" t="s">
        <v>55</v>
      </c>
      <c r="D1173" t="s">
        <v>10</v>
      </c>
    </row>
    <row r="1174" spans="1:4" x14ac:dyDescent="0.3">
      <c r="A1174" t="s">
        <v>133</v>
      </c>
      <c r="B1174" s="3">
        <v>0.80329913326378366</v>
      </c>
      <c r="C1174" t="s">
        <v>55</v>
      </c>
      <c r="D1174" t="s">
        <v>8</v>
      </c>
    </row>
    <row r="1175" spans="1:4" x14ac:dyDescent="0.3">
      <c r="A1175" t="s">
        <v>133</v>
      </c>
      <c r="B1175" s="3">
        <v>0.78528642919300939</v>
      </c>
      <c r="C1175" t="s">
        <v>55</v>
      </c>
      <c r="D1175" t="s">
        <v>13</v>
      </c>
    </row>
    <row r="1176" spans="1:4" x14ac:dyDescent="0.3">
      <c r="A1176" t="s">
        <v>133</v>
      </c>
      <c r="B1176" s="3">
        <v>0.79905784818945902</v>
      </c>
      <c r="C1176" t="s">
        <v>55</v>
      </c>
      <c r="D1176" t="s">
        <v>14</v>
      </c>
    </row>
    <row r="1177" spans="1:4" x14ac:dyDescent="0.3">
      <c r="A1177" t="s">
        <v>133</v>
      </c>
      <c r="B1177" s="3">
        <v>0.95901004574361726</v>
      </c>
      <c r="C1177" t="s">
        <v>56</v>
      </c>
      <c r="D1177" t="s">
        <v>8</v>
      </c>
    </row>
    <row r="1178" spans="1:4" x14ac:dyDescent="0.3">
      <c r="A1178" t="s">
        <v>133</v>
      </c>
      <c r="B1178" s="3">
        <v>0.84889446281318481</v>
      </c>
      <c r="C1178" t="s">
        <v>57</v>
      </c>
      <c r="D1178" t="s">
        <v>16</v>
      </c>
    </row>
    <row r="1179" spans="1:4" x14ac:dyDescent="0.3">
      <c r="A1179" t="s">
        <v>133</v>
      </c>
      <c r="B1179" s="3">
        <v>0.85824803262769844</v>
      </c>
      <c r="C1179" t="s">
        <v>58</v>
      </c>
      <c r="D1179" t="s">
        <v>10</v>
      </c>
    </row>
    <row r="1180" spans="1:4" x14ac:dyDescent="0.3">
      <c r="A1180" t="s">
        <v>133</v>
      </c>
      <c r="B1180" s="3">
        <v>0.82009804333219816</v>
      </c>
      <c r="C1180" t="s">
        <v>59</v>
      </c>
      <c r="D1180" t="s">
        <v>16</v>
      </c>
    </row>
    <row r="1181" spans="1:4" x14ac:dyDescent="0.3">
      <c r="A1181" t="s">
        <v>133</v>
      </c>
      <c r="B1181" s="3">
        <v>1</v>
      </c>
      <c r="C1181" t="s">
        <v>60</v>
      </c>
      <c r="D1181" t="s">
        <v>14</v>
      </c>
    </row>
    <row r="1182" spans="1:4" x14ac:dyDescent="0.3">
      <c r="A1182" t="s">
        <v>133</v>
      </c>
      <c r="B1182" s="3">
        <v>0.82980930241558459</v>
      </c>
      <c r="C1182" t="s">
        <v>61</v>
      </c>
      <c r="D1182" t="s">
        <v>10</v>
      </c>
    </row>
    <row r="1183" spans="1:4" x14ac:dyDescent="0.3">
      <c r="A1183" t="s">
        <v>133</v>
      </c>
      <c r="B1183" s="3">
        <v>0.64514013492956079</v>
      </c>
      <c r="C1183" t="s">
        <v>62</v>
      </c>
      <c r="D1183" t="s">
        <v>14</v>
      </c>
    </row>
    <row r="1184" spans="1:4" x14ac:dyDescent="0.3">
      <c r="A1184" t="s">
        <v>133</v>
      </c>
      <c r="B1184" s="3">
        <v>0.94940496772159177</v>
      </c>
      <c r="C1184" t="s">
        <v>63</v>
      </c>
      <c r="D1184" t="s">
        <v>6</v>
      </c>
    </row>
    <row r="1185" spans="1:4" x14ac:dyDescent="0.3">
      <c r="A1185" t="s">
        <v>133</v>
      </c>
      <c r="B1185" s="3">
        <v>0.96302281156712211</v>
      </c>
      <c r="C1185" t="s">
        <v>64</v>
      </c>
      <c r="D1185" t="s">
        <v>16</v>
      </c>
    </row>
    <row r="1186" spans="1:4" x14ac:dyDescent="0.3">
      <c r="A1186" t="s">
        <v>133</v>
      </c>
      <c r="B1186" s="3">
        <v>0.99078474077109635</v>
      </c>
      <c r="C1186" t="s">
        <v>64</v>
      </c>
      <c r="D1186" t="s">
        <v>13</v>
      </c>
    </row>
    <row r="1187" spans="1:4" x14ac:dyDescent="0.3">
      <c r="A1187" t="s">
        <v>133</v>
      </c>
      <c r="B1187" s="3">
        <v>0.80680172989868115</v>
      </c>
      <c r="C1187" t="s">
        <v>65</v>
      </c>
      <c r="D1187" t="s">
        <v>8</v>
      </c>
    </row>
    <row r="1188" spans="1:4" x14ac:dyDescent="0.3">
      <c r="A1188" t="s">
        <v>133</v>
      </c>
      <c r="B1188" s="3">
        <v>0.9528201028358676</v>
      </c>
      <c r="C1188" t="s">
        <v>66</v>
      </c>
      <c r="D1188" t="s">
        <v>16</v>
      </c>
    </row>
    <row r="1189" spans="1:4" x14ac:dyDescent="0.3">
      <c r="A1189" t="s">
        <v>133</v>
      </c>
      <c r="B1189" s="3">
        <v>0.76751661690167672</v>
      </c>
      <c r="C1189" t="s">
        <v>67</v>
      </c>
      <c r="D1189" t="s">
        <v>16</v>
      </c>
    </row>
    <row r="1190" spans="1:4" x14ac:dyDescent="0.3">
      <c r="A1190" t="s">
        <v>133</v>
      </c>
      <c r="B1190" s="3">
        <v>0.44765782563668693</v>
      </c>
      <c r="C1190" t="s">
        <v>68</v>
      </c>
      <c r="D1190" t="s">
        <v>13</v>
      </c>
    </row>
    <row r="1191" spans="1:4" x14ac:dyDescent="0.3">
      <c r="A1191" t="s">
        <v>133</v>
      </c>
      <c r="B1191" s="3">
        <v>0.95991064612666355</v>
      </c>
      <c r="C1191" t="s">
        <v>69</v>
      </c>
      <c r="D1191" t="s">
        <v>6</v>
      </c>
    </row>
    <row r="1192" spans="1:4" x14ac:dyDescent="0.3">
      <c r="A1192" t="s">
        <v>133</v>
      </c>
      <c r="B1192" s="3">
        <v>0.95774835659217794</v>
      </c>
      <c r="C1192" t="s">
        <v>69</v>
      </c>
      <c r="D1192" t="s">
        <v>16</v>
      </c>
    </row>
    <row r="1193" spans="1:4" x14ac:dyDescent="0.3">
      <c r="A1193" t="s">
        <v>133</v>
      </c>
      <c r="B1193" s="3">
        <v>0.8741423572782433</v>
      </c>
      <c r="C1193" t="s">
        <v>69</v>
      </c>
      <c r="D1193" t="s">
        <v>10</v>
      </c>
    </row>
    <row r="1194" spans="1:4" x14ac:dyDescent="0.3">
      <c r="A1194" t="s">
        <v>133</v>
      </c>
      <c r="B1194" s="3">
        <v>0.93074545157694377</v>
      </c>
      <c r="C1194" t="s">
        <v>69</v>
      </c>
      <c r="D1194" t="s">
        <v>8</v>
      </c>
    </row>
    <row r="1195" spans="1:4" x14ac:dyDescent="0.3">
      <c r="A1195" t="s">
        <v>133</v>
      </c>
      <c r="B1195" s="3">
        <v>0.94764284427913392</v>
      </c>
      <c r="C1195" t="s">
        <v>69</v>
      </c>
      <c r="D1195" t="s">
        <v>13</v>
      </c>
    </row>
    <row r="1196" spans="1:4" x14ac:dyDescent="0.3">
      <c r="A1196" t="s">
        <v>133</v>
      </c>
      <c r="B1196" s="3">
        <v>0.93971116144746814</v>
      </c>
      <c r="C1196" t="s">
        <v>69</v>
      </c>
      <c r="D1196" t="s">
        <v>14</v>
      </c>
    </row>
    <row r="1197" spans="1:4" x14ac:dyDescent="0.3">
      <c r="A1197" t="s">
        <v>133</v>
      </c>
      <c r="B1197" s="3">
        <v>0.92766055843471651</v>
      </c>
      <c r="C1197" t="s">
        <v>70</v>
      </c>
      <c r="D1197" t="s">
        <v>6</v>
      </c>
    </row>
    <row r="1198" spans="1:4" x14ac:dyDescent="0.3">
      <c r="A1198" t="s">
        <v>133</v>
      </c>
      <c r="B1198" s="3">
        <v>0.93974361657479344</v>
      </c>
      <c r="C1198" t="s">
        <v>70</v>
      </c>
      <c r="D1198" t="s">
        <v>10</v>
      </c>
    </row>
    <row r="1199" spans="1:4" x14ac:dyDescent="0.3">
      <c r="A1199" t="s">
        <v>133</v>
      </c>
      <c r="B1199" s="3">
        <v>0.92558611480451547</v>
      </c>
      <c r="C1199" t="s">
        <v>70</v>
      </c>
      <c r="D1199" t="s">
        <v>8</v>
      </c>
    </row>
    <row r="1200" spans="1:4" x14ac:dyDescent="0.3">
      <c r="A1200" t="s">
        <v>133</v>
      </c>
      <c r="B1200" s="3">
        <v>0.92876070431087687</v>
      </c>
      <c r="C1200" t="s">
        <v>70</v>
      </c>
      <c r="D1200" t="s">
        <v>13</v>
      </c>
    </row>
    <row r="1201" spans="1:4" x14ac:dyDescent="0.3">
      <c r="A1201" t="s">
        <v>133</v>
      </c>
      <c r="B1201" s="3">
        <v>0.9214295936282979</v>
      </c>
      <c r="C1201" t="s">
        <v>70</v>
      </c>
      <c r="D1201" t="s">
        <v>14</v>
      </c>
    </row>
    <row r="1202" spans="1:4" x14ac:dyDescent="0.3">
      <c r="A1202" t="s">
        <v>133</v>
      </c>
      <c r="B1202" s="3">
        <v>0.73057806551369209</v>
      </c>
      <c r="C1202" t="s">
        <v>71</v>
      </c>
      <c r="D1202" t="s">
        <v>14</v>
      </c>
    </row>
    <row r="1203" spans="1:4" x14ac:dyDescent="0.3">
      <c r="A1203" t="s">
        <v>133</v>
      </c>
      <c r="B1203" s="3">
        <v>0.88706148402775575</v>
      </c>
      <c r="C1203" t="s">
        <v>72</v>
      </c>
      <c r="D1203" t="s">
        <v>10</v>
      </c>
    </row>
    <row r="1204" spans="1:4" x14ac:dyDescent="0.3">
      <c r="A1204" t="s">
        <v>133</v>
      </c>
      <c r="B1204" s="3">
        <v>0.95405854196340834</v>
      </c>
      <c r="C1204" t="s">
        <v>72</v>
      </c>
      <c r="D1204" t="s">
        <v>8</v>
      </c>
    </row>
    <row r="1205" spans="1:4" x14ac:dyDescent="0.3">
      <c r="A1205" t="s">
        <v>133</v>
      </c>
      <c r="B1205" s="3">
        <v>0.93587153467987783</v>
      </c>
      <c r="C1205" t="s">
        <v>72</v>
      </c>
      <c r="D1205" t="s">
        <v>14</v>
      </c>
    </row>
    <row r="1206" spans="1:4" x14ac:dyDescent="0.3">
      <c r="A1206" t="s">
        <v>133</v>
      </c>
      <c r="B1206" s="3">
        <v>0.26705079356683042</v>
      </c>
      <c r="C1206" t="s">
        <v>73</v>
      </c>
      <c r="D1206" t="s">
        <v>6</v>
      </c>
    </row>
    <row r="1207" spans="1:4" x14ac:dyDescent="0.3">
      <c r="A1207" t="s">
        <v>133</v>
      </c>
      <c r="B1207" s="3">
        <v>0.94622622696334979</v>
      </c>
      <c r="C1207" t="s">
        <v>74</v>
      </c>
    </row>
    <row r="1208" spans="1:4" x14ac:dyDescent="0.3">
      <c r="A1208" t="s">
        <v>133</v>
      </c>
      <c r="B1208" s="3">
        <v>0.97186130135691862</v>
      </c>
      <c r="C1208" t="s">
        <v>74</v>
      </c>
      <c r="D1208" t="s">
        <v>14</v>
      </c>
    </row>
    <row r="1209" spans="1:4" x14ac:dyDescent="0.3">
      <c r="A1209" t="s">
        <v>133</v>
      </c>
      <c r="B1209" s="3">
        <v>0.90563161687102312</v>
      </c>
      <c r="C1209" t="s">
        <v>75</v>
      </c>
      <c r="D1209" t="s">
        <v>8</v>
      </c>
    </row>
    <row r="1210" spans="1:4" x14ac:dyDescent="0.3">
      <c r="A1210" t="s">
        <v>133</v>
      </c>
      <c r="B1210" s="3">
        <v>0.7871748191889244</v>
      </c>
      <c r="C1210" t="s">
        <v>76</v>
      </c>
    </row>
    <row r="1211" spans="1:4" x14ac:dyDescent="0.3">
      <c r="A1211" t="s">
        <v>133</v>
      </c>
      <c r="B1211" s="3">
        <v>0.65521550562348341</v>
      </c>
      <c r="C1211" t="s">
        <v>76</v>
      </c>
      <c r="D1211" t="s">
        <v>6</v>
      </c>
    </row>
    <row r="1212" spans="1:4" x14ac:dyDescent="0.3">
      <c r="A1212" t="s">
        <v>133</v>
      </c>
      <c r="B1212" s="3">
        <v>0.87575180848002943</v>
      </c>
      <c r="C1212" t="s">
        <v>76</v>
      </c>
      <c r="D1212" t="s">
        <v>16</v>
      </c>
    </row>
    <row r="1213" spans="1:4" x14ac:dyDescent="0.3">
      <c r="A1213" t="s">
        <v>133</v>
      </c>
      <c r="B1213" s="3">
        <v>0.72685162560141325</v>
      </c>
      <c r="C1213" t="s">
        <v>76</v>
      </c>
      <c r="D1213" t="s">
        <v>10</v>
      </c>
    </row>
    <row r="1214" spans="1:4" x14ac:dyDescent="0.3">
      <c r="A1214" t="s">
        <v>133</v>
      </c>
      <c r="B1214" s="3">
        <v>0.93016057968903632</v>
      </c>
      <c r="C1214" t="s">
        <v>76</v>
      </c>
      <c r="D1214" t="s">
        <v>8</v>
      </c>
    </row>
    <row r="1215" spans="1:4" x14ac:dyDescent="0.3">
      <c r="A1215" t="s">
        <v>133</v>
      </c>
      <c r="B1215" s="3">
        <v>0.86390568148448366</v>
      </c>
      <c r="C1215" t="s">
        <v>77</v>
      </c>
      <c r="D1215" t="s">
        <v>14</v>
      </c>
    </row>
    <row r="1216" spans="1:4" x14ac:dyDescent="0.3">
      <c r="A1216" t="s">
        <v>133</v>
      </c>
      <c r="B1216" s="3">
        <v>0.94681758497936663</v>
      </c>
      <c r="C1216" t="s">
        <v>78</v>
      </c>
      <c r="D1216" t="s">
        <v>6</v>
      </c>
    </row>
    <row r="1217" spans="1:4" x14ac:dyDescent="0.3">
      <c r="A1217" t="s">
        <v>133</v>
      </c>
      <c r="B1217" s="3">
        <v>0.94074967942874399</v>
      </c>
      <c r="C1217" t="s">
        <v>78</v>
      </c>
      <c r="D1217" t="s">
        <v>10</v>
      </c>
    </row>
    <row r="1218" spans="1:4" x14ac:dyDescent="0.3">
      <c r="A1218" t="s">
        <v>133</v>
      </c>
      <c r="B1218" s="3">
        <v>0.91933624348972842</v>
      </c>
      <c r="C1218" t="s">
        <v>78</v>
      </c>
      <c r="D1218" t="s">
        <v>8</v>
      </c>
    </row>
    <row r="1219" spans="1:4" x14ac:dyDescent="0.3">
      <c r="A1219" t="s">
        <v>133</v>
      </c>
      <c r="B1219" s="3">
        <v>0.90023925087008938</v>
      </c>
      <c r="C1219" t="s">
        <v>78</v>
      </c>
      <c r="D1219" t="s">
        <v>13</v>
      </c>
    </row>
    <row r="1220" spans="1:4" x14ac:dyDescent="0.3">
      <c r="A1220" t="s">
        <v>133</v>
      </c>
      <c r="B1220" s="3">
        <v>0.95829249445415299</v>
      </c>
      <c r="C1220" t="s">
        <v>78</v>
      </c>
      <c r="D1220" t="s">
        <v>14</v>
      </c>
    </row>
    <row r="1221" spans="1:4" x14ac:dyDescent="0.3">
      <c r="A1221" t="s">
        <v>133</v>
      </c>
      <c r="B1221" s="3">
        <v>0.94091300420531798</v>
      </c>
      <c r="C1221" t="s">
        <v>80</v>
      </c>
      <c r="D1221" t="s">
        <v>6</v>
      </c>
    </row>
    <row r="1222" spans="1:4" x14ac:dyDescent="0.3">
      <c r="A1222" t="s">
        <v>133</v>
      </c>
      <c r="B1222" s="3">
        <v>0.86044782199430636</v>
      </c>
      <c r="C1222" t="s">
        <v>80</v>
      </c>
      <c r="D1222" t="s">
        <v>16</v>
      </c>
    </row>
    <row r="1223" spans="1:4" x14ac:dyDescent="0.3">
      <c r="A1223" t="s">
        <v>133</v>
      </c>
      <c r="B1223" s="3">
        <v>0.9419645475185906</v>
      </c>
      <c r="C1223" t="s">
        <v>80</v>
      </c>
      <c r="D1223" t="s">
        <v>10</v>
      </c>
    </row>
    <row r="1224" spans="1:4" x14ac:dyDescent="0.3">
      <c r="A1224" t="s">
        <v>133</v>
      </c>
      <c r="B1224" s="3">
        <v>0.9268560606250843</v>
      </c>
      <c r="C1224" t="s">
        <v>80</v>
      </c>
      <c r="D1224" t="s">
        <v>8</v>
      </c>
    </row>
    <row r="1225" spans="1:4" x14ac:dyDescent="0.3">
      <c r="A1225" t="s">
        <v>133</v>
      </c>
      <c r="B1225" s="3">
        <v>0.9255776119081075</v>
      </c>
      <c r="C1225" t="s">
        <v>80</v>
      </c>
      <c r="D1225" t="s">
        <v>13</v>
      </c>
    </row>
    <row r="1226" spans="1:4" x14ac:dyDescent="0.3">
      <c r="A1226" t="s">
        <v>133</v>
      </c>
      <c r="B1226" s="3">
        <v>0.93706115076980978</v>
      </c>
      <c r="C1226" t="s">
        <v>80</v>
      </c>
      <c r="D1226" t="s">
        <v>14</v>
      </c>
    </row>
    <row r="1227" spans="1:4" x14ac:dyDescent="0.3">
      <c r="A1227" t="s">
        <v>133</v>
      </c>
      <c r="B1227" s="3">
        <v>0.95461766608837761</v>
      </c>
      <c r="C1227" t="s">
        <v>81</v>
      </c>
      <c r="D1227" t="s">
        <v>6</v>
      </c>
    </row>
    <row r="1228" spans="1:4" x14ac:dyDescent="0.3">
      <c r="A1228" t="s">
        <v>133</v>
      </c>
      <c r="B1228" s="3">
        <v>0.94954718537256566</v>
      </c>
      <c r="C1228" t="s">
        <v>81</v>
      </c>
      <c r="D1228" t="s">
        <v>10</v>
      </c>
    </row>
    <row r="1229" spans="1:4" x14ac:dyDescent="0.3">
      <c r="A1229" t="s">
        <v>133</v>
      </c>
      <c r="B1229" s="3">
        <v>0.93192782562334087</v>
      </c>
      <c r="C1229" t="s">
        <v>81</v>
      </c>
      <c r="D1229" t="s">
        <v>8</v>
      </c>
    </row>
    <row r="1230" spans="1:4" x14ac:dyDescent="0.3">
      <c r="A1230" t="s">
        <v>133</v>
      </c>
      <c r="B1230" s="3">
        <v>0.92390179437757347</v>
      </c>
      <c r="C1230" t="s">
        <v>81</v>
      </c>
      <c r="D1230" t="s">
        <v>13</v>
      </c>
    </row>
    <row r="1231" spans="1:4" x14ac:dyDescent="0.3">
      <c r="A1231" t="s">
        <v>133</v>
      </c>
      <c r="B1231" s="3">
        <v>0.9401436950926908</v>
      </c>
      <c r="C1231" t="s">
        <v>81</v>
      </c>
      <c r="D1231" t="s">
        <v>14</v>
      </c>
    </row>
    <row r="1232" spans="1:4" x14ac:dyDescent="0.3">
      <c r="A1232" t="s">
        <v>133</v>
      </c>
      <c r="B1232" s="3">
        <v>0.85966061369533542</v>
      </c>
      <c r="C1232" t="s">
        <v>82</v>
      </c>
      <c r="D1232" t="s">
        <v>10</v>
      </c>
    </row>
    <row r="1233" spans="1:4" x14ac:dyDescent="0.3">
      <c r="A1233" t="s">
        <v>133</v>
      </c>
      <c r="B1233" s="3">
        <v>0.98077103606304139</v>
      </c>
      <c r="C1233" t="s">
        <v>83</v>
      </c>
      <c r="D1233" t="s">
        <v>10</v>
      </c>
    </row>
    <row r="1234" spans="1:4" x14ac:dyDescent="0.3">
      <c r="A1234" t="s">
        <v>133</v>
      </c>
      <c r="B1234" s="3">
        <v>0.96399805034082531</v>
      </c>
      <c r="C1234" t="s">
        <v>83</v>
      </c>
      <c r="D1234" t="s">
        <v>8</v>
      </c>
    </row>
    <row r="1235" spans="1:4" x14ac:dyDescent="0.3">
      <c r="A1235" t="s">
        <v>133</v>
      </c>
      <c r="B1235" s="3">
        <v>0.95020274426705298</v>
      </c>
      <c r="C1235" t="s">
        <v>84</v>
      </c>
      <c r="D1235" t="s">
        <v>8</v>
      </c>
    </row>
    <row r="1236" spans="1:4" x14ac:dyDescent="0.3">
      <c r="A1236" t="s">
        <v>133</v>
      </c>
      <c r="B1236" s="3">
        <v>0.97612954359444237</v>
      </c>
      <c r="C1236" t="s">
        <v>85</v>
      </c>
      <c r="D1236" t="s">
        <v>13</v>
      </c>
    </row>
    <row r="1237" spans="1:4" x14ac:dyDescent="0.3">
      <c r="A1237" t="s">
        <v>133</v>
      </c>
      <c r="B1237" s="3">
        <v>0</v>
      </c>
      <c r="C1237" t="s">
        <v>130</v>
      </c>
      <c r="D1237" t="s">
        <v>13</v>
      </c>
    </row>
    <row r="1238" spans="1:4" x14ac:dyDescent="0.3">
      <c r="A1238" t="s">
        <v>133</v>
      </c>
      <c r="B1238" s="3">
        <v>0.96265832441455745</v>
      </c>
      <c r="C1238" t="s">
        <v>86</v>
      </c>
      <c r="D1238" t="s">
        <v>6</v>
      </c>
    </row>
    <row r="1239" spans="1:4" x14ac:dyDescent="0.3">
      <c r="A1239" t="s">
        <v>133</v>
      </c>
      <c r="B1239" s="3">
        <v>0.99765203774899835</v>
      </c>
      <c r="C1239" t="s">
        <v>86</v>
      </c>
      <c r="D1239" t="s">
        <v>16</v>
      </c>
    </row>
    <row r="1240" spans="1:4" x14ac:dyDescent="0.3">
      <c r="A1240" t="s">
        <v>133</v>
      </c>
      <c r="B1240" s="3">
        <v>0.98553174132448418</v>
      </c>
      <c r="C1240" t="s">
        <v>86</v>
      </c>
      <c r="D1240" t="s">
        <v>10</v>
      </c>
    </row>
    <row r="1241" spans="1:4" x14ac:dyDescent="0.3">
      <c r="A1241" t="s">
        <v>133</v>
      </c>
      <c r="B1241" s="3">
        <v>0.96575537723934901</v>
      </c>
      <c r="C1241" t="s">
        <v>86</v>
      </c>
      <c r="D1241" t="s">
        <v>8</v>
      </c>
    </row>
    <row r="1242" spans="1:4" x14ac:dyDescent="0.3">
      <c r="A1242" t="s">
        <v>133</v>
      </c>
      <c r="B1242" s="3">
        <v>0.98211870224659681</v>
      </c>
      <c r="C1242" t="s">
        <v>86</v>
      </c>
      <c r="D1242" t="s">
        <v>13</v>
      </c>
    </row>
    <row r="1243" spans="1:4" x14ac:dyDescent="0.3">
      <c r="A1243" t="s">
        <v>133</v>
      </c>
      <c r="B1243" s="3">
        <v>0.95606829089934764</v>
      </c>
      <c r="C1243" t="s">
        <v>86</v>
      </c>
      <c r="D1243" t="s">
        <v>14</v>
      </c>
    </row>
    <row r="1244" spans="1:4" x14ac:dyDescent="0.3">
      <c r="A1244" t="s">
        <v>133</v>
      </c>
      <c r="B1244" s="3">
        <v>0.91550638889911751</v>
      </c>
      <c r="C1244" t="s">
        <v>87</v>
      </c>
    </row>
    <row r="1245" spans="1:4" x14ac:dyDescent="0.3">
      <c r="A1245" t="s">
        <v>133</v>
      </c>
      <c r="B1245" s="3">
        <v>0.9551882177800558</v>
      </c>
      <c r="C1245" t="s">
        <v>87</v>
      </c>
      <c r="D1245" t="s">
        <v>6</v>
      </c>
    </row>
    <row r="1246" spans="1:4" x14ac:dyDescent="0.3">
      <c r="A1246" t="s">
        <v>133</v>
      </c>
      <c r="B1246" s="3">
        <v>0.83227633158781056</v>
      </c>
      <c r="C1246" t="s">
        <v>88</v>
      </c>
      <c r="D1246" t="s">
        <v>6</v>
      </c>
    </row>
    <row r="1247" spans="1:4" x14ac:dyDescent="0.3">
      <c r="A1247" t="s">
        <v>133</v>
      </c>
      <c r="B1247" s="3">
        <v>0.98297006867141368</v>
      </c>
      <c r="C1247" t="s">
        <v>89</v>
      </c>
      <c r="D1247" t="s">
        <v>8</v>
      </c>
    </row>
    <row r="1248" spans="1:4" x14ac:dyDescent="0.3">
      <c r="A1248" t="s">
        <v>133</v>
      </c>
      <c r="B1248" s="3">
        <v>0.93226089053476036</v>
      </c>
      <c r="C1248" t="s">
        <v>90</v>
      </c>
      <c r="D1248" t="s">
        <v>6</v>
      </c>
    </row>
    <row r="1249" spans="1:4" x14ac:dyDescent="0.3">
      <c r="A1249" t="s">
        <v>133</v>
      </c>
      <c r="B1249" s="3">
        <v>0.88243541060037789</v>
      </c>
      <c r="C1249" t="s">
        <v>90</v>
      </c>
      <c r="D1249" t="s">
        <v>10</v>
      </c>
    </row>
    <row r="1250" spans="1:4" x14ac:dyDescent="0.3">
      <c r="A1250" t="s">
        <v>133</v>
      </c>
      <c r="B1250" s="3">
        <v>0.85346649321884127</v>
      </c>
      <c r="C1250" t="s">
        <v>90</v>
      </c>
      <c r="D1250" t="s">
        <v>8</v>
      </c>
    </row>
    <row r="1251" spans="1:4" x14ac:dyDescent="0.3">
      <c r="A1251" t="s">
        <v>133</v>
      </c>
      <c r="B1251" s="3">
        <v>0.94167926019916648</v>
      </c>
      <c r="C1251" t="s">
        <v>90</v>
      </c>
      <c r="D1251" t="s">
        <v>13</v>
      </c>
    </row>
    <row r="1252" spans="1:4" x14ac:dyDescent="0.3">
      <c r="A1252" t="s">
        <v>133</v>
      </c>
      <c r="B1252" s="3">
        <v>0.34840497666218401</v>
      </c>
      <c r="C1252" t="s">
        <v>91</v>
      </c>
      <c r="D1252" t="s">
        <v>8</v>
      </c>
    </row>
    <row r="1253" spans="1:4" x14ac:dyDescent="0.3">
      <c r="A1253" t="s">
        <v>133</v>
      </c>
      <c r="B1253" s="3">
        <v>0.8170000674672353</v>
      </c>
      <c r="C1253" t="s">
        <v>92</v>
      </c>
      <c r="D1253" t="s">
        <v>16</v>
      </c>
    </row>
    <row r="1254" spans="1:4" x14ac:dyDescent="0.3">
      <c r="A1254" t="s">
        <v>133</v>
      </c>
      <c r="B1254" s="3">
        <v>1</v>
      </c>
      <c r="C1254" t="s">
        <v>93</v>
      </c>
    </row>
    <row r="1255" spans="1:4" x14ac:dyDescent="0.3">
      <c r="A1255" t="s">
        <v>133</v>
      </c>
      <c r="B1255" s="3">
        <v>0.9318133351985709</v>
      </c>
      <c r="C1255" t="s">
        <v>94</v>
      </c>
    </row>
    <row r="1256" spans="1:4" x14ac:dyDescent="0.3">
      <c r="A1256" t="s">
        <v>133</v>
      </c>
      <c r="B1256" s="3">
        <v>0.81519113789309117</v>
      </c>
      <c r="C1256" t="s">
        <v>94</v>
      </c>
      <c r="D1256" t="s">
        <v>6</v>
      </c>
    </row>
    <row r="1257" spans="1:4" x14ac:dyDescent="0.3">
      <c r="A1257" t="s">
        <v>133</v>
      </c>
      <c r="B1257" s="3">
        <v>0.84847444629879165</v>
      </c>
      <c r="C1257" t="s">
        <v>95</v>
      </c>
      <c r="D1257" t="s">
        <v>16</v>
      </c>
    </row>
    <row r="1258" spans="1:4" x14ac:dyDescent="0.3">
      <c r="A1258" t="s">
        <v>133</v>
      </c>
      <c r="B1258" s="3">
        <v>0.6598610457144648</v>
      </c>
      <c r="C1258" t="s">
        <v>96</v>
      </c>
      <c r="D1258" t="s">
        <v>8</v>
      </c>
    </row>
    <row r="1259" spans="1:4" x14ac:dyDescent="0.3">
      <c r="A1259" t="s">
        <v>133</v>
      </c>
      <c r="B1259" s="3">
        <v>0.96469644280723499</v>
      </c>
      <c r="C1259" t="s">
        <v>97</v>
      </c>
      <c r="D1259" t="s">
        <v>6</v>
      </c>
    </row>
    <row r="1260" spans="1:4" x14ac:dyDescent="0.3">
      <c r="A1260" t="s">
        <v>133</v>
      </c>
      <c r="B1260" s="3">
        <v>0.88928586867171977</v>
      </c>
      <c r="C1260" t="s">
        <v>97</v>
      </c>
      <c r="D1260" t="s">
        <v>16</v>
      </c>
    </row>
    <row r="1261" spans="1:4" x14ac:dyDescent="0.3">
      <c r="A1261" t="s">
        <v>133</v>
      </c>
      <c r="B1261" s="3">
        <v>0.94924113719935466</v>
      </c>
      <c r="C1261" t="s">
        <v>97</v>
      </c>
      <c r="D1261" t="s">
        <v>10</v>
      </c>
    </row>
    <row r="1262" spans="1:4" x14ac:dyDescent="0.3">
      <c r="A1262" t="s">
        <v>133</v>
      </c>
      <c r="B1262" s="3">
        <v>0.96563756937154788</v>
      </c>
      <c r="C1262" t="s">
        <v>97</v>
      </c>
      <c r="D1262" t="s">
        <v>8</v>
      </c>
    </row>
    <row r="1263" spans="1:4" x14ac:dyDescent="0.3">
      <c r="A1263" t="s">
        <v>133</v>
      </c>
      <c r="B1263" s="3">
        <v>0.96643847220898571</v>
      </c>
      <c r="C1263" t="s">
        <v>97</v>
      </c>
      <c r="D1263" t="s">
        <v>13</v>
      </c>
    </row>
    <row r="1264" spans="1:4" x14ac:dyDescent="0.3">
      <c r="A1264" t="s">
        <v>133</v>
      </c>
      <c r="B1264" s="3">
        <v>0.97243117507435628</v>
      </c>
      <c r="C1264" t="s">
        <v>97</v>
      </c>
      <c r="D1264" t="s">
        <v>14</v>
      </c>
    </row>
    <row r="1265" spans="1:4" x14ac:dyDescent="0.3">
      <c r="A1265" t="s">
        <v>133</v>
      </c>
      <c r="B1265" s="3">
        <v>0.61208264714646954</v>
      </c>
      <c r="C1265" t="s">
        <v>98</v>
      </c>
      <c r="D1265" t="s">
        <v>14</v>
      </c>
    </row>
    <row r="1266" spans="1:4" x14ac:dyDescent="0.3">
      <c r="A1266" t="s">
        <v>133</v>
      </c>
      <c r="B1266" s="3">
        <v>0.98840015318158414</v>
      </c>
      <c r="C1266" t="s">
        <v>99</v>
      </c>
      <c r="D1266" t="s">
        <v>13</v>
      </c>
    </row>
    <row r="1267" spans="1:4" x14ac:dyDescent="0.3">
      <c r="A1267" t="s">
        <v>133</v>
      </c>
      <c r="B1267" s="3">
        <v>0.87667103873742924</v>
      </c>
      <c r="C1267" t="s">
        <v>100</v>
      </c>
      <c r="D1267" t="s">
        <v>14</v>
      </c>
    </row>
    <row r="1268" spans="1:4" x14ac:dyDescent="0.3">
      <c r="A1268" t="s">
        <v>133</v>
      </c>
      <c r="B1268" s="3">
        <v>0.95539228948496602</v>
      </c>
      <c r="C1268" t="s">
        <v>101</v>
      </c>
      <c r="D1268" t="s">
        <v>6</v>
      </c>
    </row>
    <row r="1269" spans="1:4" x14ac:dyDescent="0.3">
      <c r="A1269" t="s">
        <v>133</v>
      </c>
      <c r="B1269" s="3">
        <v>0.9557231179880179</v>
      </c>
      <c r="C1269" t="s">
        <v>101</v>
      </c>
      <c r="D1269" t="s">
        <v>10</v>
      </c>
    </row>
    <row r="1270" spans="1:4" x14ac:dyDescent="0.3">
      <c r="A1270" t="s">
        <v>133</v>
      </c>
      <c r="B1270" s="3">
        <v>0.93238985477124137</v>
      </c>
      <c r="C1270" t="s">
        <v>101</v>
      </c>
      <c r="D1270" t="s">
        <v>8</v>
      </c>
    </row>
    <row r="1271" spans="1:4" x14ac:dyDescent="0.3">
      <c r="A1271" t="s">
        <v>133</v>
      </c>
      <c r="B1271" s="3">
        <v>0.95098744081068676</v>
      </c>
      <c r="C1271" t="s">
        <v>101</v>
      </c>
      <c r="D1271" t="s">
        <v>14</v>
      </c>
    </row>
    <row r="1272" spans="1:4" x14ac:dyDescent="0.3">
      <c r="A1272" t="s">
        <v>133</v>
      </c>
      <c r="B1272" s="3">
        <v>0.93984424497048569</v>
      </c>
      <c r="C1272" t="s">
        <v>102</v>
      </c>
      <c r="D1272" t="s">
        <v>8</v>
      </c>
    </row>
    <row r="1273" spans="1:4" x14ac:dyDescent="0.3">
      <c r="A1273" t="s">
        <v>133</v>
      </c>
      <c r="B1273" s="3">
        <v>0.88832490815947895</v>
      </c>
      <c r="C1273" t="s">
        <v>103</v>
      </c>
      <c r="D1273" t="s">
        <v>6</v>
      </c>
    </row>
    <row r="1274" spans="1:4" x14ac:dyDescent="0.3">
      <c r="A1274" t="s">
        <v>133</v>
      </c>
      <c r="B1274" s="3">
        <v>0.89142333179307309</v>
      </c>
      <c r="C1274" t="s">
        <v>103</v>
      </c>
      <c r="D1274" t="s">
        <v>10</v>
      </c>
    </row>
    <row r="1275" spans="1:4" x14ac:dyDescent="0.3">
      <c r="A1275" t="s">
        <v>133</v>
      </c>
      <c r="B1275" s="3">
        <v>0.94694483867773649</v>
      </c>
      <c r="C1275" t="s">
        <v>103</v>
      </c>
      <c r="D1275" t="s">
        <v>14</v>
      </c>
    </row>
    <row r="1276" spans="1:4" x14ac:dyDescent="0.3">
      <c r="A1276" t="s">
        <v>133</v>
      </c>
      <c r="B1276" s="3">
        <v>0.77791495508117625</v>
      </c>
      <c r="C1276" t="s">
        <v>104</v>
      </c>
      <c r="D1276" t="s">
        <v>14</v>
      </c>
    </row>
    <row r="1277" spans="1:4" x14ac:dyDescent="0.3">
      <c r="A1277" t="s">
        <v>133</v>
      </c>
      <c r="B1277" s="3">
        <v>0.970861353537392</v>
      </c>
      <c r="C1277" t="s">
        <v>105</v>
      </c>
      <c r="D1277" t="s">
        <v>6</v>
      </c>
    </row>
    <row r="1278" spans="1:4" x14ac:dyDescent="0.3">
      <c r="A1278" t="s">
        <v>133</v>
      </c>
      <c r="B1278" s="3">
        <v>0.95979940652234219</v>
      </c>
      <c r="C1278" t="s">
        <v>105</v>
      </c>
      <c r="D1278" t="s">
        <v>16</v>
      </c>
    </row>
    <row r="1279" spans="1:4" x14ac:dyDescent="0.3">
      <c r="A1279" t="s">
        <v>133</v>
      </c>
      <c r="B1279" s="3">
        <v>0.96346006445303223</v>
      </c>
      <c r="C1279" t="s">
        <v>105</v>
      </c>
      <c r="D1279" t="s">
        <v>10</v>
      </c>
    </row>
    <row r="1280" spans="1:4" x14ac:dyDescent="0.3">
      <c r="A1280" t="s">
        <v>133</v>
      </c>
      <c r="B1280" s="3">
        <v>0.95781882189964274</v>
      </c>
      <c r="C1280" t="s">
        <v>105</v>
      </c>
      <c r="D1280" t="s">
        <v>8</v>
      </c>
    </row>
    <row r="1281" spans="1:4" x14ac:dyDescent="0.3">
      <c r="A1281" t="s">
        <v>133</v>
      </c>
      <c r="B1281" s="3">
        <v>0.96184775611564655</v>
      </c>
      <c r="C1281" t="s">
        <v>105</v>
      </c>
      <c r="D1281" t="s">
        <v>13</v>
      </c>
    </row>
    <row r="1282" spans="1:4" x14ac:dyDescent="0.3">
      <c r="A1282" t="s">
        <v>133</v>
      </c>
      <c r="B1282" s="3">
        <v>0.97476322347612487</v>
      </c>
      <c r="C1282" t="s">
        <v>105</v>
      </c>
      <c r="D1282" t="s">
        <v>14</v>
      </c>
    </row>
    <row r="1283" spans="1:4" x14ac:dyDescent="0.3">
      <c r="A1283" t="s">
        <v>133</v>
      </c>
      <c r="B1283" s="3">
        <v>0.98023201769434165</v>
      </c>
      <c r="C1283" t="s">
        <v>106</v>
      </c>
      <c r="D1283" t="s">
        <v>16</v>
      </c>
    </row>
    <row r="1284" spans="1:4" x14ac:dyDescent="0.3">
      <c r="A1284" t="s">
        <v>133</v>
      </c>
      <c r="B1284" s="3">
        <v>0.93550142897776778</v>
      </c>
      <c r="C1284" t="s">
        <v>107</v>
      </c>
      <c r="D1284" t="s">
        <v>16</v>
      </c>
    </row>
    <row r="1285" spans="1:4" x14ac:dyDescent="0.3">
      <c r="A1285" t="s">
        <v>133</v>
      </c>
      <c r="B1285" s="3">
        <v>0.95642678498193001</v>
      </c>
      <c r="C1285" t="s">
        <v>108</v>
      </c>
      <c r="D1285" t="s">
        <v>16</v>
      </c>
    </row>
    <row r="1286" spans="1:4" x14ac:dyDescent="0.3">
      <c r="A1286" t="s">
        <v>133</v>
      </c>
      <c r="B1286" s="3">
        <v>0.88661845915136739</v>
      </c>
      <c r="C1286" t="s">
        <v>109</v>
      </c>
      <c r="D1286" t="s">
        <v>8</v>
      </c>
    </row>
    <row r="1287" spans="1:4" x14ac:dyDescent="0.3">
      <c r="A1287" t="s">
        <v>133</v>
      </c>
      <c r="B1287" s="3">
        <v>0.92807157538892482</v>
      </c>
      <c r="C1287" t="s">
        <v>110</v>
      </c>
    </row>
    <row r="1288" spans="1:4" x14ac:dyDescent="0.3">
      <c r="A1288" t="s">
        <v>133</v>
      </c>
      <c r="B1288" s="3">
        <v>0.7700348764940731</v>
      </c>
      <c r="C1288" t="s">
        <v>110</v>
      </c>
      <c r="D1288" t="s">
        <v>6</v>
      </c>
    </row>
    <row r="1289" spans="1:4" x14ac:dyDescent="0.3">
      <c r="A1289" t="s">
        <v>133</v>
      </c>
      <c r="B1289" s="3">
        <v>0.82294296485585383</v>
      </c>
      <c r="C1289" t="s">
        <v>111</v>
      </c>
      <c r="D1289" t="s">
        <v>13</v>
      </c>
    </row>
    <row r="1290" spans="1:4" x14ac:dyDescent="0.3">
      <c r="A1290" t="s">
        <v>133</v>
      </c>
      <c r="B1290" s="3">
        <v>0.84071547539147673</v>
      </c>
      <c r="C1290" t="s">
        <v>112</v>
      </c>
      <c r="D1290" t="s">
        <v>6</v>
      </c>
    </row>
    <row r="1291" spans="1:4" x14ac:dyDescent="0.3">
      <c r="A1291" t="s">
        <v>133</v>
      </c>
      <c r="B1291" s="3">
        <v>1</v>
      </c>
      <c r="C1291" t="s">
        <v>113</v>
      </c>
    </row>
    <row r="1292" spans="1:4" x14ac:dyDescent="0.3">
      <c r="A1292" t="s">
        <v>133</v>
      </c>
      <c r="B1292" s="3">
        <v>0.95216863847636191</v>
      </c>
      <c r="C1292" t="s">
        <v>113</v>
      </c>
      <c r="D1292" t="s">
        <v>16</v>
      </c>
    </row>
    <row r="1293" spans="1:4" x14ac:dyDescent="0.3">
      <c r="A1293" t="s">
        <v>133</v>
      </c>
      <c r="B1293" s="3">
        <v>0.74327193278640857</v>
      </c>
      <c r="C1293" t="s">
        <v>114</v>
      </c>
      <c r="D1293" t="s">
        <v>16</v>
      </c>
    </row>
    <row r="1294" spans="1:4" x14ac:dyDescent="0.3">
      <c r="A1294" t="s">
        <v>133</v>
      </c>
      <c r="B1294" s="3">
        <v>0.87510046070802561</v>
      </c>
      <c r="C1294" t="s">
        <v>115</v>
      </c>
      <c r="D1294" t="s">
        <v>6</v>
      </c>
    </row>
    <row r="1295" spans="1:4" x14ac:dyDescent="0.3">
      <c r="A1295" t="s">
        <v>133</v>
      </c>
      <c r="B1295" s="3">
        <v>0.90866352114571991</v>
      </c>
      <c r="C1295" t="s">
        <v>116</v>
      </c>
      <c r="D1295" t="s">
        <v>16</v>
      </c>
    </row>
    <row r="1296" spans="1:4" x14ac:dyDescent="0.3">
      <c r="A1296" t="s">
        <v>133</v>
      </c>
      <c r="B1296" s="3">
        <v>0.31004545372615622</v>
      </c>
      <c r="C1296" t="s">
        <v>117</v>
      </c>
      <c r="D1296" t="s">
        <v>13</v>
      </c>
    </row>
    <row r="1297" spans="1:4" x14ac:dyDescent="0.3">
      <c r="A1297" t="s">
        <v>133</v>
      </c>
      <c r="B1297" s="3">
        <v>0.86072277517337004</v>
      </c>
      <c r="C1297" t="s">
        <v>118</v>
      </c>
    </row>
    <row r="1298" spans="1:4" x14ac:dyDescent="0.3">
      <c r="A1298" t="s">
        <v>133</v>
      </c>
      <c r="B1298" s="3">
        <v>0.94617921461775978</v>
      </c>
      <c r="C1298" t="s">
        <v>118</v>
      </c>
      <c r="D1298" t="s">
        <v>16</v>
      </c>
    </row>
    <row r="1299" spans="1:4" x14ac:dyDescent="0.3">
      <c r="A1299" t="s">
        <v>133</v>
      </c>
      <c r="B1299" s="3">
        <v>0.9586059062146014</v>
      </c>
      <c r="C1299" t="s">
        <v>118</v>
      </c>
      <c r="D1299" t="s">
        <v>13</v>
      </c>
    </row>
    <row r="1300" spans="1:4" x14ac:dyDescent="0.3">
      <c r="A1300" t="s">
        <v>133</v>
      </c>
      <c r="B1300" s="3">
        <v>0.78901665621424055</v>
      </c>
      <c r="C1300" t="s">
        <v>119</v>
      </c>
      <c r="D1300" t="s">
        <v>8</v>
      </c>
    </row>
    <row r="1301" spans="1:4" x14ac:dyDescent="0.3">
      <c r="A1301" t="s">
        <v>133</v>
      </c>
      <c r="B1301" s="3">
        <v>0.39983953052121995</v>
      </c>
      <c r="C1301" t="s">
        <v>120</v>
      </c>
      <c r="D1301" t="s">
        <v>14</v>
      </c>
    </row>
    <row r="1302" spans="1:4" x14ac:dyDescent="0.3">
      <c r="A1302" t="s">
        <v>133</v>
      </c>
      <c r="B1302" s="3">
        <v>0.85018146225760571</v>
      </c>
      <c r="C1302" t="s">
        <v>121</v>
      </c>
      <c r="D1302" t="s">
        <v>16</v>
      </c>
    </row>
    <row r="1303" spans="1:4" x14ac:dyDescent="0.3">
      <c r="A1303" t="s">
        <v>133</v>
      </c>
      <c r="B1303" s="3">
        <v>0.93516345185532457</v>
      </c>
      <c r="C1303" t="s">
        <v>122</v>
      </c>
      <c r="D1303" t="s">
        <v>16</v>
      </c>
    </row>
    <row r="1304" spans="1:4" x14ac:dyDescent="0.3">
      <c r="A1304" t="s">
        <v>133</v>
      </c>
      <c r="B1304" s="3">
        <v>0.97599693151927081</v>
      </c>
      <c r="C1304" t="s">
        <v>123</v>
      </c>
      <c r="D1304" t="s">
        <v>16</v>
      </c>
    </row>
    <row r="1305" spans="1:4" x14ac:dyDescent="0.3">
      <c r="A1305" t="s">
        <v>133</v>
      </c>
      <c r="B1305" s="3">
        <v>0.95510075032790365</v>
      </c>
      <c r="C1305" t="s">
        <v>124</v>
      </c>
      <c r="D1305" t="s">
        <v>6</v>
      </c>
    </row>
    <row r="1306" spans="1:4" x14ac:dyDescent="0.3">
      <c r="A1306" t="s">
        <v>133</v>
      </c>
      <c r="B1306" s="3">
        <v>0.87727134301001097</v>
      </c>
      <c r="C1306" t="s">
        <v>125</v>
      </c>
      <c r="D1306" t="s">
        <v>14</v>
      </c>
    </row>
    <row r="1307" spans="1:4" x14ac:dyDescent="0.3">
      <c r="A1307" t="s">
        <v>133</v>
      </c>
      <c r="B1307" s="3">
        <v>0.96602453855430614</v>
      </c>
      <c r="C1307" t="s">
        <v>126</v>
      </c>
      <c r="D1307" t="s">
        <v>10</v>
      </c>
    </row>
    <row r="1308" spans="1:4" x14ac:dyDescent="0.3">
      <c r="A1308" t="s">
        <v>133</v>
      </c>
      <c r="B1308" s="3">
        <v>0.73106275600350201</v>
      </c>
      <c r="C1308" t="s">
        <v>126</v>
      </c>
      <c r="D1308" t="s">
        <v>8</v>
      </c>
    </row>
    <row r="1309" spans="1:4" x14ac:dyDescent="0.3">
      <c r="A1309" t="s">
        <v>133</v>
      </c>
      <c r="B1309" s="3">
        <v>0.96866138269669233</v>
      </c>
      <c r="C1309" t="s">
        <v>126</v>
      </c>
      <c r="D1309" t="s">
        <v>13</v>
      </c>
    </row>
    <row r="1310" spans="1:4" x14ac:dyDescent="0.3">
      <c r="A1310" t="s">
        <v>135</v>
      </c>
      <c r="B1310" s="3">
        <v>0.90767921388398742</v>
      </c>
      <c r="C1310" t="s">
        <v>5</v>
      </c>
      <c r="D1310" t="s">
        <v>6</v>
      </c>
    </row>
    <row r="1311" spans="1:4" x14ac:dyDescent="0.3">
      <c r="A1311" t="s">
        <v>135</v>
      </c>
      <c r="B1311" s="3">
        <v>0.9251151388890394</v>
      </c>
      <c r="C1311" t="s">
        <v>7</v>
      </c>
      <c r="D1311" t="s">
        <v>8</v>
      </c>
    </row>
    <row r="1312" spans="1:4" x14ac:dyDescent="0.3">
      <c r="A1312" t="s">
        <v>135</v>
      </c>
      <c r="B1312" s="3">
        <v>0.94061208508620031</v>
      </c>
      <c r="C1312" t="s">
        <v>9</v>
      </c>
      <c r="D1312" t="s">
        <v>6</v>
      </c>
    </row>
    <row r="1313" spans="1:4" x14ac:dyDescent="0.3">
      <c r="A1313" t="s">
        <v>135</v>
      </c>
      <c r="B1313" s="3">
        <v>0.97980200647954896</v>
      </c>
      <c r="C1313" t="s">
        <v>9</v>
      </c>
      <c r="D1313" t="s">
        <v>10</v>
      </c>
    </row>
    <row r="1314" spans="1:4" x14ac:dyDescent="0.3">
      <c r="A1314" t="s">
        <v>135</v>
      </c>
      <c r="B1314" s="3">
        <v>0.90057679703622162</v>
      </c>
      <c r="C1314" t="s">
        <v>9</v>
      </c>
      <c r="D1314" t="s">
        <v>8</v>
      </c>
    </row>
    <row r="1315" spans="1:4" x14ac:dyDescent="0.3">
      <c r="A1315" t="s">
        <v>135</v>
      </c>
      <c r="B1315" s="3">
        <v>0.60934292922432942</v>
      </c>
      <c r="C1315" t="s">
        <v>11</v>
      </c>
      <c r="D1315" t="s">
        <v>8</v>
      </c>
    </row>
    <row r="1316" spans="1:4" x14ac:dyDescent="0.3">
      <c r="A1316" t="s">
        <v>135</v>
      </c>
      <c r="B1316" s="3">
        <v>0.15517035850483371</v>
      </c>
      <c r="C1316" t="s">
        <v>12</v>
      </c>
      <c r="D1316" t="s">
        <v>6</v>
      </c>
    </row>
    <row r="1317" spans="1:4" x14ac:dyDescent="0.3">
      <c r="A1317" t="s">
        <v>135</v>
      </c>
      <c r="B1317" s="3">
        <v>0.19617437614325828</v>
      </c>
      <c r="C1317" t="s">
        <v>12</v>
      </c>
      <c r="D1317" t="s">
        <v>10</v>
      </c>
    </row>
    <row r="1318" spans="1:4" x14ac:dyDescent="0.3">
      <c r="A1318" t="s">
        <v>135</v>
      </c>
      <c r="B1318" s="3">
        <v>0.17182509299464213</v>
      </c>
      <c r="C1318" t="s">
        <v>12</v>
      </c>
      <c r="D1318" t="s">
        <v>8</v>
      </c>
    </row>
    <row r="1319" spans="1:4" x14ac:dyDescent="0.3">
      <c r="A1319" t="s">
        <v>135</v>
      </c>
      <c r="B1319" s="3">
        <v>0.40706225404141161</v>
      </c>
      <c r="C1319" t="s">
        <v>12</v>
      </c>
      <c r="D1319" t="s">
        <v>13</v>
      </c>
    </row>
    <row r="1320" spans="1:4" x14ac:dyDescent="0.3">
      <c r="A1320" t="s">
        <v>135</v>
      </c>
      <c r="B1320" s="3">
        <v>0.27795079665498273</v>
      </c>
      <c r="C1320" t="s">
        <v>12</v>
      </c>
      <c r="D1320" t="s">
        <v>14</v>
      </c>
    </row>
    <row r="1321" spans="1:4" x14ac:dyDescent="0.3">
      <c r="A1321" t="s">
        <v>135</v>
      </c>
      <c r="B1321" s="3">
        <v>1</v>
      </c>
      <c r="C1321" t="s">
        <v>15</v>
      </c>
    </row>
    <row r="1322" spans="1:4" x14ac:dyDescent="0.3">
      <c r="A1322" t="s">
        <v>135</v>
      </c>
      <c r="B1322" s="3">
        <v>0.94003916670551524</v>
      </c>
      <c r="C1322" t="s">
        <v>15</v>
      </c>
      <c r="D1322" t="s">
        <v>16</v>
      </c>
    </row>
    <row r="1323" spans="1:4" x14ac:dyDescent="0.3">
      <c r="A1323" t="s">
        <v>135</v>
      </c>
      <c r="B1323" s="3">
        <v>0.97789996634714049</v>
      </c>
      <c r="C1323" t="s">
        <v>15</v>
      </c>
      <c r="D1323" t="s">
        <v>13</v>
      </c>
    </row>
    <row r="1324" spans="1:4" x14ac:dyDescent="0.3">
      <c r="A1324" t="s">
        <v>135</v>
      </c>
      <c r="B1324" s="3">
        <v>0.97393100684793188</v>
      </c>
      <c r="C1324" t="s">
        <v>17</v>
      </c>
      <c r="D1324" t="s">
        <v>16</v>
      </c>
    </row>
    <row r="1325" spans="1:4" x14ac:dyDescent="0.3">
      <c r="A1325" t="s">
        <v>135</v>
      </c>
      <c r="B1325" s="3">
        <v>0.99569731349159007</v>
      </c>
      <c r="C1325" t="s">
        <v>17</v>
      </c>
      <c r="D1325" t="s">
        <v>8</v>
      </c>
    </row>
    <row r="1326" spans="1:4" x14ac:dyDescent="0.3">
      <c r="A1326" t="s">
        <v>135</v>
      </c>
      <c r="B1326" s="3">
        <v>0.98110762437324561</v>
      </c>
      <c r="C1326" t="s">
        <v>17</v>
      </c>
      <c r="D1326" t="s">
        <v>13</v>
      </c>
    </row>
    <row r="1327" spans="1:4" x14ac:dyDescent="0.3">
      <c r="A1327" t="s">
        <v>135</v>
      </c>
      <c r="B1327" s="3">
        <v>0.9426877059447254</v>
      </c>
      <c r="C1327" t="s">
        <v>18</v>
      </c>
      <c r="D1327" t="s">
        <v>10</v>
      </c>
    </row>
    <row r="1328" spans="1:4" x14ac:dyDescent="0.3">
      <c r="A1328" t="s">
        <v>135</v>
      </c>
      <c r="B1328" s="3">
        <v>0.85312977652500133</v>
      </c>
      <c r="C1328" t="s">
        <v>18</v>
      </c>
      <c r="D1328" t="s">
        <v>8</v>
      </c>
    </row>
    <row r="1329" spans="1:4" x14ac:dyDescent="0.3">
      <c r="A1329" t="s">
        <v>135</v>
      </c>
      <c r="B1329" s="3">
        <v>0.95115183311979734</v>
      </c>
      <c r="C1329" t="s">
        <v>19</v>
      </c>
      <c r="D1329" t="s">
        <v>10</v>
      </c>
    </row>
    <row r="1330" spans="1:4" x14ac:dyDescent="0.3">
      <c r="A1330" t="s">
        <v>135</v>
      </c>
      <c r="B1330" s="3">
        <v>0.94685592522655415</v>
      </c>
      <c r="C1330" t="s">
        <v>20</v>
      </c>
      <c r="D1330" t="s">
        <v>8</v>
      </c>
    </row>
    <row r="1331" spans="1:4" x14ac:dyDescent="0.3">
      <c r="A1331" t="s">
        <v>135</v>
      </c>
      <c r="B1331" s="3">
        <v>0.77067343817818013</v>
      </c>
      <c r="C1331" t="s">
        <v>134</v>
      </c>
      <c r="D1331" t="s">
        <v>16</v>
      </c>
    </row>
    <row r="1332" spans="1:4" x14ac:dyDescent="0.3">
      <c r="A1332" t="s">
        <v>135</v>
      </c>
      <c r="B1332" s="3">
        <v>0.47249103255135905</v>
      </c>
      <c r="C1332" t="s">
        <v>21</v>
      </c>
      <c r="D1332" t="s">
        <v>6</v>
      </c>
    </row>
    <row r="1333" spans="1:4" x14ac:dyDescent="0.3">
      <c r="A1333" t="s">
        <v>135</v>
      </c>
      <c r="B1333" s="3">
        <v>0.67063132919624924</v>
      </c>
      <c r="C1333" t="s">
        <v>21</v>
      </c>
      <c r="D1333" t="s">
        <v>10</v>
      </c>
    </row>
    <row r="1334" spans="1:4" x14ac:dyDescent="0.3">
      <c r="A1334" t="s">
        <v>135</v>
      </c>
      <c r="B1334" s="3">
        <v>0.89981005393692282</v>
      </c>
      <c r="C1334" t="s">
        <v>22</v>
      </c>
      <c r="D1334" t="s">
        <v>10</v>
      </c>
    </row>
    <row r="1335" spans="1:4" x14ac:dyDescent="0.3">
      <c r="A1335" t="s">
        <v>135</v>
      </c>
      <c r="B1335" s="3">
        <v>0.52569316757615725</v>
      </c>
      <c r="C1335" t="s">
        <v>23</v>
      </c>
      <c r="D1335" t="s">
        <v>13</v>
      </c>
    </row>
    <row r="1336" spans="1:4" x14ac:dyDescent="0.3">
      <c r="A1336" t="s">
        <v>135</v>
      </c>
      <c r="B1336" s="3">
        <v>0.3398530830558148</v>
      </c>
      <c r="C1336" t="s">
        <v>24</v>
      </c>
    </row>
    <row r="1337" spans="1:4" x14ac:dyDescent="0.3">
      <c r="A1337" t="s">
        <v>135</v>
      </c>
      <c r="B1337" s="3">
        <v>0.72839930475146053</v>
      </c>
      <c r="C1337" t="s">
        <v>24</v>
      </c>
      <c r="D1337" t="s">
        <v>6</v>
      </c>
    </row>
    <row r="1338" spans="1:4" x14ac:dyDescent="0.3">
      <c r="A1338" t="s">
        <v>135</v>
      </c>
      <c r="B1338" s="3">
        <v>0.91527039058776383</v>
      </c>
      <c r="C1338" t="s">
        <v>25</v>
      </c>
    </row>
    <row r="1339" spans="1:4" x14ac:dyDescent="0.3">
      <c r="A1339" t="s">
        <v>135</v>
      </c>
      <c r="B1339" s="3">
        <v>0.87689986149138022</v>
      </c>
      <c r="C1339" t="s">
        <v>25</v>
      </c>
      <c r="D1339" t="s">
        <v>16</v>
      </c>
    </row>
    <row r="1340" spans="1:4" x14ac:dyDescent="0.3">
      <c r="A1340" t="s">
        <v>135</v>
      </c>
      <c r="B1340" s="3">
        <v>0.57263844937492347</v>
      </c>
      <c r="C1340" t="s">
        <v>26</v>
      </c>
      <c r="D1340" t="s">
        <v>6</v>
      </c>
    </row>
    <row r="1341" spans="1:4" x14ac:dyDescent="0.3">
      <c r="A1341" t="s">
        <v>135</v>
      </c>
      <c r="B1341" s="3">
        <v>0.85290031540838862</v>
      </c>
      <c r="C1341" t="s">
        <v>27</v>
      </c>
      <c r="D1341" t="s">
        <v>14</v>
      </c>
    </row>
    <row r="1342" spans="1:4" x14ac:dyDescent="0.3">
      <c r="A1342" t="s">
        <v>135</v>
      </c>
      <c r="B1342" s="3">
        <v>0.95028530662769362</v>
      </c>
      <c r="C1342" t="s">
        <v>28</v>
      </c>
      <c r="D1342" t="s">
        <v>8</v>
      </c>
    </row>
    <row r="1343" spans="1:4" x14ac:dyDescent="0.3">
      <c r="A1343" t="s">
        <v>135</v>
      </c>
      <c r="B1343" s="3">
        <v>0.97282365737346632</v>
      </c>
      <c r="C1343" t="s">
        <v>28</v>
      </c>
      <c r="D1343" t="s">
        <v>14</v>
      </c>
    </row>
    <row r="1344" spans="1:4" x14ac:dyDescent="0.3">
      <c r="A1344" t="s">
        <v>135</v>
      </c>
      <c r="B1344" s="3">
        <v>0.98064123621804855</v>
      </c>
      <c r="C1344" t="s">
        <v>29</v>
      </c>
      <c r="D1344" t="s">
        <v>6</v>
      </c>
    </row>
    <row r="1345" spans="1:4" x14ac:dyDescent="0.3">
      <c r="A1345" t="s">
        <v>135</v>
      </c>
      <c r="B1345" s="3">
        <v>0.98696088952493333</v>
      </c>
      <c r="C1345" t="s">
        <v>29</v>
      </c>
      <c r="D1345" t="s">
        <v>10</v>
      </c>
    </row>
    <row r="1346" spans="1:4" x14ac:dyDescent="0.3">
      <c r="A1346" t="s">
        <v>135</v>
      </c>
      <c r="B1346" s="3">
        <v>0.97577278045636351</v>
      </c>
      <c r="C1346" t="s">
        <v>29</v>
      </c>
      <c r="D1346" t="s">
        <v>8</v>
      </c>
    </row>
    <row r="1347" spans="1:4" x14ac:dyDescent="0.3">
      <c r="A1347" t="s">
        <v>135</v>
      </c>
      <c r="B1347" s="3">
        <v>0.99061301918567757</v>
      </c>
      <c r="C1347" t="s">
        <v>29</v>
      </c>
      <c r="D1347" t="s">
        <v>13</v>
      </c>
    </row>
    <row r="1348" spans="1:4" x14ac:dyDescent="0.3">
      <c r="A1348" t="s">
        <v>135</v>
      </c>
      <c r="B1348" s="3">
        <v>0.97863792613511158</v>
      </c>
      <c r="C1348" t="s">
        <v>29</v>
      </c>
      <c r="D1348" t="s">
        <v>14</v>
      </c>
    </row>
    <row r="1349" spans="1:4" x14ac:dyDescent="0.3">
      <c r="A1349" t="s">
        <v>135</v>
      </c>
      <c r="B1349" s="3">
        <v>0.79251530012129412</v>
      </c>
      <c r="C1349" t="s">
        <v>30</v>
      </c>
      <c r="D1349" t="s">
        <v>6</v>
      </c>
    </row>
    <row r="1350" spans="1:4" x14ac:dyDescent="0.3">
      <c r="A1350" t="s">
        <v>135</v>
      </c>
      <c r="B1350" s="3">
        <v>0.1885402656882719</v>
      </c>
      <c r="C1350" t="s">
        <v>132</v>
      </c>
      <c r="D1350" t="s">
        <v>6</v>
      </c>
    </row>
    <row r="1351" spans="1:4" x14ac:dyDescent="0.3">
      <c r="A1351" t="s">
        <v>135</v>
      </c>
      <c r="B1351" s="3">
        <v>0.51887659641929051</v>
      </c>
      <c r="C1351" t="s">
        <v>31</v>
      </c>
      <c r="D1351" t="s">
        <v>13</v>
      </c>
    </row>
    <row r="1352" spans="1:4" x14ac:dyDescent="0.3">
      <c r="A1352" t="s">
        <v>135</v>
      </c>
      <c r="B1352" s="3">
        <v>0.98449615949268365</v>
      </c>
      <c r="C1352" t="s">
        <v>32</v>
      </c>
    </row>
    <row r="1353" spans="1:4" x14ac:dyDescent="0.3">
      <c r="A1353" t="s">
        <v>135</v>
      </c>
      <c r="B1353" s="3">
        <v>0.32355702318228891</v>
      </c>
      <c r="C1353" t="s">
        <v>32</v>
      </c>
      <c r="D1353" t="s">
        <v>6</v>
      </c>
    </row>
    <row r="1354" spans="1:4" x14ac:dyDescent="0.3">
      <c r="A1354" t="s">
        <v>135</v>
      </c>
      <c r="B1354" s="3">
        <v>0.94575917869157944</v>
      </c>
      <c r="C1354" t="s">
        <v>32</v>
      </c>
      <c r="D1354" t="s">
        <v>16</v>
      </c>
    </row>
    <row r="1355" spans="1:4" x14ac:dyDescent="0.3">
      <c r="A1355" t="s">
        <v>135</v>
      </c>
      <c r="B1355" s="3">
        <v>0.95120230164560937</v>
      </c>
      <c r="C1355" t="s">
        <v>32</v>
      </c>
      <c r="D1355" t="s">
        <v>13</v>
      </c>
    </row>
    <row r="1356" spans="1:4" x14ac:dyDescent="0.3">
      <c r="A1356" t="s">
        <v>135</v>
      </c>
      <c r="B1356" s="3">
        <v>0.9535501477324847</v>
      </c>
      <c r="C1356" t="s">
        <v>34</v>
      </c>
    </row>
    <row r="1357" spans="1:4" x14ac:dyDescent="0.3">
      <c r="A1357" t="s">
        <v>135</v>
      </c>
      <c r="B1357" s="3">
        <v>0.93811297308078212</v>
      </c>
      <c r="C1357" t="s">
        <v>34</v>
      </c>
      <c r="D1357" t="s">
        <v>16</v>
      </c>
    </row>
    <row r="1358" spans="1:4" x14ac:dyDescent="0.3">
      <c r="A1358" t="s">
        <v>135</v>
      </c>
      <c r="B1358" s="3">
        <v>0.80030803493231506</v>
      </c>
      <c r="C1358" t="s">
        <v>35</v>
      </c>
      <c r="D1358" t="s">
        <v>16</v>
      </c>
    </row>
    <row r="1359" spans="1:4" x14ac:dyDescent="0.3">
      <c r="A1359" t="s">
        <v>135</v>
      </c>
      <c r="B1359" s="3">
        <v>0.9329894906372892</v>
      </c>
      <c r="C1359" t="s">
        <v>36</v>
      </c>
      <c r="D1359" t="s">
        <v>13</v>
      </c>
    </row>
    <row r="1360" spans="1:4" x14ac:dyDescent="0.3">
      <c r="A1360" t="s">
        <v>135</v>
      </c>
      <c r="B1360" s="3">
        <v>0.88593126088943508</v>
      </c>
      <c r="C1360" t="s">
        <v>37</v>
      </c>
      <c r="D1360" t="s">
        <v>10</v>
      </c>
    </row>
    <row r="1361" spans="1:4" x14ac:dyDescent="0.3">
      <c r="A1361" t="s">
        <v>135</v>
      </c>
      <c r="B1361" s="3">
        <v>0.90266530124242816</v>
      </c>
      <c r="C1361" t="s">
        <v>38</v>
      </c>
    </row>
    <row r="1362" spans="1:4" x14ac:dyDescent="0.3">
      <c r="A1362" t="s">
        <v>135</v>
      </c>
      <c r="B1362" s="3">
        <v>0.82989178568089772</v>
      </c>
      <c r="C1362" t="s">
        <v>38</v>
      </c>
      <c r="D1362" t="s">
        <v>14</v>
      </c>
    </row>
    <row r="1363" spans="1:4" x14ac:dyDescent="0.3">
      <c r="A1363" t="s">
        <v>135</v>
      </c>
      <c r="B1363" s="3">
        <v>0.95386596606433538</v>
      </c>
      <c r="C1363" t="s">
        <v>39</v>
      </c>
      <c r="D1363" t="s">
        <v>6</v>
      </c>
    </row>
    <row r="1364" spans="1:4" x14ac:dyDescent="0.3">
      <c r="A1364" t="s">
        <v>135</v>
      </c>
      <c r="B1364" s="3">
        <v>0.94713372809841956</v>
      </c>
      <c r="C1364" t="s">
        <v>39</v>
      </c>
      <c r="D1364" t="s">
        <v>10</v>
      </c>
    </row>
    <row r="1365" spans="1:4" x14ac:dyDescent="0.3">
      <c r="A1365" t="s">
        <v>135</v>
      </c>
      <c r="B1365" s="3">
        <v>0.93529321848073232</v>
      </c>
      <c r="C1365" t="s">
        <v>39</v>
      </c>
      <c r="D1365" t="s">
        <v>8</v>
      </c>
    </row>
    <row r="1366" spans="1:4" x14ac:dyDescent="0.3">
      <c r="A1366" t="s">
        <v>135</v>
      </c>
      <c r="B1366" s="3">
        <v>0.71284942962661102</v>
      </c>
      <c r="C1366" t="s">
        <v>40</v>
      </c>
      <c r="D1366" t="s">
        <v>6</v>
      </c>
    </row>
    <row r="1367" spans="1:4" x14ac:dyDescent="0.3">
      <c r="A1367" t="s">
        <v>135</v>
      </c>
      <c r="B1367" s="3">
        <v>0.51520957540301793</v>
      </c>
      <c r="C1367" t="s">
        <v>41</v>
      </c>
    </row>
    <row r="1368" spans="1:4" x14ac:dyDescent="0.3">
      <c r="A1368" t="s">
        <v>135</v>
      </c>
      <c r="B1368" s="3">
        <v>0.38293321094931115</v>
      </c>
      <c r="C1368" t="s">
        <v>41</v>
      </c>
      <c r="D1368" t="s">
        <v>8</v>
      </c>
    </row>
    <row r="1369" spans="1:4" x14ac:dyDescent="0.3">
      <c r="A1369" t="s">
        <v>135</v>
      </c>
      <c r="B1369" s="3">
        <v>0.98483265986018842</v>
      </c>
      <c r="C1369" t="s">
        <v>42</v>
      </c>
      <c r="D1369" t="s">
        <v>10</v>
      </c>
    </row>
    <row r="1370" spans="1:4" x14ac:dyDescent="0.3">
      <c r="A1370" t="s">
        <v>135</v>
      </c>
      <c r="B1370" s="3">
        <v>0.99516851108759008</v>
      </c>
      <c r="C1370" t="s">
        <v>42</v>
      </c>
      <c r="D1370" t="s">
        <v>8</v>
      </c>
    </row>
    <row r="1371" spans="1:4" x14ac:dyDescent="0.3">
      <c r="A1371" t="s">
        <v>135</v>
      </c>
      <c r="B1371" s="3">
        <v>0.85969566180528112</v>
      </c>
      <c r="C1371" t="s">
        <v>43</v>
      </c>
      <c r="D1371" t="s">
        <v>10</v>
      </c>
    </row>
    <row r="1372" spans="1:4" x14ac:dyDescent="0.3">
      <c r="A1372" t="s">
        <v>135</v>
      </c>
      <c r="B1372" s="3">
        <v>0.96602398058092609</v>
      </c>
      <c r="C1372" t="s">
        <v>44</v>
      </c>
      <c r="D1372" t="s">
        <v>6</v>
      </c>
    </row>
    <row r="1373" spans="1:4" x14ac:dyDescent="0.3">
      <c r="A1373" t="s">
        <v>135</v>
      </c>
      <c r="B1373" s="3">
        <v>0.96017007442331426</v>
      </c>
      <c r="C1373" t="s">
        <v>44</v>
      </c>
      <c r="D1373" t="s">
        <v>14</v>
      </c>
    </row>
    <row r="1374" spans="1:4" x14ac:dyDescent="0.3">
      <c r="A1374" t="s">
        <v>135</v>
      </c>
      <c r="B1374" s="3">
        <v>0.54556338030155593</v>
      </c>
      <c r="C1374" t="s">
        <v>45</v>
      </c>
      <c r="D1374" t="s">
        <v>8</v>
      </c>
    </row>
    <row r="1375" spans="1:4" x14ac:dyDescent="0.3">
      <c r="A1375" t="s">
        <v>135</v>
      </c>
      <c r="B1375" s="3">
        <v>0.32385436944303353</v>
      </c>
      <c r="C1375" t="s">
        <v>46</v>
      </c>
      <c r="D1375" t="s">
        <v>10</v>
      </c>
    </row>
    <row r="1376" spans="1:4" x14ac:dyDescent="0.3">
      <c r="A1376" t="s">
        <v>135</v>
      </c>
      <c r="B1376" s="3">
        <v>0.97349430853273045</v>
      </c>
      <c r="C1376" t="s">
        <v>47</v>
      </c>
      <c r="D1376" t="s">
        <v>10</v>
      </c>
    </row>
    <row r="1377" spans="1:4" x14ac:dyDescent="0.3">
      <c r="A1377" t="s">
        <v>135</v>
      </c>
      <c r="B1377" s="3">
        <v>0.97184376731378863</v>
      </c>
      <c r="C1377" t="s">
        <v>47</v>
      </c>
      <c r="D1377" t="s">
        <v>8</v>
      </c>
    </row>
    <row r="1378" spans="1:4" x14ac:dyDescent="0.3">
      <c r="A1378" t="s">
        <v>135</v>
      </c>
      <c r="B1378" s="3">
        <v>0.97713954075521536</v>
      </c>
      <c r="C1378" t="s">
        <v>47</v>
      </c>
      <c r="D1378" t="s">
        <v>14</v>
      </c>
    </row>
    <row r="1379" spans="1:4" x14ac:dyDescent="0.3">
      <c r="A1379" t="s">
        <v>135</v>
      </c>
      <c r="B1379" s="3">
        <v>0.82458087453931594</v>
      </c>
      <c r="C1379" t="s">
        <v>48</v>
      </c>
      <c r="D1379" t="s">
        <v>6</v>
      </c>
    </row>
    <row r="1380" spans="1:4" x14ac:dyDescent="0.3">
      <c r="A1380" t="s">
        <v>135</v>
      </c>
      <c r="B1380" s="3">
        <v>0.78980623263839167</v>
      </c>
      <c r="C1380" t="s">
        <v>48</v>
      </c>
      <c r="D1380" t="s">
        <v>10</v>
      </c>
    </row>
    <row r="1381" spans="1:4" x14ac:dyDescent="0.3">
      <c r="A1381" t="s">
        <v>135</v>
      </c>
      <c r="B1381" s="3">
        <v>0.77798823524967375</v>
      </c>
      <c r="C1381" t="s">
        <v>48</v>
      </c>
      <c r="D1381" t="s">
        <v>14</v>
      </c>
    </row>
    <row r="1382" spans="1:4" x14ac:dyDescent="0.3">
      <c r="A1382" t="s">
        <v>135</v>
      </c>
      <c r="B1382" s="3">
        <v>0.6787316508036052</v>
      </c>
      <c r="C1382" t="s">
        <v>49</v>
      </c>
    </row>
    <row r="1383" spans="1:4" x14ac:dyDescent="0.3">
      <c r="A1383" t="s">
        <v>135</v>
      </c>
      <c r="B1383" s="3">
        <v>0.87654717139589111</v>
      </c>
      <c r="C1383" t="s">
        <v>49</v>
      </c>
      <c r="D1383" t="s">
        <v>16</v>
      </c>
    </row>
    <row r="1384" spans="1:4" x14ac:dyDescent="0.3">
      <c r="A1384" t="s">
        <v>135</v>
      </c>
      <c r="B1384" s="3">
        <v>0.83754469204897464</v>
      </c>
      <c r="C1384" t="s">
        <v>50</v>
      </c>
      <c r="D1384" t="s">
        <v>10</v>
      </c>
    </row>
    <row r="1385" spans="1:4" x14ac:dyDescent="0.3">
      <c r="A1385" t="s">
        <v>135</v>
      </c>
      <c r="B1385" s="3">
        <v>0.83656443619647225</v>
      </c>
      <c r="C1385" t="s">
        <v>50</v>
      </c>
      <c r="D1385" t="s">
        <v>14</v>
      </c>
    </row>
    <row r="1386" spans="1:4" x14ac:dyDescent="0.3">
      <c r="A1386" t="s">
        <v>135</v>
      </c>
      <c r="B1386" s="3">
        <v>0.9945645924442934</v>
      </c>
      <c r="C1386" t="s">
        <v>51</v>
      </c>
      <c r="D1386" t="s">
        <v>8</v>
      </c>
    </row>
    <row r="1387" spans="1:4" x14ac:dyDescent="0.3">
      <c r="A1387" t="s">
        <v>135</v>
      </c>
      <c r="B1387" s="3">
        <v>0.68165811771560514</v>
      </c>
      <c r="C1387" t="s">
        <v>52</v>
      </c>
      <c r="D1387" t="s">
        <v>6</v>
      </c>
    </row>
    <row r="1388" spans="1:4" x14ac:dyDescent="0.3">
      <c r="A1388" t="s">
        <v>135</v>
      </c>
      <c r="B1388" s="3">
        <v>0.46447656604832976</v>
      </c>
      <c r="C1388" t="s">
        <v>52</v>
      </c>
      <c r="D1388" t="s">
        <v>8</v>
      </c>
    </row>
    <row r="1389" spans="1:4" x14ac:dyDescent="0.3">
      <c r="A1389" t="s">
        <v>135</v>
      </c>
      <c r="B1389" s="3">
        <v>0.78726080657083586</v>
      </c>
      <c r="C1389" t="s">
        <v>52</v>
      </c>
      <c r="D1389" t="s">
        <v>13</v>
      </c>
    </row>
    <row r="1390" spans="1:4" x14ac:dyDescent="0.3">
      <c r="A1390" t="s">
        <v>135</v>
      </c>
      <c r="B1390" s="3">
        <v>0.85746131872805564</v>
      </c>
      <c r="C1390" t="s">
        <v>53</v>
      </c>
      <c r="D1390" t="s">
        <v>8</v>
      </c>
    </row>
    <row r="1391" spans="1:4" x14ac:dyDescent="0.3">
      <c r="A1391" t="s">
        <v>135</v>
      </c>
      <c r="B1391" s="3">
        <v>0.84914866360971686</v>
      </c>
      <c r="C1391" t="s">
        <v>54</v>
      </c>
    </row>
    <row r="1392" spans="1:4" x14ac:dyDescent="0.3">
      <c r="A1392" t="s">
        <v>135</v>
      </c>
      <c r="B1392" s="3">
        <v>0.90198308657360249</v>
      </c>
      <c r="C1392" t="s">
        <v>54</v>
      </c>
      <c r="D1392" t="s">
        <v>16</v>
      </c>
    </row>
    <row r="1393" spans="1:4" x14ac:dyDescent="0.3">
      <c r="A1393" t="s">
        <v>135</v>
      </c>
      <c r="B1393" s="3">
        <v>0.83570108433111323</v>
      </c>
      <c r="C1393" t="s">
        <v>54</v>
      </c>
      <c r="D1393" t="s">
        <v>10</v>
      </c>
    </row>
    <row r="1394" spans="1:4" x14ac:dyDescent="0.3">
      <c r="A1394" t="s">
        <v>135</v>
      </c>
      <c r="B1394" s="3">
        <v>0.75220071946233569</v>
      </c>
      <c r="C1394" t="s">
        <v>54</v>
      </c>
      <c r="D1394" t="s">
        <v>13</v>
      </c>
    </row>
    <row r="1395" spans="1:4" x14ac:dyDescent="0.3">
      <c r="A1395" t="s">
        <v>135</v>
      </c>
      <c r="B1395" s="3">
        <v>0.55072333431308462</v>
      </c>
      <c r="C1395" t="s">
        <v>54</v>
      </c>
      <c r="D1395" t="s">
        <v>14</v>
      </c>
    </row>
    <row r="1396" spans="1:4" x14ac:dyDescent="0.3">
      <c r="A1396" t="s">
        <v>135</v>
      </c>
      <c r="B1396" s="3">
        <v>0.59564051217785885</v>
      </c>
      <c r="C1396" t="s">
        <v>55</v>
      </c>
      <c r="D1396" t="s">
        <v>6</v>
      </c>
    </row>
    <row r="1397" spans="1:4" x14ac:dyDescent="0.3">
      <c r="A1397" t="s">
        <v>135</v>
      </c>
      <c r="B1397" s="3">
        <v>0.84572346447535096</v>
      </c>
      <c r="C1397" t="s">
        <v>55</v>
      </c>
      <c r="D1397" t="s">
        <v>10</v>
      </c>
    </row>
    <row r="1398" spans="1:4" x14ac:dyDescent="0.3">
      <c r="A1398" t="s">
        <v>135</v>
      </c>
      <c r="B1398" s="3">
        <v>0.75039846044974756</v>
      </c>
      <c r="C1398" t="s">
        <v>55</v>
      </c>
      <c r="D1398" t="s">
        <v>8</v>
      </c>
    </row>
    <row r="1399" spans="1:4" x14ac:dyDescent="0.3">
      <c r="A1399" t="s">
        <v>135</v>
      </c>
      <c r="B1399" s="3">
        <v>0.67960807600154649</v>
      </c>
      <c r="C1399" t="s">
        <v>55</v>
      </c>
      <c r="D1399" t="s">
        <v>13</v>
      </c>
    </row>
    <row r="1400" spans="1:4" x14ac:dyDescent="0.3">
      <c r="A1400" t="s">
        <v>135</v>
      </c>
      <c r="B1400" s="3">
        <v>0.81410194041884065</v>
      </c>
      <c r="C1400" t="s">
        <v>55</v>
      </c>
      <c r="D1400" t="s">
        <v>14</v>
      </c>
    </row>
    <row r="1401" spans="1:4" x14ac:dyDescent="0.3">
      <c r="A1401" t="s">
        <v>135</v>
      </c>
      <c r="B1401" s="3">
        <v>0.95321555589208007</v>
      </c>
      <c r="C1401" t="s">
        <v>56</v>
      </c>
      <c r="D1401" t="s">
        <v>8</v>
      </c>
    </row>
    <row r="1402" spans="1:4" x14ac:dyDescent="0.3">
      <c r="A1402" t="s">
        <v>135</v>
      </c>
      <c r="B1402" s="3">
        <v>0.8558124769896579</v>
      </c>
      <c r="C1402" t="s">
        <v>57</v>
      </c>
      <c r="D1402" t="s">
        <v>16</v>
      </c>
    </row>
    <row r="1403" spans="1:4" x14ac:dyDescent="0.3">
      <c r="A1403" t="s">
        <v>135</v>
      </c>
      <c r="B1403" s="3">
        <v>0.81536789611172511</v>
      </c>
      <c r="C1403" t="s">
        <v>58</v>
      </c>
      <c r="D1403" t="s">
        <v>10</v>
      </c>
    </row>
    <row r="1404" spans="1:4" x14ac:dyDescent="0.3">
      <c r="A1404" t="s">
        <v>135</v>
      </c>
      <c r="B1404" s="3">
        <v>0.81958079752350321</v>
      </c>
      <c r="C1404" t="s">
        <v>59</v>
      </c>
      <c r="D1404" t="s">
        <v>16</v>
      </c>
    </row>
    <row r="1405" spans="1:4" x14ac:dyDescent="0.3">
      <c r="A1405" t="s">
        <v>135</v>
      </c>
      <c r="B1405" s="3">
        <v>0.99426866200277264</v>
      </c>
      <c r="C1405" t="s">
        <v>60</v>
      </c>
      <c r="D1405" t="s">
        <v>14</v>
      </c>
    </row>
    <row r="1406" spans="1:4" x14ac:dyDescent="0.3">
      <c r="A1406" t="s">
        <v>135</v>
      </c>
      <c r="B1406" s="3">
        <v>0.86426513132067395</v>
      </c>
      <c r="C1406" t="s">
        <v>61</v>
      </c>
      <c r="D1406" t="s">
        <v>10</v>
      </c>
    </row>
    <row r="1407" spans="1:4" x14ac:dyDescent="0.3">
      <c r="A1407" t="s">
        <v>135</v>
      </c>
      <c r="B1407" s="3">
        <v>0.63563514884482386</v>
      </c>
      <c r="C1407" t="s">
        <v>62</v>
      </c>
      <c r="D1407" t="s">
        <v>14</v>
      </c>
    </row>
    <row r="1408" spans="1:4" x14ac:dyDescent="0.3">
      <c r="A1408" t="s">
        <v>135</v>
      </c>
      <c r="B1408" s="3">
        <v>0.95352335512322473</v>
      </c>
      <c r="C1408" t="s">
        <v>63</v>
      </c>
      <c r="D1408" t="s">
        <v>6</v>
      </c>
    </row>
    <row r="1409" spans="1:4" x14ac:dyDescent="0.3">
      <c r="A1409" t="s">
        <v>135</v>
      </c>
      <c r="B1409" s="3">
        <v>0.98446655237470349</v>
      </c>
      <c r="C1409" t="s">
        <v>64</v>
      </c>
      <c r="D1409" t="s">
        <v>16</v>
      </c>
    </row>
    <row r="1410" spans="1:4" x14ac:dyDescent="0.3">
      <c r="A1410" t="s">
        <v>135</v>
      </c>
      <c r="B1410" s="3">
        <v>0.9907134340847451</v>
      </c>
      <c r="C1410" t="s">
        <v>64</v>
      </c>
      <c r="D1410" t="s">
        <v>13</v>
      </c>
    </row>
    <row r="1411" spans="1:4" x14ac:dyDescent="0.3">
      <c r="A1411" t="s">
        <v>135</v>
      </c>
      <c r="B1411" s="3">
        <v>0.82566766567731842</v>
      </c>
      <c r="C1411" t="s">
        <v>65</v>
      </c>
      <c r="D1411" t="s">
        <v>8</v>
      </c>
    </row>
    <row r="1412" spans="1:4" x14ac:dyDescent="0.3">
      <c r="A1412" t="s">
        <v>135</v>
      </c>
      <c r="B1412" s="3">
        <v>0.94758620349240519</v>
      </c>
      <c r="C1412" t="s">
        <v>66</v>
      </c>
      <c r="D1412" t="s">
        <v>16</v>
      </c>
    </row>
    <row r="1413" spans="1:4" x14ac:dyDescent="0.3">
      <c r="A1413" t="s">
        <v>135</v>
      </c>
      <c r="B1413" s="3">
        <v>0.80555659293384851</v>
      </c>
      <c r="C1413" t="s">
        <v>67</v>
      </c>
      <c r="D1413" t="s">
        <v>16</v>
      </c>
    </row>
    <row r="1414" spans="1:4" x14ac:dyDescent="0.3">
      <c r="A1414" t="s">
        <v>135</v>
      </c>
      <c r="B1414" s="3">
        <v>0.44269823291753579</v>
      </c>
      <c r="C1414" t="s">
        <v>68</v>
      </c>
      <c r="D1414" t="s">
        <v>13</v>
      </c>
    </row>
    <row r="1415" spans="1:4" x14ac:dyDescent="0.3">
      <c r="A1415" t="s">
        <v>135</v>
      </c>
      <c r="B1415" s="3">
        <v>0.96162755419726609</v>
      </c>
      <c r="C1415" t="s">
        <v>69</v>
      </c>
      <c r="D1415" t="s">
        <v>6</v>
      </c>
    </row>
    <row r="1416" spans="1:4" x14ac:dyDescent="0.3">
      <c r="A1416" t="s">
        <v>135</v>
      </c>
      <c r="B1416" s="3">
        <v>0.93287574047903987</v>
      </c>
      <c r="C1416" t="s">
        <v>69</v>
      </c>
      <c r="D1416" t="s">
        <v>16</v>
      </c>
    </row>
    <row r="1417" spans="1:4" x14ac:dyDescent="0.3">
      <c r="A1417" t="s">
        <v>135</v>
      </c>
      <c r="B1417" s="3">
        <v>0.96232129608084327</v>
      </c>
      <c r="C1417" t="s">
        <v>69</v>
      </c>
      <c r="D1417" t="s">
        <v>10</v>
      </c>
    </row>
    <row r="1418" spans="1:4" x14ac:dyDescent="0.3">
      <c r="A1418" t="s">
        <v>135</v>
      </c>
      <c r="B1418" s="3">
        <v>0.95701169011062237</v>
      </c>
      <c r="C1418" t="s">
        <v>69</v>
      </c>
      <c r="D1418" t="s">
        <v>8</v>
      </c>
    </row>
    <row r="1419" spans="1:4" x14ac:dyDescent="0.3">
      <c r="A1419" t="s">
        <v>135</v>
      </c>
      <c r="B1419" s="3">
        <v>0.95139948992729062</v>
      </c>
      <c r="C1419" t="s">
        <v>69</v>
      </c>
      <c r="D1419" t="s">
        <v>13</v>
      </c>
    </row>
    <row r="1420" spans="1:4" x14ac:dyDescent="0.3">
      <c r="A1420" t="s">
        <v>135</v>
      </c>
      <c r="B1420" s="3">
        <v>0.95731755938165886</v>
      </c>
      <c r="C1420" t="s">
        <v>69</v>
      </c>
      <c r="D1420" t="s">
        <v>14</v>
      </c>
    </row>
    <row r="1421" spans="1:4" x14ac:dyDescent="0.3">
      <c r="A1421" t="s">
        <v>135</v>
      </c>
      <c r="B1421" s="3">
        <v>0.90896269634307725</v>
      </c>
      <c r="C1421" t="s">
        <v>70</v>
      </c>
      <c r="D1421" t="s">
        <v>6</v>
      </c>
    </row>
    <row r="1422" spans="1:4" x14ac:dyDescent="0.3">
      <c r="A1422" t="s">
        <v>135</v>
      </c>
      <c r="B1422" s="3">
        <v>0.93507140285648671</v>
      </c>
      <c r="C1422" t="s">
        <v>70</v>
      </c>
      <c r="D1422" t="s">
        <v>10</v>
      </c>
    </row>
    <row r="1423" spans="1:4" x14ac:dyDescent="0.3">
      <c r="A1423" t="s">
        <v>135</v>
      </c>
      <c r="B1423" s="3">
        <v>0.88177736341713597</v>
      </c>
      <c r="C1423" t="s">
        <v>70</v>
      </c>
      <c r="D1423" t="s">
        <v>8</v>
      </c>
    </row>
    <row r="1424" spans="1:4" x14ac:dyDescent="0.3">
      <c r="A1424" t="s">
        <v>135</v>
      </c>
      <c r="B1424" s="3">
        <v>0.90994803507251676</v>
      </c>
      <c r="C1424" t="s">
        <v>70</v>
      </c>
      <c r="D1424" t="s">
        <v>13</v>
      </c>
    </row>
    <row r="1425" spans="1:4" x14ac:dyDescent="0.3">
      <c r="A1425" t="s">
        <v>135</v>
      </c>
      <c r="B1425" s="3">
        <v>0.85941680337550919</v>
      </c>
      <c r="C1425" t="s">
        <v>70</v>
      </c>
      <c r="D1425" t="s">
        <v>14</v>
      </c>
    </row>
    <row r="1426" spans="1:4" x14ac:dyDescent="0.3">
      <c r="A1426" t="s">
        <v>135</v>
      </c>
      <c r="B1426" s="3">
        <v>0.6763091658226128</v>
      </c>
      <c r="C1426" t="s">
        <v>71</v>
      </c>
      <c r="D1426" t="s">
        <v>14</v>
      </c>
    </row>
    <row r="1427" spans="1:4" x14ac:dyDescent="0.3">
      <c r="A1427" t="s">
        <v>135</v>
      </c>
      <c r="B1427" s="3">
        <v>0.88670358579984976</v>
      </c>
      <c r="C1427" t="s">
        <v>72</v>
      </c>
      <c r="D1427" t="s">
        <v>10</v>
      </c>
    </row>
    <row r="1428" spans="1:4" x14ac:dyDescent="0.3">
      <c r="A1428" t="s">
        <v>135</v>
      </c>
      <c r="B1428" s="3">
        <v>0.89414935966189668</v>
      </c>
      <c r="C1428" t="s">
        <v>72</v>
      </c>
      <c r="D1428" t="s">
        <v>8</v>
      </c>
    </row>
    <row r="1429" spans="1:4" x14ac:dyDescent="0.3">
      <c r="A1429" t="s">
        <v>135</v>
      </c>
      <c r="B1429" s="3">
        <v>0.93090161510612057</v>
      </c>
      <c r="C1429" t="s">
        <v>72</v>
      </c>
      <c r="D1429" t="s">
        <v>14</v>
      </c>
    </row>
    <row r="1430" spans="1:4" x14ac:dyDescent="0.3">
      <c r="A1430" t="s">
        <v>135</v>
      </c>
      <c r="B1430" s="3">
        <v>0.21615122340090057</v>
      </c>
      <c r="C1430" t="s">
        <v>73</v>
      </c>
      <c r="D1430" t="s">
        <v>6</v>
      </c>
    </row>
    <row r="1431" spans="1:4" x14ac:dyDescent="0.3">
      <c r="A1431" t="s">
        <v>135</v>
      </c>
      <c r="B1431" s="3">
        <v>0.95801887277707365</v>
      </c>
      <c r="C1431" t="s">
        <v>74</v>
      </c>
    </row>
    <row r="1432" spans="1:4" x14ac:dyDescent="0.3">
      <c r="A1432" t="s">
        <v>135</v>
      </c>
      <c r="B1432" s="3">
        <v>0.98044825567949445</v>
      </c>
      <c r="C1432" t="s">
        <v>74</v>
      </c>
      <c r="D1432" t="s">
        <v>14</v>
      </c>
    </row>
    <row r="1433" spans="1:4" x14ac:dyDescent="0.3">
      <c r="A1433" t="s">
        <v>135</v>
      </c>
      <c r="B1433" s="3">
        <v>0.89389253184375284</v>
      </c>
      <c r="C1433" t="s">
        <v>75</v>
      </c>
      <c r="D1433" t="s">
        <v>8</v>
      </c>
    </row>
    <row r="1434" spans="1:4" x14ac:dyDescent="0.3">
      <c r="A1434" t="s">
        <v>135</v>
      </c>
      <c r="B1434" s="3">
        <v>0.85253168586539818</v>
      </c>
      <c r="C1434" t="s">
        <v>76</v>
      </c>
    </row>
    <row r="1435" spans="1:4" x14ac:dyDescent="0.3">
      <c r="A1435" t="s">
        <v>135</v>
      </c>
      <c r="B1435" s="3">
        <v>0.64424380215639332</v>
      </c>
      <c r="C1435" t="s">
        <v>76</v>
      </c>
      <c r="D1435" t="s">
        <v>6</v>
      </c>
    </row>
    <row r="1436" spans="1:4" x14ac:dyDescent="0.3">
      <c r="A1436" t="s">
        <v>135</v>
      </c>
      <c r="B1436" s="3">
        <v>0.86739285348106054</v>
      </c>
      <c r="C1436" t="s">
        <v>76</v>
      </c>
      <c r="D1436" t="s">
        <v>16</v>
      </c>
    </row>
    <row r="1437" spans="1:4" x14ac:dyDescent="0.3">
      <c r="A1437" t="s">
        <v>135</v>
      </c>
      <c r="B1437" s="3">
        <v>0.70372983691190116</v>
      </c>
      <c r="C1437" t="s">
        <v>76</v>
      </c>
      <c r="D1437" t="s">
        <v>10</v>
      </c>
    </row>
    <row r="1438" spans="1:4" x14ac:dyDescent="0.3">
      <c r="A1438" t="s">
        <v>135</v>
      </c>
      <c r="B1438" s="3">
        <v>0.77454570981587711</v>
      </c>
      <c r="C1438" t="s">
        <v>76</v>
      </c>
      <c r="D1438" t="s">
        <v>8</v>
      </c>
    </row>
    <row r="1439" spans="1:4" x14ac:dyDescent="0.3">
      <c r="A1439" t="s">
        <v>135</v>
      </c>
      <c r="B1439" s="3">
        <v>0.86771876449434193</v>
      </c>
      <c r="C1439" t="s">
        <v>77</v>
      </c>
      <c r="D1439" t="s">
        <v>14</v>
      </c>
    </row>
    <row r="1440" spans="1:4" x14ac:dyDescent="0.3">
      <c r="A1440" t="s">
        <v>135</v>
      </c>
      <c r="B1440" s="3">
        <v>0.95060193294224182</v>
      </c>
      <c r="C1440" t="s">
        <v>78</v>
      </c>
      <c r="D1440" t="s">
        <v>6</v>
      </c>
    </row>
    <row r="1441" spans="1:4" x14ac:dyDescent="0.3">
      <c r="A1441" t="s">
        <v>135</v>
      </c>
      <c r="B1441" s="3">
        <v>0.93706766598496594</v>
      </c>
      <c r="C1441" t="s">
        <v>78</v>
      </c>
      <c r="D1441" t="s">
        <v>10</v>
      </c>
    </row>
    <row r="1442" spans="1:4" x14ac:dyDescent="0.3">
      <c r="A1442" t="s">
        <v>135</v>
      </c>
      <c r="B1442" s="3">
        <v>0.92789622441602804</v>
      </c>
      <c r="C1442" t="s">
        <v>78</v>
      </c>
      <c r="D1442" t="s">
        <v>8</v>
      </c>
    </row>
    <row r="1443" spans="1:4" x14ac:dyDescent="0.3">
      <c r="A1443" t="s">
        <v>135</v>
      </c>
      <c r="B1443" s="3">
        <v>0.91087568731089286</v>
      </c>
      <c r="C1443" t="s">
        <v>78</v>
      </c>
      <c r="D1443" t="s">
        <v>13</v>
      </c>
    </row>
    <row r="1444" spans="1:4" x14ac:dyDescent="0.3">
      <c r="A1444" t="s">
        <v>135</v>
      </c>
      <c r="B1444" s="3">
        <v>0.9533952811535118</v>
      </c>
      <c r="C1444" t="s">
        <v>78</v>
      </c>
      <c r="D1444" t="s">
        <v>14</v>
      </c>
    </row>
    <row r="1445" spans="1:4" x14ac:dyDescent="0.3">
      <c r="A1445" t="s">
        <v>135</v>
      </c>
      <c r="B1445" s="3">
        <v>0.94501773230544295</v>
      </c>
      <c r="C1445" t="s">
        <v>80</v>
      </c>
      <c r="D1445" t="s">
        <v>6</v>
      </c>
    </row>
    <row r="1446" spans="1:4" x14ac:dyDescent="0.3">
      <c r="A1446" t="s">
        <v>135</v>
      </c>
      <c r="B1446" s="3">
        <v>0.90525120290339567</v>
      </c>
      <c r="C1446" t="s">
        <v>80</v>
      </c>
      <c r="D1446" t="s">
        <v>16</v>
      </c>
    </row>
    <row r="1447" spans="1:4" x14ac:dyDescent="0.3">
      <c r="A1447" t="s">
        <v>135</v>
      </c>
      <c r="B1447" s="3">
        <v>0.94737786284848158</v>
      </c>
      <c r="C1447" t="s">
        <v>80</v>
      </c>
      <c r="D1447" t="s">
        <v>10</v>
      </c>
    </row>
    <row r="1448" spans="1:4" x14ac:dyDescent="0.3">
      <c r="A1448" t="s">
        <v>135</v>
      </c>
      <c r="B1448" s="3">
        <v>0.93235812704159482</v>
      </c>
      <c r="C1448" t="s">
        <v>80</v>
      </c>
      <c r="D1448" t="s">
        <v>8</v>
      </c>
    </row>
    <row r="1449" spans="1:4" x14ac:dyDescent="0.3">
      <c r="A1449" t="s">
        <v>135</v>
      </c>
      <c r="B1449" s="3">
        <v>0.93261317545887856</v>
      </c>
      <c r="C1449" t="s">
        <v>80</v>
      </c>
      <c r="D1449" t="s">
        <v>13</v>
      </c>
    </row>
    <row r="1450" spans="1:4" x14ac:dyDescent="0.3">
      <c r="A1450" t="s">
        <v>135</v>
      </c>
      <c r="B1450" s="3">
        <v>0.94013277683743013</v>
      </c>
      <c r="C1450" t="s">
        <v>80</v>
      </c>
      <c r="D1450" t="s">
        <v>14</v>
      </c>
    </row>
    <row r="1451" spans="1:4" x14ac:dyDescent="0.3">
      <c r="A1451" t="s">
        <v>135</v>
      </c>
      <c r="B1451" s="3">
        <v>0.96226774061636122</v>
      </c>
      <c r="C1451" t="s">
        <v>81</v>
      </c>
      <c r="D1451" t="s">
        <v>6</v>
      </c>
    </row>
    <row r="1452" spans="1:4" x14ac:dyDescent="0.3">
      <c r="A1452" t="s">
        <v>135</v>
      </c>
      <c r="B1452" s="3">
        <v>0.95457121323228489</v>
      </c>
      <c r="C1452" t="s">
        <v>81</v>
      </c>
      <c r="D1452" t="s">
        <v>10</v>
      </c>
    </row>
    <row r="1453" spans="1:4" x14ac:dyDescent="0.3">
      <c r="A1453" t="s">
        <v>135</v>
      </c>
      <c r="B1453" s="3">
        <v>0.94148884700586399</v>
      </c>
      <c r="C1453" t="s">
        <v>81</v>
      </c>
      <c r="D1453" t="s">
        <v>8</v>
      </c>
    </row>
    <row r="1454" spans="1:4" x14ac:dyDescent="0.3">
      <c r="A1454" t="s">
        <v>135</v>
      </c>
      <c r="B1454" s="3">
        <v>0.93945121644848362</v>
      </c>
      <c r="C1454" t="s">
        <v>81</v>
      </c>
      <c r="D1454" t="s">
        <v>13</v>
      </c>
    </row>
    <row r="1455" spans="1:4" x14ac:dyDescent="0.3">
      <c r="A1455" t="s">
        <v>135</v>
      </c>
      <c r="B1455" s="3">
        <v>0.952129822055369</v>
      </c>
      <c r="C1455" t="s">
        <v>81</v>
      </c>
      <c r="D1455" t="s">
        <v>14</v>
      </c>
    </row>
    <row r="1456" spans="1:4" x14ac:dyDescent="0.3">
      <c r="A1456" t="s">
        <v>135</v>
      </c>
      <c r="B1456" s="3">
        <v>0.85732674030562828</v>
      </c>
      <c r="C1456" t="s">
        <v>82</v>
      </c>
      <c r="D1456" t="s">
        <v>10</v>
      </c>
    </row>
    <row r="1457" spans="1:4" x14ac:dyDescent="0.3">
      <c r="A1457" t="s">
        <v>135</v>
      </c>
      <c r="B1457" s="3">
        <v>0.97381261189076018</v>
      </c>
      <c r="C1457" t="s">
        <v>83</v>
      </c>
      <c r="D1457" t="s">
        <v>10</v>
      </c>
    </row>
    <row r="1458" spans="1:4" x14ac:dyDescent="0.3">
      <c r="A1458" t="s">
        <v>135</v>
      </c>
      <c r="B1458" s="3">
        <v>0.9615032435899834</v>
      </c>
      <c r="C1458" t="s">
        <v>83</v>
      </c>
      <c r="D1458" t="s">
        <v>8</v>
      </c>
    </row>
    <row r="1459" spans="1:4" x14ac:dyDescent="0.3">
      <c r="A1459" t="s">
        <v>135</v>
      </c>
      <c r="B1459" s="3">
        <v>0.94661612168639053</v>
      </c>
      <c r="C1459" t="s">
        <v>84</v>
      </c>
      <c r="D1459" t="s">
        <v>8</v>
      </c>
    </row>
    <row r="1460" spans="1:4" x14ac:dyDescent="0.3">
      <c r="A1460" t="s">
        <v>135</v>
      </c>
      <c r="B1460" s="3">
        <v>0.96583443592391971</v>
      </c>
      <c r="C1460" t="s">
        <v>85</v>
      </c>
      <c r="D1460" t="s">
        <v>13</v>
      </c>
    </row>
    <row r="1461" spans="1:4" x14ac:dyDescent="0.3">
      <c r="A1461" t="s">
        <v>135</v>
      </c>
      <c r="B1461" s="3">
        <v>0.95736864045781578</v>
      </c>
      <c r="C1461" t="s">
        <v>86</v>
      </c>
      <c r="D1461" t="s">
        <v>6</v>
      </c>
    </row>
    <row r="1462" spans="1:4" x14ac:dyDescent="0.3">
      <c r="A1462" t="s">
        <v>135</v>
      </c>
      <c r="B1462" s="3">
        <v>0.99402812587506129</v>
      </c>
      <c r="C1462" t="s">
        <v>86</v>
      </c>
      <c r="D1462" t="s">
        <v>16</v>
      </c>
    </row>
    <row r="1463" spans="1:4" x14ac:dyDescent="0.3">
      <c r="A1463" t="s">
        <v>135</v>
      </c>
      <c r="B1463" s="3">
        <v>0.97568151261137559</v>
      </c>
      <c r="C1463" t="s">
        <v>86</v>
      </c>
      <c r="D1463" t="s">
        <v>10</v>
      </c>
    </row>
    <row r="1464" spans="1:4" x14ac:dyDescent="0.3">
      <c r="A1464" t="s">
        <v>135</v>
      </c>
      <c r="B1464" s="3">
        <v>0.97186747518933891</v>
      </c>
      <c r="C1464" t="s">
        <v>86</v>
      </c>
      <c r="D1464" t="s">
        <v>8</v>
      </c>
    </row>
    <row r="1465" spans="1:4" x14ac:dyDescent="0.3">
      <c r="A1465" t="s">
        <v>135</v>
      </c>
      <c r="B1465" s="3">
        <v>0.9623362991690857</v>
      </c>
      <c r="C1465" t="s">
        <v>86</v>
      </c>
      <c r="D1465" t="s">
        <v>13</v>
      </c>
    </row>
    <row r="1466" spans="1:4" x14ac:dyDescent="0.3">
      <c r="A1466" t="s">
        <v>135</v>
      </c>
      <c r="B1466" s="3">
        <v>0.95690392362215893</v>
      </c>
      <c r="C1466" t="s">
        <v>86</v>
      </c>
      <c r="D1466" t="s">
        <v>14</v>
      </c>
    </row>
    <row r="1467" spans="1:4" x14ac:dyDescent="0.3">
      <c r="A1467" t="s">
        <v>135</v>
      </c>
      <c r="B1467" s="3">
        <v>0.94488364924044199</v>
      </c>
      <c r="C1467" t="s">
        <v>87</v>
      </c>
    </row>
    <row r="1468" spans="1:4" x14ac:dyDescent="0.3">
      <c r="A1468" t="s">
        <v>135</v>
      </c>
      <c r="B1468" s="3">
        <v>0.96192072721742439</v>
      </c>
      <c r="C1468" t="s">
        <v>87</v>
      </c>
      <c r="D1468" t="s">
        <v>6</v>
      </c>
    </row>
    <row r="1469" spans="1:4" x14ac:dyDescent="0.3">
      <c r="A1469" t="s">
        <v>135</v>
      </c>
      <c r="B1469" s="3">
        <v>0.85733667236806388</v>
      </c>
      <c r="C1469" t="s">
        <v>88</v>
      </c>
      <c r="D1469" t="s">
        <v>6</v>
      </c>
    </row>
    <row r="1470" spans="1:4" x14ac:dyDescent="0.3">
      <c r="A1470" t="s">
        <v>135</v>
      </c>
      <c r="B1470" s="3">
        <v>0.98020282340682219</v>
      </c>
      <c r="C1470" t="s">
        <v>89</v>
      </c>
      <c r="D1470" t="s">
        <v>8</v>
      </c>
    </row>
    <row r="1471" spans="1:4" x14ac:dyDescent="0.3">
      <c r="A1471" t="s">
        <v>135</v>
      </c>
      <c r="B1471" s="3">
        <v>0.94385788056132203</v>
      </c>
      <c r="C1471" t="s">
        <v>90</v>
      </c>
      <c r="D1471" t="s">
        <v>6</v>
      </c>
    </row>
    <row r="1472" spans="1:4" x14ac:dyDescent="0.3">
      <c r="A1472" t="s">
        <v>135</v>
      </c>
      <c r="B1472" s="3">
        <v>0.90794733415352868</v>
      </c>
      <c r="C1472" t="s">
        <v>90</v>
      </c>
      <c r="D1472" t="s">
        <v>10</v>
      </c>
    </row>
    <row r="1473" spans="1:4" x14ac:dyDescent="0.3">
      <c r="A1473" t="s">
        <v>135</v>
      </c>
      <c r="B1473" s="3">
        <v>0.86009022586649253</v>
      </c>
      <c r="C1473" t="s">
        <v>90</v>
      </c>
      <c r="D1473" t="s">
        <v>8</v>
      </c>
    </row>
    <row r="1474" spans="1:4" x14ac:dyDescent="0.3">
      <c r="A1474" t="s">
        <v>135</v>
      </c>
      <c r="B1474" s="3">
        <v>0.95185663200520099</v>
      </c>
      <c r="C1474" t="s">
        <v>90</v>
      </c>
      <c r="D1474" t="s">
        <v>13</v>
      </c>
    </row>
    <row r="1475" spans="1:4" x14ac:dyDescent="0.3">
      <c r="A1475" t="s">
        <v>135</v>
      </c>
      <c r="B1475" s="3">
        <v>0.34231409235621807</v>
      </c>
      <c r="C1475" t="s">
        <v>91</v>
      </c>
      <c r="D1475" t="s">
        <v>8</v>
      </c>
    </row>
    <row r="1476" spans="1:4" x14ac:dyDescent="0.3">
      <c r="A1476" t="s">
        <v>135</v>
      </c>
      <c r="B1476" s="3">
        <v>0.72405428683655904</v>
      </c>
      <c r="C1476" t="s">
        <v>92</v>
      </c>
      <c r="D1476" t="s">
        <v>16</v>
      </c>
    </row>
    <row r="1477" spans="1:4" x14ac:dyDescent="0.3">
      <c r="A1477" t="s">
        <v>135</v>
      </c>
      <c r="B1477" s="3">
        <v>0.29625124467991831</v>
      </c>
      <c r="C1477" t="s">
        <v>136</v>
      </c>
      <c r="D1477" t="s">
        <v>8</v>
      </c>
    </row>
    <row r="1478" spans="1:4" x14ac:dyDescent="0.3">
      <c r="A1478" t="s">
        <v>135</v>
      </c>
      <c r="B1478" s="3">
        <v>0.93711137815863454</v>
      </c>
      <c r="C1478" t="s">
        <v>93</v>
      </c>
    </row>
    <row r="1479" spans="1:4" x14ac:dyDescent="0.3">
      <c r="A1479" t="s">
        <v>135</v>
      </c>
      <c r="B1479" s="3">
        <v>0.90584475708147805</v>
      </c>
      <c r="C1479" t="s">
        <v>94</v>
      </c>
    </row>
    <row r="1480" spans="1:4" x14ac:dyDescent="0.3">
      <c r="A1480" t="s">
        <v>135</v>
      </c>
      <c r="B1480" s="3">
        <v>0.82207479646226989</v>
      </c>
      <c r="C1480" t="s">
        <v>94</v>
      </c>
      <c r="D1480" t="s">
        <v>6</v>
      </c>
    </row>
    <row r="1481" spans="1:4" x14ac:dyDescent="0.3">
      <c r="A1481" t="s">
        <v>135</v>
      </c>
      <c r="B1481" s="3">
        <v>0.90106372640911925</v>
      </c>
      <c r="C1481" t="s">
        <v>95</v>
      </c>
      <c r="D1481" t="s">
        <v>16</v>
      </c>
    </row>
    <row r="1482" spans="1:4" x14ac:dyDescent="0.3">
      <c r="A1482" t="s">
        <v>135</v>
      </c>
      <c r="B1482" s="3">
        <v>0.55184615835813744</v>
      </c>
      <c r="C1482" t="s">
        <v>96</v>
      </c>
      <c r="D1482" t="s">
        <v>8</v>
      </c>
    </row>
    <row r="1483" spans="1:4" x14ac:dyDescent="0.3">
      <c r="A1483" t="s">
        <v>135</v>
      </c>
      <c r="B1483" s="3">
        <v>0.96953168991120964</v>
      </c>
      <c r="C1483" t="s">
        <v>97</v>
      </c>
      <c r="D1483" t="s">
        <v>6</v>
      </c>
    </row>
    <row r="1484" spans="1:4" x14ac:dyDescent="0.3">
      <c r="A1484" t="s">
        <v>135</v>
      </c>
      <c r="B1484" s="3">
        <v>0.93728064323348992</v>
      </c>
      <c r="C1484" t="s">
        <v>97</v>
      </c>
      <c r="D1484" t="s">
        <v>10</v>
      </c>
    </row>
    <row r="1485" spans="1:4" x14ac:dyDescent="0.3">
      <c r="A1485" t="s">
        <v>135</v>
      </c>
      <c r="B1485" s="3">
        <v>0.9608573557952711</v>
      </c>
      <c r="C1485" t="s">
        <v>97</v>
      </c>
      <c r="D1485" t="s">
        <v>8</v>
      </c>
    </row>
    <row r="1486" spans="1:4" x14ac:dyDescent="0.3">
      <c r="A1486" t="s">
        <v>135</v>
      </c>
      <c r="B1486" s="3">
        <v>0.81127238516588107</v>
      </c>
      <c r="C1486" t="s">
        <v>97</v>
      </c>
      <c r="D1486" t="s">
        <v>13</v>
      </c>
    </row>
    <row r="1487" spans="1:4" x14ac:dyDescent="0.3">
      <c r="A1487" t="s">
        <v>135</v>
      </c>
      <c r="B1487" s="3">
        <v>0.96670655082534018</v>
      </c>
      <c r="C1487" t="s">
        <v>97</v>
      </c>
      <c r="D1487" t="s">
        <v>14</v>
      </c>
    </row>
    <row r="1488" spans="1:4" x14ac:dyDescent="0.3">
      <c r="A1488" t="s">
        <v>135</v>
      </c>
      <c r="B1488" s="3">
        <v>0.40194175317119185</v>
      </c>
      <c r="C1488" t="s">
        <v>137</v>
      </c>
      <c r="D1488" t="s">
        <v>6</v>
      </c>
    </row>
    <row r="1489" spans="1:4" x14ac:dyDescent="0.3">
      <c r="A1489" t="s">
        <v>135</v>
      </c>
      <c r="B1489" s="3">
        <v>0.60944867624196875</v>
      </c>
      <c r="C1489" t="s">
        <v>98</v>
      </c>
      <c r="D1489" t="s">
        <v>14</v>
      </c>
    </row>
    <row r="1490" spans="1:4" x14ac:dyDescent="0.3">
      <c r="A1490" t="s">
        <v>135</v>
      </c>
      <c r="B1490" s="3">
        <v>0.99099416379559768</v>
      </c>
      <c r="C1490" t="s">
        <v>99</v>
      </c>
      <c r="D1490" t="s">
        <v>13</v>
      </c>
    </row>
    <row r="1491" spans="1:4" x14ac:dyDescent="0.3">
      <c r="A1491" t="s">
        <v>135</v>
      </c>
      <c r="B1491" s="3">
        <v>0.85313337713753323</v>
      </c>
      <c r="C1491" t="s">
        <v>100</v>
      </c>
      <c r="D1491" t="s">
        <v>14</v>
      </c>
    </row>
    <row r="1492" spans="1:4" x14ac:dyDescent="0.3">
      <c r="A1492" t="s">
        <v>135</v>
      </c>
      <c r="B1492" s="3">
        <v>0.95023933336399435</v>
      </c>
      <c r="C1492" t="s">
        <v>101</v>
      </c>
      <c r="D1492" t="s">
        <v>6</v>
      </c>
    </row>
    <row r="1493" spans="1:4" x14ac:dyDescent="0.3">
      <c r="A1493" t="s">
        <v>135</v>
      </c>
      <c r="B1493" s="3">
        <v>0.95321961862239002</v>
      </c>
      <c r="C1493" t="s">
        <v>101</v>
      </c>
      <c r="D1493" t="s">
        <v>10</v>
      </c>
    </row>
    <row r="1494" spans="1:4" x14ac:dyDescent="0.3">
      <c r="A1494" t="s">
        <v>135</v>
      </c>
      <c r="B1494" s="3">
        <v>0.93526475694252842</v>
      </c>
      <c r="C1494" t="s">
        <v>101</v>
      </c>
      <c r="D1494" t="s">
        <v>8</v>
      </c>
    </row>
    <row r="1495" spans="1:4" x14ac:dyDescent="0.3">
      <c r="A1495" t="s">
        <v>135</v>
      </c>
      <c r="B1495" s="3">
        <v>0.9445972204245624</v>
      </c>
      <c r="C1495" t="s">
        <v>101</v>
      </c>
      <c r="D1495" t="s">
        <v>14</v>
      </c>
    </row>
    <row r="1496" spans="1:4" x14ac:dyDescent="0.3">
      <c r="A1496" t="s">
        <v>135</v>
      </c>
      <c r="B1496" s="3">
        <v>0.94729959013463583</v>
      </c>
      <c r="C1496" t="s">
        <v>102</v>
      </c>
      <c r="D1496" t="s">
        <v>8</v>
      </c>
    </row>
    <row r="1497" spans="1:4" x14ac:dyDescent="0.3">
      <c r="A1497" t="s">
        <v>135</v>
      </c>
      <c r="B1497" s="3">
        <v>0.97949507133416192</v>
      </c>
      <c r="C1497" t="s">
        <v>103</v>
      </c>
      <c r="D1497" t="s">
        <v>6</v>
      </c>
    </row>
    <row r="1498" spans="1:4" x14ac:dyDescent="0.3">
      <c r="A1498" t="s">
        <v>135</v>
      </c>
      <c r="B1498" s="3">
        <v>1</v>
      </c>
      <c r="C1498" t="s">
        <v>103</v>
      </c>
      <c r="D1498" t="s">
        <v>10</v>
      </c>
    </row>
    <row r="1499" spans="1:4" x14ac:dyDescent="0.3">
      <c r="A1499" t="s">
        <v>135</v>
      </c>
      <c r="B1499" s="3">
        <v>0.98797137835418147</v>
      </c>
      <c r="C1499" t="s">
        <v>103</v>
      </c>
      <c r="D1499" t="s">
        <v>14</v>
      </c>
    </row>
    <row r="1500" spans="1:4" x14ac:dyDescent="0.3">
      <c r="A1500" t="s">
        <v>135</v>
      </c>
      <c r="B1500" s="3">
        <v>0.65803955920308554</v>
      </c>
      <c r="C1500" t="s">
        <v>104</v>
      </c>
      <c r="D1500" t="s">
        <v>14</v>
      </c>
    </row>
    <row r="1501" spans="1:4" x14ac:dyDescent="0.3">
      <c r="A1501" t="s">
        <v>135</v>
      </c>
      <c r="B1501" s="3">
        <v>0.969207128246383</v>
      </c>
      <c r="C1501" t="s">
        <v>105</v>
      </c>
      <c r="D1501" t="s">
        <v>6</v>
      </c>
    </row>
    <row r="1502" spans="1:4" x14ac:dyDescent="0.3">
      <c r="A1502" t="s">
        <v>135</v>
      </c>
      <c r="B1502" s="3">
        <v>0.95494864173169236</v>
      </c>
      <c r="C1502" t="s">
        <v>105</v>
      </c>
      <c r="D1502" t="s">
        <v>16</v>
      </c>
    </row>
    <row r="1503" spans="1:4" x14ac:dyDescent="0.3">
      <c r="A1503" t="s">
        <v>135</v>
      </c>
      <c r="B1503" s="3">
        <v>0.96443311058612968</v>
      </c>
      <c r="C1503" t="s">
        <v>105</v>
      </c>
      <c r="D1503" t="s">
        <v>10</v>
      </c>
    </row>
    <row r="1504" spans="1:4" x14ac:dyDescent="0.3">
      <c r="A1504" t="s">
        <v>135</v>
      </c>
      <c r="B1504" s="3">
        <v>0.95777479628104933</v>
      </c>
      <c r="C1504" t="s">
        <v>105</v>
      </c>
      <c r="D1504" t="s">
        <v>8</v>
      </c>
    </row>
    <row r="1505" spans="1:4" x14ac:dyDescent="0.3">
      <c r="A1505" t="s">
        <v>135</v>
      </c>
      <c r="B1505" s="3">
        <v>0.95117300197157006</v>
      </c>
      <c r="C1505" t="s">
        <v>105</v>
      </c>
      <c r="D1505" t="s">
        <v>13</v>
      </c>
    </row>
    <row r="1506" spans="1:4" x14ac:dyDescent="0.3">
      <c r="A1506" t="s">
        <v>135</v>
      </c>
      <c r="B1506" s="3">
        <v>0.97214722889465144</v>
      </c>
      <c r="C1506" t="s">
        <v>105</v>
      </c>
      <c r="D1506" t="s">
        <v>14</v>
      </c>
    </row>
    <row r="1507" spans="1:4" x14ac:dyDescent="0.3">
      <c r="A1507" t="s">
        <v>135</v>
      </c>
      <c r="B1507" s="3">
        <v>0.96203381935824683</v>
      </c>
      <c r="C1507" t="s">
        <v>106</v>
      </c>
      <c r="D1507" t="s">
        <v>16</v>
      </c>
    </row>
    <row r="1508" spans="1:4" x14ac:dyDescent="0.3">
      <c r="A1508" t="s">
        <v>135</v>
      </c>
      <c r="B1508" s="3">
        <v>0.93628785392172398</v>
      </c>
      <c r="C1508" t="s">
        <v>107</v>
      </c>
      <c r="D1508" t="s">
        <v>16</v>
      </c>
    </row>
    <row r="1509" spans="1:4" x14ac:dyDescent="0.3">
      <c r="A1509" t="s">
        <v>135</v>
      </c>
      <c r="B1509" s="3">
        <v>0.95055540809466854</v>
      </c>
      <c r="C1509" t="s">
        <v>108</v>
      </c>
      <c r="D1509" t="s">
        <v>16</v>
      </c>
    </row>
    <row r="1510" spans="1:4" x14ac:dyDescent="0.3">
      <c r="A1510" t="s">
        <v>135</v>
      </c>
      <c r="B1510" s="3">
        <v>0.90011610309013113</v>
      </c>
      <c r="C1510" t="s">
        <v>109</v>
      </c>
      <c r="D1510" t="s">
        <v>8</v>
      </c>
    </row>
    <row r="1511" spans="1:4" x14ac:dyDescent="0.3">
      <c r="A1511" t="s">
        <v>135</v>
      </c>
      <c r="B1511" s="3">
        <v>0.93265188249902187</v>
      </c>
      <c r="C1511" t="s">
        <v>110</v>
      </c>
    </row>
    <row r="1512" spans="1:4" x14ac:dyDescent="0.3">
      <c r="A1512" t="s">
        <v>135</v>
      </c>
      <c r="B1512" s="3">
        <v>0.77965488856293197</v>
      </c>
      <c r="C1512" t="s">
        <v>110</v>
      </c>
      <c r="D1512" t="s">
        <v>6</v>
      </c>
    </row>
    <row r="1513" spans="1:4" x14ac:dyDescent="0.3">
      <c r="A1513" t="s">
        <v>135</v>
      </c>
      <c r="B1513" s="3">
        <v>0.81940004651975218</v>
      </c>
      <c r="C1513" t="s">
        <v>111</v>
      </c>
      <c r="D1513" t="s">
        <v>13</v>
      </c>
    </row>
    <row r="1514" spans="1:4" x14ac:dyDescent="0.3">
      <c r="A1514" t="s">
        <v>135</v>
      </c>
      <c r="B1514" s="3">
        <v>0.77944533595308374</v>
      </c>
      <c r="C1514" t="s">
        <v>112</v>
      </c>
      <c r="D1514" t="s">
        <v>6</v>
      </c>
    </row>
    <row r="1515" spans="1:4" x14ac:dyDescent="0.3">
      <c r="A1515" t="s">
        <v>135</v>
      </c>
      <c r="B1515" s="3">
        <v>1</v>
      </c>
      <c r="C1515" t="s">
        <v>113</v>
      </c>
    </row>
    <row r="1516" spans="1:4" x14ac:dyDescent="0.3">
      <c r="A1516" t="s">
        <v>135</v>
      </c>
      <c r="B1516" s="3">
        <v>0.96297503734596035</v>
      </c>
      <c r="C1516" t="s">
        <v>113</v>
      </c>
      <c r="D1516" t="s">
        <v>16</v>
      </c>
    </row>
    <row r="1517" spans="1:4" x14ac:dyDescent="0.3">
      <c r="A1517" t="s">
        <v>135</v>
      </c>
      <c r="B1517" s="3">
        <v>0.79489252640439234</v>
      </c>
      <c r="C1517" t="s">
        <v>114</v>
      </c>
      <c r="D1517" t="s">
        <v>16</v>
      </c>
    </row>
    <row r="1518" spans="1:4" x14ac:dyDescent="0.3">
      <c r="A1518" t="s">
        <v>135</v>
      </c>
      <c r="B1518" s="3">
        <v>0.84876549219279951</v>
      </c>
      <c r="C1518" t="s">
        <v>115</v>
      </c>
      <c r="D1518" t="s">
        <v>6</v>
      </c>
    </row>
    <row r="1519" spans="1:4" x14ac:dyDescent="0.3">
      <c r="A1519" t="s">
        <v>135</v>
      </c>
      <c r="B1519" s="3">
        <v>0.87541392979621568</v>
      </c>
      <c r="C1519" t="s">
        <v>116</v>
      </c>
      <c r="D1519" t="s">
        <v>16</v>
      </c>
    </row>
    <row r="1520" spans="1:4" x14ac:dyDescent="0.3">
      <c r="A1520" t="s">
        <v>135</v>
      </c>
      <c r="B1520" s="3">
        <v>0.21436188970583733</v>
      </c>
      <c r="C1520" t="s">
        <v>117</v>
      </c>
      <c r="D1520" t="s">
        <v>13</v>
      </c>
    </row>
    <row r="1521" spans="1:4" x14ac:dyDescent="0.3">
      <c r="A1521" t="s">
        <v>135</v>
      </c>
      <c r="B1521" s="3">
        <v>0.85237951713736737</v>
      </c>
      <c r="C1521" t="s">
        <v>118</v>
      </c>
    </row>
    <row r="1522" spans="1:4" x14ac:dyDescent="0.3">
      <c r="A1522" t="s">
        <v>135</v>
      </c>
      <c r="B1522" s="3">
        <v>0.91364283829713733</v>
      </c>
      <c r="C1522" t="s">
        <v>118</v>
      </c>
      <c r="D1522" t="s">
        <v>16</v>
      </c>
    </row>
    <row r="1523" spans="1:4" x14ac:dyDescent="0.3">
      <c r="A1523" t="s">
        <v>135</v>
      </c>
      <c r="B1523" s="3">
        <v>0.94632360095972767</v>
      </c>
      <c r="C1523" t="s">
        <v>118</v>
      </c>
      <c r="D1523" t="s">
        <v>13</v>
      </c>
    </row>
    <row r="1524" spans="1:4" x14ac:dyDescent="0.3">
      <c r="A1524" t="s">
        <v>135</v>
      </c>
      <c r="B1524" s="3">
        <v>0.67686096040067911</v>
      </c>
      <c r="C1524" t="s">
        <v>119</v>
      </c>
      <c r="D1524" t="s">
        <v>8</v>
      </c>
    </row>
    <row r="1525" spans="1:4" x14ac:dyDescent="0.3">
      <c r="A1525" t="s">
        <v>135</v>
      </c>
      <c r="B1525" s="3">
        <v>0.48947340073073653</v>
      </c>
      <c r="C1525" t="s">
        <v>120</v>
      </c>
      <c r="D1525" t="s">
        <v>14</v>
      </c>
    </row>
    <row r="1526" spans="1:4" x14ac:dyDescent="0.3">
      <c r="A1526" t="s">
        <v>135</v>
      </c>
      <c r="B1526" s="3">
        <v>0.84460612450891392</v>
      </c>
      <c r="C1526" t="s">
        <v>121</v>
      </c>
      <c r="D1526" t="s">
        <v>16</v>
      </c>
    </row>
    <row r="1527" spans="1:4" x14ac:dyDescent="0.3">
      <c r="A1527" t="s">
        <v>135</v>
      </c>
      <c r="B1527" s="3">
        <v>0.96357154829645075</v>
      </c>
      <c r="C1527" t="s">
        <v>122</v>
      </c>
    </row>
    <row r="1528" spans="1:4" x14ac:dyDescent="0.3">
      <c r="A1528" t="s">
        <v>135</v>
      </c>
      <c r="B1528" s="3">
        <v>0.91119857636545076</v>
      </c>
      <c r="C1528" t="s">
        <v>122</v>
      </c>
      <c r="D1528" t="s">
        <v>16</v>
      </c>
    </row>
    <row r="1529" spans="1:4" x14ac:dyDescent="0.3">
      <c r="A1529" t="s">
        <v>135</v>
      </c>
      <c r="B1529" s="3">
        <v>0.97524991579074283</v>
      </c>
      <c r="C1529" t="s">
        <v>123</v>
      </c>
      <c r="D1529" t="s">
        <v>16</v>
      </c>
    </row>
    <row r="1530" spans="1:4" x14ac:dyDescent="0.3">
      <c r="A1530" t="s">
        <v>135</v>
      </c>
      <c r="B1530" s="3">
        <v>0.95848457184654046</v>
      </c>
      <c r="C1530" t="s">
        <v>124</v>
      </c>
      <c r="D1530" t="s">
        <v>6</v>
      </c>
    </row>
    <row r="1531" spans="1:4" x14ac:dyDescent="0.3">
      <c r="A1531" t="s">
        <v>135</v>
      </c>
      <c r="B1531" s="3">
        <v>0.83419982541249926</v>
      </c>
      <c r="C1531" t="s">
        <v>125</v>
      </c>
      <c r="D1531" t="s">
        <v>14</v>
      </c>
    </row>
    <row r="1532" spans="1:4" x14ac:dyDescent="0.3">
      <c r="A1532" t="s">
        <v>135</v>
      </c>
      <c r="B1532" s="3">
        <v>0.95971254606690237</v>
      </c>
      <c r="C1532" t="s">
        <v>126</v>
      </c>
      <c r="D1532" t="s">
        <v>10</v>
      </c>
    </row>
    <row r="1533" spans="1:4" x14ac:dyDescent="0.3">
      <c r="A1533" t="s">
        <v>135</v>
      </c>
      <c r="B1533" s="3">
        <v>0.95921308144232487</v>
      </c>
      <c r="C1533" t="s">
        <v>126</v>
      </c>
      <c r="D1533" t="s">
        <v>8</v>
      </c>
    </row>
    <row r="1534" spans="1:4" x14ac:dyDescent="0.3">
      <c r="A1534" t="s">
        <v>135</v>
      </c>
      <c r="B1534" s="3">
        <v>0.95802781037787321</v>
      </c>
      <c r="C1534" t="s">
        <v>126</v>
      </c>
      <c r="D1534" t="s">
        <v>13</v>
      </c>
    </row>
    <row r="1535" spans="1:4" x14ac:dyDescent="0.3">
      <c r="A1535" t="s">
        <v>138</v>
      </c>
      <c r="B1535" s="3">
        <v>0.79722764135672208</v>
      </c>
      <c r="C1535" t="s">
        <v>5</v>
      </c>
      <c r="D1535" t="s">
        <v>6</v>
      </c>
    </row>
    <row r="1536" spans="1:4" x14ac:dyDescent="0.3">
      <c r="A1536" t="s">
        <v>138</v>
      </c>
      <c r="B1536" s="3">
        <v>0.9452221897983929</v>
      </c>
      <c r="C1536" t="s">
        <v>7</v>
      </c>
      <c r="D1536" t="s">
        <v>8</v>
      </c>
    </row>
    <row r="1537" spans="1:4" x14ac:dyDescent="0.3">
      <c r="A1537" t="s">
        <v>138</v>
      </c>
      <c r="B1537" s="3">
        <v>0.91485770983565562</v>
      </c>
      <c r="C1537" t="s">
        <v>9</v>
      </c>
      <c r="D1537" t="s">
        <v>6</v>
      </c>
    </row>
    <row r="1538" spans="1:4" x14ac:dyDescent="0.3">
      <c r="A1538" t="s">
        <v>138</v>
      </c>
      <c r="B1538" s="3">
        <v>0.98094125262480103</v>
      </c>
      <c r="C1538" t="s">
        <v>9</v>
      </c>
      <c r="D1538" t="s">
        <v>10</v>
      </c>
    </row>
    <row r="1539" spans="1:4" x14ac:dyDescent="0.3">
      <c r="A1539" t="s">
        <v>138</v>
      </c>
      <c r="B1539" s="3">
        <v>0.88965074183411919</v>
      </c>
      <c r="C1539" t="s">
        <v>9</v>
      </c>
      <c r="D1539" t="s">
        <v>8</v>
      </c>
    </row>
    <row r="1540" spans="1:4" x14ac:dyDescent="0.3">
      <c r="A1540" t="s">
        <v>138</v>
      </c>
      <c r="B1540" s="3">
        <v>0.51011897360471015</v>
      </c>
      <c r="C1540" t="s">
        <v>11</v>
      </c>
      <c r="D1540" t="s">
        <v>8</v>
      </c>
    </row>
    <row r="1541" spans="1:4" x14ac:dyDescent="0.3">
      <c r="A1541" t="s">
        <v>138</v>
      </c>
      <c r="B1541" s="3">
        <v>0.16664571742586914</v>
      </c>
      <c r="C1541" t="s">
        <v>12</v>
      </c>
      <c r="D1541" t="s">
        <v>8</v>
      </c>
    </row>
    <row r="1542" spans="1:4" x14ac:dyDescent="0.3">
      <c r="A1542" t="s">
        <v>138</v>
      </c>
      <c r="B1542" s="3">
        <v>1</v>
      </c>
      <c r="C1542" t="s">
        <v>15</v>
      </c>
    </row>
    <row r="1543" spans="1:4" x14ac:dyDescent="0.3">
      <c r="A1543" t="s">
        <v>138</v>
      </c>
      <c r="B1543" s="3">
        <v>0.99222467938595094</v>
      </c>
      <c r="C1543" t="s">
        <v>15</v>
      </c>
      <c r="D1543" t="s">
        <v>16</v>
      </c>
    </row>
    <row r="1544" spans="1:4" x14ac:dyDescent="0.3">
      <c r="A1544" t="s">
        <v>138</v>
      </c>
      <c r="B1544" s="3">
        <v>0.97334597480407192</v>
      </c>
      <c r="C1544" t="s">
        <v>15</v>
      </c>
      <c r="D1544" t="s">
        <v>13</v>
      </c>
    </row>
    <row r="1545" spans="1:4" x14ac:dyDescent="0.3">
      <c r="A1545" t="s">
        <v>138</v>
      </c>
      <c r="B1545" s="3">
        <v>0.97664624230430008</v>
      </c>
      <c r="C1545" t="s">
        <v>17</v>
      </c>
      <c r="D1545" t="s">
        <v>16</v>
      </c>
    </row>
    <row r="1546" spans="1:4" x14ac:dyDescent="0.3">
      <c r="A1546" t="s">
        <v>138</v>
      </c>
      <c r="B1546" s="3">
        <v>0.93187931636017984</v>
      </c>
      <c r="C1546" t="s">
        <v>17</v>
      </c>
      <c r="D1546" t="s">
        <v>8</v>
      </c>
    </row>
    <row r="1547" spans="1:4" x14ac:dyDescent="0.3">
      <c r="A1547" t="s">
        <v>138</v>
      </c>
      <c r="B1547" s="3">
        <v>0.9559308490029943</v>
      </c>
      <c r="C1547" t="s">
        <v>17</v>
      </c>
      <c r="D1547" t="s">
        <v>13</v>
      </c>
    </row>
    <row r="1548" spans="1:4" x14ac:dyDescent="0.3">
      <c r="A1548" t="s">
        <v>138</v>
      </c>
      <c r="B1548" s="3">
        <v>0.88124155527674564</v>
      </c>
      <c r="C1548" t="s">
        <v>18</v>
      </c>
      <c r="D1548" t="s">
        <v>6</v>
      </c>
    </row>
    <row r="1549" spans="1:4" x14ac:dyDescent="0.3">
      <c r="A1549" t="s">
        <v>138</v>
      </c>
      <c r="B1549" s="3">
        <v>0.94094102210932851</v>
      </c>
      <c r="C1549" t="s">
        <v>18</v>
      </c>
      <c r="D1549" t="s">
        <v>10</v>
      </c>
    </row>
    <row r="1550" spans="1:4" x14ac:dyDescent="0.3">
      <c r="A1550" t="s">
        <v>138</v>
      </c>
      <c r="B1550" s="3">
        <v>0.84231228586594598</v>
      </c>
      <c r="C1550" t="s">
        <v>18</v>
      </c>
      <c r="D1550" t="s">
        <v>8</v>
      </c>
    </row>
    <row r="1551" spans="1:4" x14ac:dyDescent="0.3">
      <c r="A1551" t="s">
        <v>138</v>
      </c>
      <c r="B1551" s="3">
        <v>0.95979896834872713</v>
      </c>
      <c r="C1551" t="s">
        <v>19</v>
      </c>
      <c r="D1551" t="s">
        <v>10</v>
      </c>
    </row>
    <row r="1552" spans="1:4" x14ac:dyDescent="0.3">
      <c r="A1552" t="s">
        <v>138</v>
      </c>
      <c r="B1552" s="3">
        <v>0.94346936181862096</v>
      </c>
      <c r="C1552" t="s">
        <v>20</v>
      </c>
      <c r="D1552" t="s">
        <v>8</v>
      </c>
    </row>
    <row r="1553" spans="1:4" x14ac:dyDescent="0.3">
      <c r="A1553" t="s">
        <v>138</v>
      </c>
      <c r="B1553" s="3">
        <v>0.66857813140766442</v>
      </c>
      <c r="C1553" t="s">
        <v>21</v>
      </c>
      <c r="D1553" t="s">
        <v>6</v>
      </c>
    </row>
    <row r="1554" spans="1:4" x14ac:dyDescent="0.3">
      <c r="A1554" t="s">
        <v>138</v>
      </c>
      <c r="B1554" s="3">
        <v>0.66253108318409215</v>
      </c>
      <c r="C1554" t="s">
        <v>21</v>
      </c>
      <c r="D1554" t="s">
        <v>10</v>
      </c>
    </row>
    <row r="1555" spans="1:4" x14ac:dyDescent="0.3">
      <c r="A1555" t="s">
        <v>138</v>
      </c>
      <c r="B1555" s="3">
        <v>0.89608408971405651</v>
      </c>
      <c r="C1555" t="s">
        <v>22</v>
      </c>
      <c r="D1555" t="s">
        <v>10</v>
      </c>
    </row>
    <row r="1556" spans="1:4" x14ac:dyDescent="0.3">
      <c r="A1556" t="s">
        <v>138</v>
      </c>
      <c r="B1556" s="3">
        <v>0.52167738213155579</v>
      </c>
      <c r="C1556" t="s">
        <v>23</v>
      </c>
      <c r="D1556" t="s">
        <v>13</v>
      </c>
    </row>
    <row r="1557" spans="1:4" x14ac:dyDescent="0.3">
      <c r="A1557" t="s">
        <v>138</v>
      </c>
      <c r="B1557" s="3">
        <v>0.69972461961531018</v>
      </c>
      <c r="C1557" t="s">
        <v>24</v>
      </c>
    </row>
    <row r="1558" spans="1:4" x14ac:dyDescent="0.3">
      <c r="A1558" t="s">
        <v>138</v>
      </c>
      <c r="B1558" s="3">
        <v>0.69132967823945302</v>
      </c>
      <c r="C1558" t="s">
        <v>24</v>
      </c>
      <c r="D1558" t="s">
        <v>6</v>
      </c>
    </row>
    <row r="1559" spans="1:4" x14ac:dyDescent="0.3">
      <c r="A1559" t="s">
        <v>138</v>
      </c>
      <c r="B1559" s="3">
        <v>0.90392580913358878</v>
      </c>
      <c r="C1559" t="s">
        <v>25</v>
      </c>
    </row>
    <row r="1560" spans="1:4" x14ac:dyDescent="0.3">
      <c r="A1560" t="s">
        <v>138</v>
      </c>
      <c r="B1560" s="3">
        <v>0.90235486958723521</v>
      </c>
      <c r="C1560" t="s">
        <v>25</v>
      </c>
      <c r="D1560" t="s">
        <v>16</v>
      </c>
    </row>
    <row r="1561" spans="1:4" x14ac:dyDescent="0.3">
      <c r="A1561" t="s">
        <v>138</v>
      </c>
      <c r="B1561" s="3">
        <v>0.61991323787474262</v>
      </c>
      <c r="C1561" t="s">
        <v>26</v>
      </c>
      <c r="D1561" t="s">
        <v>6</v>
      </c>
    </row>
    <row r="1562" spans="1:4" x14ac:dyDescent="0.3">
      <c r="A1562" t="s">
        <v>138</v>
      </c>
      <c r="B1562" s="3">
        <v>0.77404813749202761</v>
      </c>
      <c r="C1562" t="s">
        <v>27</v>
      </c>
      <c r="D1562" t="s">
        <v>14</v>
      </c>
    </row>
    <row r="1563" spans="1:4" x14ac:dyDescent="0.3">
      <c r="A1563" t="s">
        <v>138</v>
      </c>
      <c r="B1563" s="3">
        <v>0.91619282418756653</v>
      </c>
      <c r="C1563" t="s">
        <v>28</v>
      </c>
      <c r="D1563" t="s">
        <v>8</v>
      </c>
    </row>
    <row r="1564" spans="1:4" x14ac:dyDescent="0.3">
      <c r="A1564" t="s">
        <v>138</v>
      </c>
      <c r="B1564" s="3">
        <v>0.920711563045295</v>
      </c>
      <c r="C1564" t="s">
        <v>28</v>
      </c>
      <c r="D1564" t="s">
        <v>14</v>
      </c>
    </row>
    <row r="1565" spans="1:4" x14ac:dyDescent="0.3">
      <c r="A1565" t="s">
        <v>138</v>
      </c>
      <c r="B1565" s="3">
        <v>0.96753183955049138</v>
      </c>
      <c r="C1565" t="s">
        <v>29</v>
      </c>
      <c r="D1565" t="s">
        <v>6</v>
      </c>
    </row>
    <row r="1566" spans="1:4" x14ac:dyDescent="0.3">
      <c r="A1566" t="s">
        <v>138</v>
      </c>
      <c r="B1566" s="3">
        <v>0.98413362739065124</v>
      </c>
      <c r="C1566" t="s">
        <v>29</v>
      </c>
      <c r="D1566" t="s">
        <v>10</v>
      </c>
    </row>
    <row r="1567" spans="1:4" x14ac:dyDescent="0.3">
      <c r="A1567" t="s">
        <v>138</v>
      </c>
      <c r="B1567" s="3">
        <v>0.97250994156427317</v>
      </c>
      <c r="C1567" t="s">
        <v>29</v>
      </c>
      <c r="D1567" t="s">
        <v>8</v>
      </c>
    </row>
    <row r="1568" spans="1:4" x14ac:dyDescent="0.3">
      <c r="A1568" t="s">
        <v>138</v>
      </c>
      <c r="B1568" s="3">
        <v>0.97420771932763683</v>
      </c>
      <c r="C1568" t="s">
        <v>29</v>
      </c>
      <c r="D1568" t="s">
        <v>13</v>
      </c>
    </row>
    <row r="1569" spans="1:4" x14ac:dyDescent="0.3">
      <c r="A1569" t="s">
        <v>138</v>
      </c>
      <c r="B1569" s="3">
        <v>0.96818781208299132</v>
      </c>
      <c r="C1569" t="s">
        <v>29</v>
      </c>
      <c r="D1569" t="s">
        <v>14</v>
      </c>
    </row>
    <row r="1570" spans="1:4" x14ac:dyDescent="0.3">
      <c r="A1570" t="s">
        <v>138</v>
      </c>
      <c r="B1570" s="3">
        <v>0.79370870951013595</v>
      </c>
      <c r="C1570" t="s">
        <v>30</v>
      </c>
      <c r="D1570" t="s">
        <v>6</v>
      </c>
    </row>
    <row r="1571" spans="1:4" x14ac:dyDescent="0.3">
      <c r="A1571" t="s">
        <v>138</v>
      </c>
      <c r="B1571" s="3">
        <v>0.21607415804783731</v>
      </c>
      <c r="C1571" t="s">
        <v>132</v>
      </c>
      <c r="D1571" t="s">
        <v>6</v>
      </c>
    </row>
    <row r="1572" spans="1:4" x14ac:dyDescent="0.3">
      <c r="A1572" t="s">
        <v>138</v>
      </c>
      <c r="B1572" s="3">
        <v>0.58510220016459979</v>
      </c>
      <c r="C1572" t="s">
        <v>31</v>
      </c>
      <c r="D1572" t="s">
        <v>13</v>
      </c>
    </row>
    <row r="1573" spans="1:4" x14ac:dyDescent="0.3">
      <c r="A1573" t="s">
        <v>138</v>
      </c>
      <c r="B1573" s="3">
        <v>0.97421030579397072</v>
      </c>
      <c r="C1573" t="s">
        <v>32</v>
      </c>
    </row>
    <row r="1574" spans="1:4" x14ac:dyDescent="0.3">
      <c r="A1574" t="s">
        <v>138</v>
      </c>
      <c r="B1574" s="3">
        <v>0.30224565943142306</v>
      </c>
      <c r="C1574" t="s">
        <v>32</v>
      </c>
      <c r="D1574" t="s">
        <v>6</v>
      </c>
    </row>
    <row r="1575" spans="1:4" x14ac:dyDescent="0.3">
      <c r="A1575" t="s">
        <v>138</v>
      </c>
      <c r="B1575" s="3">
        <v>0.95153201780577468</v>
      </c>
      <c r="C1575" t="s">
        <v>32</v>
      </c>
      <c r="D1575" t="s">
        <v>16</v>
      </c>
    </row>
    <row r="1576" spans="1:4" x14ac:dyDescent="0.3">
      <c r="A1576" t="s">
        <v>138</v>
      </c>
      <c r="B1576" s="3">
        <v>0.96195226635936548</v>
      </c>
      <c r="C1576" t="s">
        <v>32</v>
      </c>
      <c r="D1576" t="s">
        <v>13</v>
      </c>
    </row>
    <row r="1577" spans="1:4" x14ac:dyDescent="0.3">
      <c r="A1577" t="s">
        <v>138</v>
      </c>
      <c r="B1577" s="3">
        <v>0.98618069851626722</v>
      </c>
      <c r="C1577" t="s">
        <v>34</v>
      </c>
    </row>
    <row r="1578" spans="1:4" x14ac:dyDescent="0.3">
      <c r="A1578" t="s">
        <v>138</v>
      </c>
      <c r="B1578" s="3">
        <v>0.94713249141841982</v>
      </c>
      <c r="C1578" t="s">
        <v>34</v>
      </c>
      <c r="D1578" t="s">
        <v>16</v>
      </c>
    </row>
    <row r="1579" spans="1:4" x14ac:dyDescent="0.3">
      <c r="A1579" t="s">
        <v>138</v>
      </c>
      <c r="B1579" s="3">
        <v>0.93697296827586329</v>
      </c>
      <c r="C1579" t="s">
        <v>35</v>
      </c>
      <c r="D1579" t="s">
        <v>16</v>
      </c>
    </row>
    <row r="1580" spans="1:4" x14ac:dyDescent="0.3">
      <c r="A1580" t="s">
        <v>138</v>
      </c>
      <c r="B1580" s="3">
        <v>0.94096244425712539</v>
      </c>
      <c r="C1580" t="s">
        <v>36</v>
      </c>
      <c r="D1580" t="s">
        <v>13</v>
      </c>
    </row>
    <row r="1581" spans="1:4" x14ac:dyDescent="0.3">
      <c r="A1581" t="s">
        <v>138</v>
      </c>
      <c r="B1581" s="3">
        <v>0.83808200493690399</v>
      </c>
      <c r="C1581" t="s">
        <v>37</v>
      </c>
      <c r="D1581" t="s">
        <v>10</v>
      </c>
    </row>
    <row r="1582" spans="1:4" x14ac:dyDescent="0.3">
      <c r="A1582" t="s">
        <v>138</v>
      </c>
      <c r="B1582" s="3">
        <v>0.87614744809312506</v>
      </c>
      <c r="C1582" t="s">
        <v>38</v>
      </c>
    </row>
    <row r="1583" spans="1:4" x14ac:dyDescent="0.3">
      <c r="A1583" t="s">
        <v>138</v>
      </c>
      <c r="B1583" s="3">
        <v>0.782372551774143</v>
      </c>
      <c r="C1583" t="s">
        <v>38</v>
      </c>
      <c r="D1583" t="s">
        <v>14</v>
      </c>
    </row>
    <row r="1584" spans="1:4" x14ac:dyDescent="0.3">
      <c r="A1584" t="s">
        <v>138</v>
      </c>
      <c r="B1584" s="3">
        <v>0.94868764007164752</v>
      </c>
      <c r="C1584" t="s">
        <v>39</v>
      </c>
      <c r="D1584" t="s">
        <v>6</v>
      </c>
    </row>
    <row r="1585" spans="1:4" x14ac:dyDescent="0.3">
      <c r="A1585" t="s">
        <v>138</v>
      </c>
      <c r="B1585" s="3">
        <v>0.95512303416172117</v>
      </c>
      <c r="C1585" t="s">
        <v>39</v>
      </c>
      <c r="D1585" t="s">
        <v>10</v>
      </c>
    </row>
    <row r="1586" spans="1:4" x14ac:dyDescent="0.3">
      <c r="A1586" t="s">
        <v>138</v>
      </c>
      <c r="B1586" s="3">
        <v>0.94885710599414019</v>
      </c>
      <c r="C1586" t="s">
        <v>39</v>
      </c>
      <c r="D1586" t="s">
        <v>8</v>
      </c>
    </row>
    <row r="1587" spans="1:4" x14ac:dyDescent="0.3">
      <c r="A1587" t="s">
        <v>138</v>
      </c>
      <c r="B1587" s="3">
        <v>0.70088534368484423</v>
      </c>
      <c r="C1587" t="s">
        <v>40</v>
      </c>
      <c r="D1587" t="s">
        <v>6</v>
      </c>
    </row>
    <row r="1588" spans="1:4" x14ac:dyDescent="0.3">
      <c r="A1588" t="s">
        <v>138</v>
      </c>
      <c r="B1588" s="3">
        <v>0.48233701835344195</v>
      </c>
      <c r="C1588" t="s">
        <v>41</v>
      </c>
    </row>
    <row r="1589" spans="1:4" x14ac:dyDescent="0.3">
      <c r="A1589" t="s">
        <v>138</v>
      </c>
      <c r="B1589" s="3">
        <v>0.35222874581028418</v>
      </c>
      <c r="C1589" t="s">
        <v>41</v>
      </c>
      <c r="D1589" t="s">
        <v>8</v>
      </c>
    </row>
    <row r="1590" spans="1:4" x14ac:dyDescent="0.3">
      <c r="A1590" t="s">
        <v>138</v>
      </c>
      <c r="B1590" s="3">
        <v>0.98813606595373249</v>
      </c>
      <c r="C1590" t="s">
        <v>42</v>
      </c>
      <c r="D1590" t="s">
        <v>10</v>
      </c>
    </row>
    <row r="1591" spans="1:4" x14ac:dyDescent="0.3">
      <c r="A1591" t="s">
        <v>138</v>
      </c>
      <c r="B1591" s="3">
        <v>0.99860710846675249</v>
      </c>
      <c r="C1591" t="s">
        <v>42</v>
      </c>
      <c r="D1591" t="s">
        <v>8</v>
      </c>
    </row>
    <row r="1592" spans="1:4" x14ac:dyDescent="0.3">
      <c r="A1592" t="s">
        <v>138</v>
      </c>
      <c r="B1592" s="3">
        <v>0.86440220016908131</v>
      </c>
      <c r="C1592" t="s">
        <v>43</v>
      </c>
      <c r="D1592" t="s">
        <v>10</v>
      </c>
    </row>
    <row r="1593" spans="1:4" x14ac:dyDescent="0.3">
      <c r="A1593" t="s">
        <v>138</v>
      </c>
      <c r="B1593" s="3">
        <v>0.96087481187876023</v>
      </c>
      <c r="C1593" t="s">
        <v>44</v>
      </c>
      <c r="D1593" t="s">
        <v>6</v>
      </c>
    </row>
    <row r="1594" spans="1:4" x14ac:dyDescent="0.3">
      <c r="A1594" t="s">
        <v>138</v>
      </c>
      <c r="B1594" s="3">
        <v>0.7237199647700655</v>
      </c>
      <c r="C1594" t="s">
        <v>44</v>
      </c>
      <c r="D1594" t="s">
        <v>14</v>
      </c>
    </row>
    <row r="1595" spans="1:4" x14ac:dyDescent="0.3">
      <c r="A1595" t="s">
        <v>138</v>
      </c>
      <c r="B1595" s="3">
        <v>0.58485041929257664</v>
      </c>
      <c r="C1595" t="s">
        <v>45</v>
      </c>
      <c r="D1595" t="s">
        <v>8</v>
      </c>
    </row>
    <row r="1596" spans="1:4" x14ac:dyDescent="0.3">
      <c r="A1596" t="s">
        <v>138</v>
      </c>
      <c r="B1596" s="3">
        <v>0.31791560549732406</v>
      </c>
      <c r="C1596" t="s">
        <v>46</v>
      </c>
      <c r="D1596" t="s">
        <v>10</v>
      </c>
    </row>
    <row r="1597" spans="1:4" x14ac:dyDescent="0.3">
      <c r="A1597" t="s">
        <v>138</v>
      </c>
      <c r="B1597" s="3">
        <v>0.97073078302750371</v>
      </c>
      <c r="C1597" t="s">
        <v>47</v>
      </c>
      <c r="D1597" t="s">
        <v>10</v>
      </c>
    </row>
    <row r="1598" spans="1:4" x14ac:dyDescent="0.3">
      <c r="A1598" t="s">
        <v>138</v>
      </c>
      <c r="B1598" s="3">
        <v>0.97011105337498016</v>
      </c>
      <c r="C1598" t="s">
        <v>47</v>
      </c>
      <c r="D1598" t="s">
        <v>8</v>
      </c>
    </row>
    <row r="1599" spans="1:4" x14ac:dyDescent="0.3">
      <c r="A1599" t="s">
        <v>138</v>
      </c>
      <c r="B1599" s="3">
        <v>0.94976306877701977</v>
      </c>
      <c r="C1599" t="s">
        <v>47</v>
      </c>
      <c r="D1599" t="s">
        <v>14</v>
      </c>
    </row>
    <row r="1600" spans="1:4" x14ac:dyDescent="0.3">
      <c r="A1600" t="s">
        <v>138</v>
      </c>
      <c r="B1600" s="3">
        <v>0.76906820313622914</v>
      </c>
      <c r="C1600" t="s">
        <v>48</v>
      </c>
      <c r="D1600" t="s">
        <v>6</v>
      </c>
    </row>
    <row r="1601" spans="1:4" x14ac:dyDescent="0.3">
      <c r="A1601" t="s">
        <v>138</v>
      </c>
      <c r="B1601" s="3">
        <v>0.86382579462743492</v>
      </c>
      <c r="C1601" t="s">
        <v>48</v>
      </c>
      <c r="D1601" t="s">
        <v>10</v>
      </c>
    </row>
    <row r="1602" spans="1:4" x14ac:dyDescent="0.3">
      <c r="A1602" t="s">
        <v>138</v>
      </c>
      <c r="B1602" s="3">
        <v>0.78933517794924657</v>
      </c>
      <c r="C1602" t="s">
        <v>48</v>
      </c>
      <c r="D1602" t="s">
        <v>14</v>
      </c>
    </row>
    <row r="1603" spans="1:4" x14ac:dyDescent="0.3">
      <c r="A1603" t="s">
        <v>138</v>
      </c>
      <c r="B1603" s="3">
        <v>0.71881799380105116</v>
      </c>
      <c r="C1603" t="s">
        <v>49</v>
      </c>
    </row>
    <row r="1604" spans="1:4" x14ac:dyDescent="0.3">
      <c r="A1604" t="s">
        <v>138</v>
      </c>
      <c r="B1604" s="3">
        <v>0.90821734334005133</v>
      </c>
      <c r="C1604" t="s">
        <v>49</v>
      </c>
      <c r="D1604" t="s">
        <v>16</v>
      </c>
    </row>
    <row r="1605" spans="1:4" x14ac:dyDescent="0.3">
      <c r="A1605" t="s">
        <v>138</v>
      </c>
      <c r="B1605" s="3">
        <v>0.86347455079599933</v>
      </c>
      <c r="C1605" t="s">
        <v>50</v>
      </c>
      <c r="D1605" t="s">
        <v>10</v>
      </c>
    </row>
    <row r="1606" spans="1:4" x14ac:dyDescent="0.3">
      <c r="A1606" t="s">
        <v>138</v>
      </c>
      <c r="B1606" s="3">
        <v>0.82888515911402272</v>
      </c>
      <c r="C1606" t="s">
        <v>50</v>
      </c>
      <c r="D1606" t="s">
        <v>14</v>
      </c>
    </row>
    <row r="1607" spans="1:4" x14ac:dyDescent="0.3">
      <c r="A1607" t="s">
        <v>138</v>
      </c>
      <c r="B1607" s="3">
        <v>0.97513188668949402</v>
      </c>
      <c r="C1607" t="s">
        <v>51</v>
      </c>
      <c r="D1607" t="s">
        <v>8</v>
      </c>
    </row>
    <row r="1608" spans="1:4" x14ac:dyDescent="0.3">
      <c r="A1608" t="s">
        <v>138</v>
      </c>
      <c r="B1608" s="3">
        <v>0.6786003836161475</v>
      </c>
      <c r="C1608" t="s">
        <v>52</v>
      </c>
      <c r="D1608" t="s">
        <v>6</v>
      </c>
    </row>
    <row r="1609" spans="1:4" x14ac:dyDescent="0.3">
      <c r="A1609" t="s">
        <v>138</v>
      </c>
      <c r="B1609" s="3">
        <v>0.54042773537736821</v>
      </c>
      <c r="C1609" t="s">
        <v>52</v>
      </c>
      <c r="D1609" t="s">
        <v>8</v>
      </c>
    </row>
    <row r="1610" spans="1:4" x14ac:dyDescent="0.3">
      <c r="A1610" t="s">
        <v>138</v>
      </c>
      <c r="B1610" s="3">
        <v>0.85326960122690143</v>
      </c>
      <c r="C1610" t="s">
        <v>52</v>
      </c>
      <c r="D1610" t="s">
        <v>13</v>
      </c>
    </row>
    <row r="1611" spans="1:4" x14ac:dyDescent="0.3">
      <c r="A1611" t="s">
        <v>138</v>
      </c>
      <c r="B1611" s="3">
        <v>0.98128595139856767</v>
      </c>
      <c r="C1611" t="s">
        <v>53</v>
      </c>
      <c r="D1611" t="s">
        <v>8</v>
      </c>
    </row>
    <row r="1612" spans="1:4" x14ac:dyDescent="0.3">
      <c r="A1612" t="s">
        <v>138</v>
      </c>
      <c r="B1612" s="3">
        <v>0.8760669324381033</v>
      </c>
      <c r="C1612" t="s">
        <v>54</v>
      </c>
    </row>
    <row r="1613" spans="1:4" x14ac:dyDescent="0.3">
      <c r="A1613" t="s">
        <v>138</v>
      </c>
      <c r="B1613" s="3">
        <v>0.9018997331134494</v>
      </c>
      <c r="C1613" t="s">
        <v>54</v>
      </c>
      <c r="D1613" t="s">
        <v>16</v>
      </c>
    </row>
    <row r="1614" spans="1:4" x14ac:dyDescent="0.3">
      <c r="A1614" t="s">
        <v>138</v>
      </c>
      <c r="B1614" s="3">
        <v>0.90999425583880089</v>
      </c>
      <c r="C1614" t="s">
        <v>54</v>
      </c>
      <c r="D1614" t="s">
        <v>10</v>
      </c>
    </row>
    <row r="1615" spans="1:4" x14ac:dyDescent="0.3">
      <c r="A1615" t="s">
        <v>138</v>
      </c>
      <c r="B1615" s="3">
        <v>0.78398090857520097</v>
      </c>
      <c r="C1615" t="s">
        <v>54</v>
      </c>
      <c r="D1615" t="s">
        <v>13</v>
      </c>
    </row>
    <row r="1616" spans="1:4" x14ac:dyDescent="0.3">
      <c r="A1616" t="s">
        <v>138</v>
      </c>
      <c r="B1616" s="3">
        <v>0.54378497836073614</v>
      </c>
      <c r="C1616" t="s">
        <v>54</v>
      </c>
      <c r="D1616" t="s">
        <v>14</v>
      </c>
    </row>
    <row r="1617" spans="1:4" x14ac:dyDescent="0.3">
      <c r="A1617" t="s">
        <v>138</v>
      </c>
      <c r="B1617" s="3">
        <v>0.71592228274389547</v>
      </c>
      <c r="C1617" t="s">
        <v>55</v>
      </c>
      <c r="D1617" t="s">
        <v>6</v>
      </c>
    </row>
    <row r="1618" spans="1:4" x14ac:dyDescent="0.3">
      <c r="A1618" t="s">
        <v>138</v>
      </c>
      <c r="B1618" s="3">
        <v>0.85882136801575593</v>
      </c>
      <c r="C1618" t="s">
        <v>55</v>
      </c>
      <c r="D1618" t="s">
        <v>10</v>
      </c>
    </row>
    <row r="1619" spans="1:4" x14ac:dyDescent="0.3">
      <c r="A1619" t="s">
        <v>138</v>
      </c>
      <c r="B1619" s="3">
        <v>0.77585138644626239</v>
      </c>
      <c r="C1619" t="s">
        <v>55</v>
      </c>
      <c r="D1619" t="s">
        <v>8</v>
      </c>
    </row>
    <row r="1620" spans="1:4" x14ac:dyDescent="0.3">
      <c r="A1620" t="s">
        <v>138</v>
      </c>
      <c r="B1620" s="3">
        <v>0.77434840688335016</v>
      </c>
      <c r="C1620" t="s">
        <v>55</v>
      </c>
      <c r="D1620" t="s">
        <v>13</v>
      </c>
    </row>
    <row r="1621" spans="1:4" x14ac:dyDescent="0.3">
      <c r="A1621" t="s">
        <v>138</v>
      </c>
      <c r="B1621" s="3">
        <v>0.80556741758652683</v>
      </c>
      <c r="C1621" t="s">
        <v>55</v>
      </c>
      <c r="D1621" t="s">
        <v>14</v>
      </c>
    </row>
    <row r="1622" spans="1:4" x14ac:dyDescent="0.3">
      <c r="A1622" t="s">
        <v>138</v>
      </c>
      <c r="B1622" s="3">
        <v>0.94630689877517904</v>
      </c>
      <c r="C1622" t="s">
        <v>56</v>
      </c>
      <c r="D1622" t="s">
        <v>8</v>
      </c>
    </row>
    <row r="1623" spans="1:4" x14ac:dyDescent="0.3">
      <c r="A1623" t="s">
        <v>138</v>
      </c>
      <c r="B1623" s="3">
        <v>0.8451371900538398</v>
      </c>
      <c r="C1623" t="s">
        <v>57</v>
      </c>
      <c r="D1623" t="s">
        <v>16</v>
      </c>
    </row>
    <row r="1624" spans="1:4" x14ac:dyDescent="0.3">
      <c r="A1624" t="s">
        <v>138</v>
      </c>
      <c r="B1624" s="3">
        <v>0.80819054841553895</v>
      </c>
      <c r="C1624" t="s">
        <v>58</v>
      </c>
      <c r="D1624" t="s">
        <v>10</v>
      </c>
    </row>
    <row r="1625" spans="1:4" x14ac:dyDescent="0.3">
      <c r="A1625" t="s">
        <v>138</v>
      </c>
      <c r="B1625" s="3">
        <v>0.84283806326729704</v>
      </c>
      <c r="C1625" t="s">
        <v>59</v>
      </c>
      <c r="D1625" t="s">
        <v>16</v>
      </c>
    </row>
    <row r="1626" spans="1:4" x14ac:dyDescent="0.3">
      <c r="A1626" t="s">
        <v>138</v>
      </c>
      <c r="B1626" s="3">
        <v>1</v>
      </c>
      <c r="C1626" t="s">
        <v>60</v>
      </c>
      <c r="D1626" t="s">
        <v>14</v>
      </c>
    </row>
    <row r="1627" spans="1:4" x14ac:dyDescent="0.3">
      <c r="A1627" t="s">
        <v>138</v>
      </c>
      <c r="B1627" s="3">
        <v>0.85935316344193846</v>
      </c>
      <c r="C1627" t="s">
        <v>61</v>
      </c>
      <c r="D1627" t="s">
        <v>10</v>
      </c>
    </row>
    <row r="1628" spans="1:4" x14ac:dyDescent="0.3">
      <c r="A1628" t="s">
        <v>138</v>
      </c>
      <c r="B1628" s="3">
        <v>0.64296013771931526</v>
      </c>
      <c r="C1628" t="s">
        <v>62</v>
      </c>
      <c r="D1628" t="s">
        <v>14</v>
      </c>
    </row>
    <row r="1629" spans="1:4" x14ac:dyDescent="0.3">
      <c r="A1629" t="s">
        <v>138</v>
      </c>
      <c r="B1629" s="3">
        <v>0.96279614809934</v>
      </c>
      <c r="C1629" t="s">
        <v>63</v>
      </c>
      <c r="D1629" t="s">
        <v>6</v>
      </c>
    </row>
    <row r="1630" spans="1:4" x14ac:dyDescent="0.3">
      <c r="A1630" t="s">
        <v>138</v>
      </c>
      <c r="B1630" s="3">
        <v>0.9793935209056327</v>
      </c>
      <c r="C1630" t="s">
        <v>64</v>
      </c>
      <c r="D1630" t="s">
        <v>16</v>
      </c>
    </row>
    <row r="1631" spans="1:4" x14ac:dyDescent="0.3">
      <c r="A1631" t="s">
        <v>138</v>
      </c>
      <c r="B1631" s="3">
        <v>0.99297161270397305</v>
      </c>
      <c r="C1631" t="s">
        <v>64</v>
      </c>
      <c r="D1631" t="s">
        <v>13</v>
      </c>
    </row>
    <row r="1632" spans="1:4" x14ac:dyDescent="0.3">
      <c r="A1632" t="s">
        <v>138</v>
      </c>
      <c r="B1632" s="3">
        <v>0.83247012603115988</v>
      </c>
      <c r="C1632" t="s">
        <v>65</v>
      </c>
      <c r="D1632" t="s">
        <v>8</v>
      </c>
    </row>
    <row r="1633" spans="1:4" x14ac:dyDescent="0.3">
      <c r="A1633" t="s">
        <v>138</v>
      </c>
      <c r="B1633" s="3">
        <v>0.95728847709801501</v>
      </c>
      <c r="C1633" t="s">
        <v>66</v>
      </c>
      <c r="D1633" t="s">
        <v>16</v>
      </c>
    </row>
    <row r="1634" spans="1:4" x14ac:dyDescent="0.3">
      <c r="A1634" t="s">
        <v>138</v>
      </c>
      <c r="B1634" s="3">
        <v>0.86941473103445122</v>
      </c>
      <c r="C1634" t="s">
        <v>67</v>
      </c>
      <c r="D1634" t="s">
        <v>16</v>
      </c>
    </row>
    <row r="1635" spans="1:4" x14ac:dyDescent="0.3">
      <c r="A1635" t="s">
        <v>138</v>
      </c>
      <c r="B1635" s="3">
        <v>0.47967358529878684</v>
      </c>
      <c r="C1635" t="s">
        <v>68</v>
      </c>
      <c r="D1635" t="s">
        <v>13</v>
      </c>
    </row>
    <row r="1636" spans="1:4" x14ac:dyDescent="0.3">
      <c r="A1636" t="s">
        <v>138</v>
      </c>
      <c r="B1636" s="3">
        <v>0.96961638693897534</v>
      </c>
      <c r="C1636" t="s">
        <v>69</v>
      </c>
      <c r="D1636" t="s">
        <v>6</v>
      </c>
    </row>
    <row r="1637" spans="1:4" x14ac:dyDescent="0.3">
      <c r="A1637" t="s">
        <v>138</v>
      </c>
      <c r="B1637" s="3">
        <v>0.96249113036405187</v>
      </c>
      <c r="C1637" t="s">
        <v>69</v>
      </c>
      <c r="D1637" t="s">
        <v>16</v>
      </c>
    </row>
    <row r="1638" spans="1:4" x14ac:dyDescent="0.3">
      <c r="A1638" t="s">
        <v>138</v>
      </c>
      <c r="B1638" s="3">
        <v>0.9717571224589383</v>
      </c>
      <c r="C1638" t="s">
        <v>69</v>
      </c>
      <c r="D1638" t="s">
        <v>10</v>
      </c>
    </row>
    <row r="1639" spans="1:4" x14ac:dyDescent="0.3">
      <c r="A1639" t="s">
        <v>138</v>
      </c>
      <c r="B1639" s="3">
        <v>0.94082951856998009</v>
      </c>
      <c r="C1639" t="s">
        <v>69</v>
      </c>
      <c r="D1639" t="s">
        <v>8</v>
      </c>
    </row>
    <row r="1640" spans="1:4" x14ac:dyDescent="0.3">
      <c r="A1640" t="s">
        <v>138</v>
      </c>
      <c r="B1640" s="3">
        <v>0.9761953540484517</v>
      </c>
      <c r="C1640" t="s">
        <v>69</v>
      </c>
      <c r="D1640" t="s">
        <v>13</v>
      </c>
    </row>
    <row r="1641" spans="1:4" x14ac:dyDescent="0.3">
      <c r="A1641" t="s">
        <v>138</v>
      </c>
      <c r="B1641" s="3">
        <v>0.95831723010303416</v>
      </c>
      <c r="C1641" t="s">
        <v>69</v>
      </c>
      <c r="D1641" t="s">
        <v>14</v>
      </c>
    </row>
    <row r="1642" spans="1:4" x14ac:dyDescent="0.3">
      <c r="A1642" t="s">
        <v>138</v>
      </c>
      <c r="B1642" s="3">
        <v>0.91991032739893497</v>
      </c>
      <c r="C1642" t="s">
        <v>70</v>
      </c>
      <c r="D1642" t="s">
        <v>6</v>
      </c>
    </row>
    <row r="1643" spans="1:4" x14ac:dyDescent="0.3">
      <c r="A1643" t="s">
        <v>138</v>
      </c>
      <c r="B1643" s="3">
        <v>0.92672116357063961</v>
      </c>
      <c r="C1643" t="s">
        <v>70</v>
      </c>
      <c r="D1643" t="s">
        <v>10</v>
      </c>
    </row>
    <row r="1644" spans="1:4" x14ac:dyDescent="0.3">
      <c r="A1644" t="s">
        <v>138</v>
      </c>
      <c r="B1644" s="3">
        <v>0.8832023691560329</v>
      </c>
      <c r="C1644" t="s">
        <v>70</v>
      </c>
      <c r="D1644" t="s">
        <v>8</v>
      </c>
    </row>
    <row r="1645" spans="1:4" x14ac:dyDescent="0.3">
      <c r="A1645" t="s">
        <v>138</v>
      </c>
      <c r="B1645" s="3">
        <v>0.92669271774183037</v>
      </c>
      <c r="C1645" t="s">
        <v>70</v>
      </c>
      <c r="D1645" t="s">
        <v>13</v>
      </c>
    </row>
    <row r="1646" spans="1:4" x14ac:dyDescent="0.3">
      <c r="A1646" t="s">
        <v>138</v>
      </c>
      <c r="B1646" s="3">
        <v>0.86619182584592802</v>
      </c>
      <c r="C1646" t="s">
        <v>70</v>
      </c>
      <c r="D1646" t="s">
        <v>14</v>
      </c>
    </row>
    <row r="1647" spans="1:4" x14ac:dyDescent="0.3">
      <c r="A1647" t="s">
        <v>138</v>
      </c>
      <c r="B1647" s="3">
        <v>0.62993856467934717</v>
      </c>
      <c r="C1647" t="s">
        <v>71</v>
      </c>
      <c r="D1647" t="s">
        <v>14</v>
      </c>
    </row>
    <row r="1648" spans="1:4" x14ac:dyDescent="0.3">
      <c r="A1648" t="s">
        <v>138</v>
      </c>
      <c r="B1648" s="3">
        <v>0.88938815339808908</v>
      </c>
      <c r="C1648" t="s">
        <v>72</v>
      </c>
      <c r="D1648" t="s">
        <v>10</v>
      </c>
    </row>
    <row r="1649" spans="1:4" x14ac:dyDescent="0.3">
      <c r="A1649" t="s">
        <v>138</v>
      </c>
      <c r="B1649" s="3">
        <v>0.93624848588956833</v>
      </c>
      <c r="C1649" t="s">
        <v>72</v>
      </c>
      <c r="D1649" t="s">
        <v>8</v>
      </c>
    </row>
    <row r="1650" spans="1:4" x14ac:dyDescent="0.3">
      <c r="A1650" t="s">
        <v>138</v>
      </c>
      <c r="B1650" s="3">
        <v>0.93605856388622966</v>
      </c>
      <c r="C1650" t="s">
        <v>72</v>
      </c>
      <c r="D1650" t="s">
        <v>14</v>
      </c>
    </row>
    <row r="1651" spans="1:4" x14ac:dyDescent="0.3">
      <c r="A1651" t="s">
        <v>138</v>
      </c>
      <c r="B1651" s="3">
        <v>0.21910930040518589</v>
      </c>
      <c r="C1651" t="s">
        <v>73</v>
      </c>
      <c r="D1651" t="s">
        <v>6</v>
      </c>
    </row>
    <row r="1652" spans="1:4" x14ac:dyDescent="0.3">
      <c r="A1652" t="s">
        <v>138</v>
      </c>
      <c r="B1652" s="3">
        <v>0.87104191103444562</v>
      </c>
      <c r="C1652" t="s">
        <v>74</v>
      </c>
    </row>
    <row r="1653" spans="1:4" x14ac:dyDescent="0.3">
      <c r="A1653" t="s">
        <v>138</v>
      </c>
      <c r="B1653" s="3">
        <v>0.98099543024310909</v>
      </c>
      <c r="C1653" t="s">
        <v>74</v>
      </c>
      <c r="D1653" t="s">
        <v>14</v>
      </c>
    </row>
    <row r="1654" spans="1:4" x14ac:dyDescent="0.3">
      <c r="A1654" t="s">
        <v>138</v>
      </c>
      <c r="B1654" s="3">
        <v>0.8972993480278102</v>
      </c>
      <c r="C1654" t="s">
        <v>75</v>
      </c>
      <c r="D1654" t="s">
        <v>8</v>
      </c>
    </row>
    <row r="1655" spans="1:4" x14ac:dyDescent="0.3">
      <c r="A1655" t="s">
        <v>138</v>
      </c>
      <c r="B1655" s="3">
        <v>0.94080536142909632</v>
      </c>
      <c r="C1655" t="s">
        <v>76</v>
      </c>
    </row>
    <row r="1656" spans="1:4" x14ac:dyDescent="0.3">
      <c r="A1656" t="s">
        <v>138</v>
      </c>
      <c r="B1656" s="3">
        <v>0.65586456084219491</v>
      </c>
      <c r="C1656" t="s">
        <v>76</v>
      </c>
      <c r="D1656" t="s">
        <v>6</v>
      </c>
    </row>
    <row r="1657" spans="1:4" x14ac:dyDescent="0.3">
      <c r="A1657" t="s">
        <v>138</v>
      </c>
      <c r="B1657" s="3">
        <v>0.88699644012520074</v>
      </c>
      <c r="C1657" t="s">
        <v>76</v>
      </c>
      <c r="D1657" t="s">
        <v>16</v>
      </c>
    </row>
    <row r="1658" spans="1:4" x14ac:dyDescent="0.3">
      <c r="A1658" t="s">
        <v>138</v>
      </c>
      <c r="B1658" s="3">
        <v>0.7647225812260936</v>
      </c>
      <c r="C1658" t="s">
        <v>76</v>
      </c>
      <c r="D1658" t="s">
        <v>10</v>
      </c>
    </row>
    <row r="1659" spans="1:4" x14ac:dyDescent="0.3">
      <c r="A1659" t="s">
        <v>138</v>
      </c>
      <c r="B1659" s="3">
        <v>0.78601337252347614</v>
      </c>
      <c r="C1659" t="s">
        <v>77</v>
      </c>
      <c r="D1659" t="s">
        <v>14</v>
      </c>
    </row>
    <row r="1660" spans="1:4" x14ac:dyDescent="0.3">
      <c r="A1660" t="s">
        <v>138</v>
      </c>
      <c r="B1660" s="3">
        <v>0.95101753207788542</v>
      </c>
      <c r="C1660" t="s">
        <v>78</v>
      </c>
      <c r="D1660" t="s">
        <v>6</v>
      </c>
    </row>
    <row r="1661" spans="1:4" x14ac:dyDescent="0.3">
      <c r="A1661" t="s">
        <v>138</v>
      </c>
      <c r="B1661" s="3">
        <v>0.94333581593619553</v>
      </c>
      <c r="C1661" t="s">
        <v>78</v>
      </c>
      <c r="D1661" t="s">
        <v>10</v>
      </c>
    </row>
    <row r="1662" spans="1:4" x14ac:dyDescent="0.3">
      <c r="A1662" t="s">
        <v>138</v>
      </c>
      <c r="B1662" s="3">
        <v>0.93496158953194042</v>
      </c>
      <c r="C1662" t="s">
        <v>78</v>
      </c>
      <c r="D1662" t="s">
        <v>8</v>
      </c>
    </row>
    <row r="1663" spans="1:4" x14ac:dyDescent="0.3">
      <c r="A1663" t="s">
        <v>138</v>
      </c>
      <c r="B1663" s="3">
        <v>0.89950233024439097</v>
      </c>
      <c r="C1663" t="s">
        <v>78</v>
      </c>
      <c r="D1663" t="s">
        <v>13</v>
      </c>
    </row>
    <row r="1664" spans="1:4" x14ac:dyDescent="0.3">
      <c r="A1664" t="s">
        <v>138</v>
      </c>
      <c r="B1664" s="3">
        <v>0.96003304637905096</v>
      </c>
      <c r="C1664" t="s">
        <v>78</v>
      </c>
      <c r="D1664" t="s">
        <v>14</v>
      </c>
    </row>
    <row r="1665" spans="1:4" x14ac:dyDescent="0.3">
      <c r="A1665" t="s">
        <v>138</v>
      </c>
      <c r="B1665" s="3">
        <v>0.78913001446427122</v>
      </c>
      <c r="C1665" t="s">
        <v>79</v>
      </c>
      <c r="D1665" t="s">
        <v>10</v>
      </c>
    </row>
    <row r="1666" spans="1:4" x14ac:dyDescent="0.3">
      <c r="A1666" t="s">
        <v>138</v>
      </c>
      <c r="B1666" s="3">
        <v>0.9463481532140785</v>
      </c>
      <c r="C1666" t="s">
        <v>80</v>
      </c>
      <c r="D1666" t="s">
        <v>6</v>
      </c>
    </row>
    <row r="1667" spans="1:4" x14ac:dyDescent="0.3">
      <c r="A1667" t="s">
        <v>138</v>
      </c>
      <c r="B1667" s="3">
        <v>0.87843105354404816</v>
      </c>
      <c r="C1667" t="s">
        <v>80</v>
      </c>
      <c r="D1667" t="s">
        <v>16</v>
      </c>
    </row>
    <row r="1668" spans="1:4" x14ac:dyDescent="0.3">
      <c r="A1668" t="s">
        <v>138</v>
      </c>
      <c r="B1668" s="3">
        <v>0.95195706281126125</v>
      </c>
      <c r="C1668" t="s">
        <v>80</v>
      </c>
      <c r="D1668" t="s">
        <v>10</v>
      </c>
    </row>
    <row r="1669" spans="1:4" x14ac:dyDescent="0.3">
      <c r="A1669" t="s">
        <v>138</v>
      </c>
      <c r="B1669" s="3">
        <v>0.93781504512604286</v>
      </c>
      <c r="C1669" t="s">
        <v>80</v>
      </c>
      <c r="D1669" t="s">
        <v>8</v>
      </c>
    </row>
    <row r="1670" spans="1:4" x14ac:dyDescent="0.3">
      <c r="A1670" t="s">
        <v>138</v>
      </c>
      <c r="B1670" s="3">
        <v>0.93360728428135631</v>
      </c>
      <c r="C1670" t="s">
        <v>80</v>
      </c>
      <c r="D1670" t="s">
        <v>13</v>
      </c>
    </row>
    <row r="1671" spans="1:4" x14ac:dyDescent="0.3">
      <c r="A1671" t="s">
        <v>138</v>
      </c>
      <c r="B1671" s="3">
        <v>0.94071550719765962</v>
      </c>
      <c r="C1671" t="s">
        <v>80</v>
      </c>
      <c r="D1671" t="s">
        <v>14</v>
      </c>
    </row>
    <row r="1672" spans="1:4" x14ac:dyDescent="0.3">
      <c r="A1672" t="s">
        <v>138</v>
      </c>
      <c r="B1672" s="3">
        <v>0.96520893247994777</v>
      </c>
      <c r="C1672" t="s">
        <v>81</v>
      </c>
      <c r="D1672" t="s">
        <v>6</v>
      </c>
    </row>
    <row r="1673" spans="1:4" x14ac:dyDescent="0.3">
      <c r="A1673" t="s">
        <v>138</v>
      </c>
      <c r="B1673" s="3">
        <v>0.96230673984480108</v>
      </c>
      <c r="C1673" t="s">
        <v>81</v>
      </c>
      <c r="D1673" t="s">
        <v>10</v>
      </c>
    </row>
    <row r="1674" spans="1:4" x14ac:dyDescent="0.3">
      <c r="A1674" t="s">
        <v>138</v>
      </c>
      <c r="B1674" s="3">
        <v>0.95002484851305058</v>
      </c>
      <c r="C1674" t="s">
        <v>81</v>
      </c>
      <c r="D1674" t="s">
        <v>8</v>
      </c>
    </row>
    <row r="1675" spans="1:4" x14ac:dyDescent="0.3">
      <c r="A1675" t="s">
        <v>138</v>
      </c>
      <c r="B1675" s="3">
        <v>0.94212326274189495</v>
      </c>
      <c r="C1675" t="s">
        <v>81</v>
      </c>
      <c r="D1675" t="s">
        <v>13</v>
      </c>
    </row>
    <row r="1676" spans="1:4" x14ac:dyDescent="0.3">
      <c r="A1676" t="s">
        <v>138</v>
      </c>
      <c r="B1676" s="3">
        <v>0.95836639380480804</v>
      </c>
      <c r="C1676" t="s">
        <v>81</v>
      </c>
      <c r="D1676" t="s">
        <v>14</v>
      </c>
    </row>
    <row r="1677" spans="1:4" x14ac:dyDescent="0.3">
      <c r="A1677" t="s">
        <v>138</v>
      </c>
      <c r="B1677" s="3">
        <v>0.84444971074980257</v>
      </c>
      <c r="C1677" t="s">
        <v>82</v>
      </c>
      <c r="D1677" t="s">
        <v>10</v>
      </c>
    </row>
    <row r="1678" spans="1:4" x14ac:dyDescent="0.3">
      <c r="A1678" t="s">
        <v>138</v>
      </c>
      <c r="B1678" s="3">
        <v>0.97789001516273188</v>
      </c>
      <c r="C1678" t="s">
        <v>83</v>
      </c>
      <c r="D1678" t="s">
        <v>10</v>
      </c>
    </row>
    <row r="1679" spans="1:4" x14ac:dyDescent="0.3">
      <c r="A1679" t="s">
        <v>138</v>
      </c>
      <c r="B1679" s="3">
        <v>0.95720359999744686</v>
      </c>
      <c r="C1679" t="s">
        <v>83</v>
      </c>
      <c r="D1679" t="s">
        <v>8</v>
      </c>
    </row>
    <row r="1680" spans="1:4" x14ac:dyDescent="0.3">
      <c r="A1680" t="s">
        <v>138</v>
      </c>
      <c r="B1680" s="3">
        <v>0.79980610099861316</v>
      </c>
      <c r="C1680" t="s">
        <v>84</v>
      </c>
      <c r="D1680" t="s">
        <v>8</v>
      </c>
    </row>
    <row r="1681" spans="1:4" x14ac:dyDescent="0.3">
      <c r="A1681" t="s">
        <v>138</v>
      </c>
      <c r="B1681" s="3">
        <v>0.91391204638560952</v>
      </c>
      <c r="C1681" t="s">
        <v>85</v>
      </c>
      <c r="D1681" t="s">
        <v>13</v>
      </c>
    </row>
    <row r="1682" spans="1:4" x14ac:dyDescent="0.3">
      <c r="A1682" t="s">
        <v>138</v>
      </c>
      <c r="B1682" s="3">
        <v>0.96597777318036249</v>
      </c>
      <c r="C1682" t="s">
        <v>86</v>
      </c>
      <c r="D1682" t="s">
        <v>6</v>
      </c>
    </row>
    <row r="1683" spans="1:4" x14ac:dyDescent="0.3">
      <c r="A1683" t="s">
        <v>138</v>
      </c>
      <c r="B1683" s="3">
        <v>0.9933088468349287</v>
      </c>
      <c r="C1683" t="s">
        <v>86</v>
      </c>
      <c r="D1683" t="s">
        <v>16</v>
      </c>
    </row>
    <row r="1684" spans="1:4" x14ac:dyDescent="0.3">
      <c r="A1684" t="s">
        <v>138</v>
      </c>
      <c r="B1684" s="3">
        <v>0.98102572320169268</v>
      </c>
      <c r="C1684" t="s">
        <v>86</v>
      </c>
      <c r="D1684" t="s">
        <v>10</v>
      </c>
    </row>
    <row r="1685" spans="1:4" x14ac:dyDescent="0.3">
      <c r="A1685" t="s">
        <v>138</v>
      </c>
      <c r="B1685" s="3">
        <v>0.97908340476729061</v>
      </c>
      <c r="C1685" t="s">
        <v>86</v>
      </c>
      <c r="D1685" t="s">
        <v>8</v>
      </c>
    </row>
    <row r="1686" spans="1:4" x14ac:dyDescent="0.3">
      <c r="A1686" t="s">
        <v>138</v>
      </c>
      <c r="B1686" s="3">
        <v>0.97472683759837253</v>
      </c>
      <c r="C1686" t="s">
        <v>86</v>
      </c>
      <c r="D1686" t="s">
        <v>13</v>
      </c>
    </row>
    <row r="1687" spans="1:4" x14ac:dyDescent="0.3">
      <c r="A1687" t="s">
        <v>138</v>
      </c>
      <c r="B1687" s="3">
        <v>0.96064561781873437</v>
      </c>
      <c r="C1687" t="s">
        <v>86</v>
      </c>
      <c r="D1687" t="s">
        <v>14</v>
      </c>
    </row>
    <row r="1688" spans="1:4" x14ac:dyDescent="0.3">
      <c r="A1688" t="s">
        <v>138</v>
      </c>
      <c r="B1688" s="3">
        <v>0.98987470736489258</v>
      </c>
      <c r="C1688" t="s">
        <v>87</v>
      </c>
    </row>
    <row r="1689" spans="1:4" x14ac:dyDescent="0.3">
      <c r="A1689" t="s">
        <v>138</v>
      </c>
      <c r="B1689" s="3">
        <v>0.96089723919301218</v>
      </c>
      <c r="C1689" t="s">
        <v>87</v>
      </c>
      <c r="D1689" t="s">
        <v>6</v>
      </c>
    </row>
    <row r="1690" spans="1:4" x14ac:dyDescent="0.3">
      <c r="A1690" t="s">
        <v>138</v>
      </c>
      <c r="B1690" s="3">
        <v>0.84770935970805694</v>
      </c>
      <c r="C1690" t="s">
        <v>88</v>
      </c>
      <c r="D1690" t="s">
        <v>6</v>
      </c>
    </row>
    <row r="1691" spans="1:4" x14ac:dyDescent="0.3">
      <c r="A1691" t="s">
        <v>138</v>
      </c>
      <c r="B1691" s="3">
        <v>0.97769214357513001</v>
      </c>
      <c r="C1691" t="s">
        <v>89</v>
      </c>
      <c r="D1691" t="s">
        <v>8</v>
      </c>
    </row>
    <row r="1692" spans="1:4" x14ac:dyDescent="0.3">
      <c r="A1692" t="s">
        <v>138</v>
      </c>
      <c r="B1692" s="3">
        <v>0.94470625484213622</v>
      </c>
      <c r="C1692" t="s">
        <v>90</v>
      </c>
      <c r="D1692" t="s">
        <v>6</v>
      </c>
    </row>
    <row r="1693" spans="1:4" x14ac:dyDescent="0.3">
      <c r="A1693" t="s">
        <v>138</v>
      </c>
      <c r="B1693" s="3">
        <v>0.91828025417771597</v>
      </c>
      <c r="C1693" t="s">
        <v>90</v>
      </c>
      <c r="D1693" t="s">
        <v>10</v>
      </c>
    </row>
    <row r="1694" spans="1:4" x14ac:dyDescent="0.3">
      <c r="A1694" t="s">
        <v>138</v>
      </c>
      <c r="B1694" s="3">
        <v>0.9126635332102333</v>
      </c>
      <c r="C1694" t="s">
        <v>90</v>
      </c>
      <c r="D1694" t="s">
        <v>8</v>
      </c>
    </row>
    <row r="1695" spans="1:4" x14ac:dyDescent="0.3">
      <c r="A1695" t="s">
        <v>138</v>
      </c>
      <c r="B1695" s="3">
        <v>0.95597455809897192</v>
      </c>
      <c r="C1695" t="s">
        <v>90</v>
      </c>
      <c r="D1695" t="s">
        <v>13</v>
      </c>
    </row>
    <row r="1696" spans="1:4" x14ac:dyDescent="0.3">
      <c r="A1696" t="s">
        <v>138</v>
      </c>
      <c r="B1696" s="3">
        <v>0.42791390406561541</v>
      </c>
      <c r="C1696" t="s">
        <v>91</v>
      </c>
      <c r="D1696" t="s">
        <v>8</v>
      </c>
    </row>
    <row r="1697" spans="1:4" x14ac:dyDescent="0.3">
      <c r="A1697" t="s">
        <v>138</v>
      </c>
      <c r="B1697" s="3">
        <v>0.74091925749454557</v>
      </c>
      <c r="C1697" t="s">
        <v>92</v>
      </c>
      <c r="D1697" t="s">
        <v>16</v>
      </c>
    </row>
    <row r="1698" spans="1:4" x14ac:dyDescent="0.3">
      <c r="A1698" t="s">
        <v>138</v>
      </c>
      <c r="B1698" s="3">
        <v>0.33458851715793736</v>
      </c>
      <c r="C1698" t="s">
        <v>136</v>
      </c>
      <c r="D1698" t="s">
        <v>8</v>
      </c>
    </row>
    <row r="1699" spans="1:4" x14ac:dyDescent="0.3">
      <c r="A1699" t="s">
        <v>138</v>
      </c>
      <c r="B1699" s="3">
        <v>1</v>
      </c>
      <c r="C1699" t="s">
        <v>93</v>
      </c>
    </row>
    <row r="1700" spans="1:4" x14ac:dyDescent="0.3">
      <c r="A1700" t="s">
        <v>138</v>
      </c>
      <c r="B1700" s="3">
        <v>0.90808064636995978</v>
      </c>
      <c r="C1700" t="s">
        <v>94</v>
      </c>
    </row>
    <row r="1701" spans="1:4" x14ac:dyDescent="0.3">
      <c r="A1701" t="s">
        <v>138</v>
      </c>
      <c r="B1701" s="3">
        <v>0.82125727740262922</v>
      </c>
      <c r="C1701" t="s">
        <v>94</v>
      </c>
      <c r="D1701" t="s">
        <v>6</v>
      </c>
    </row>
    <row r="1702" spans="1:4" x14ac:dyDescent="0.3">
      <c r="A1702" t="s">
        <v>138</v>
      </c>
      <c r="B1702" s="3">
        <v>0.90714863830783998</v>
      </c>
      <c r="C1702" t="s">
        <v>95</v>
      </c>
      <c r="D1702" t="s">
        <v>16</v>
      </c>
    </row>
    <row r="1703" spans="1:4" x14ac:dyDescent="0.3">
      <c r="A1703" t="s">
        <v>138</v>
      </c>
      <c r="B1703" s="3">
        <v>0.55729815933277815</v>
      </c>
      <c r="C1703" t="s">
        <v>96</v>
      </c>
      <c r="D1703" t="s">
        <v>8</v>
      </c>
    </row>
    <row r="1704" spans="1:4" x14ac:dyDescent="0.3">
      <c r="A1704" t="s">
        <v>138</v>
      </c>
      <c r="B1704" s="3">
        <v>0.92238092978426511</v>
      </c>
      <c r="C1704" t="s">
        <v>97</v>
      </c>
      <c r="D1704" t="s">
        <v>6</v>
      </c>
    </row>
    <row r="1705" spans="1:4" x14ac:dyDescent="0.3">
      <c r="A1705" t="s">
        <v>138</v>
      </c>
      <c r="B1705" s="3">
        <v>0.9020697213348301</v>
      </c>
      <c r="C1705" t="s">
        <v>97</v>
      </c>
      <c r="D1705" t="s">
        <v>10</v>
      </c>
    </row>
    <row r="1706" spans="1:4" x14ac:dyDescent="0.3">
      <c r="A1706" t="s">
        <v>138</v>
      </c>
      <c r="B1706" s="3">
        <v>0.92813578471326552</v>
      </c>
      <c r="C1706" t="s">
        <v>97</v>
      </c>
      <c r="D1706" t="s">
        <v>8</v>
      </c>
    </row>
    <row r="1707" spans="1:4" x14ac:dyDescent="0.3">
      <c r="A1707" t="s">
        <v>138</v>
      </c>
      <c r="B1707" s="3">
        <v>0.85320071601326097</v>
      </c>
      <c r="C1707" t="s">
        <v>97</v>
      </c>
      <c r="D1707" t="s">
        <v>13</v>
      </c>
    </row>
    <row r="1708" spans="1:4" x14ac:dyDescent="0.3">
      <c r="A1708" t="s">
        <v>138</v>
      </c>
      <c r="B1708" s="3">
        <v>0.92993024528279766</v>
      </c>
      <c r="C1708" t="s">
        <v>97</v>
      </c>
      <c r="D1708" t="s">
        <v>14</v>
      </c>
    </row>
    <row r="1709" spans="1:4" x14ac:dyDescent="0.3">
      <c r="A1709" t="s">
        <v>138</v>
      </c>
      <c r="B1709" s="3">
        <v>0.62620795284247588</v>
      </c>
      <c r="C1709" t="s">
        <v>98</v>
      </c>
      <c r="D1709" t="s">
        <v>14</v>
      </c>
    </row>
    <row r="1710" spans="1:4" x14ac:dyDescent="0.3">
      <c r="A1710" t="s">
        <v>138</v>
      </c>
      <c r="B1710" s="3">
        <v>0.99068653652218464</v>
      </c>
      <c r="C1710" t="s">
        <v>99</v>
      </c>
      <c r="D1710" t="s">
        <v>13</v>
      </c>
    </row>
    <row r="1711" spans="1:4" x14ac:dyDescent="0.3">
      <c r="A1711" t="s">
        <v>138</v>
      </c>
      <c r="B1711" s="3">
        <v>0.82841786827558095</v>
      </c>
      <c r="C1711" t="s">
        <v>100</v>
      </c>
      <c r="D1711" t="s">
        <v>14</v>
      </c>
    </row>
    <row r="1712" spans="1:4" x14ac:dyDescent="0.3">
      <c r="A1712" t="s">
        <v>138</v>
      </c>
      <c r="B1712" s="3">
        <v>0.95704178113956584</v>
      </c>
      <c r="C1712" t="s">
        <v>101</v>
      </c>
      <c r="D1712" t="s">
        <v>6</v>
      </c>
    </row>
    <row r="1713" spans="1:4" x14ac:dyDescent="0.3">
      <c r="A1713" t="s">
        <v>138</v>
      </c>
      <c r="B1713" s="3">
        <v>0.96291126098285651</v>
      </c>
      <c r="C1713" t="s">
        <v>101</v>
      </c>
      <c r="D1713" t="s">
        <v>10</v>
      </c>
    </row>
    <row r="1714" spans="1:4" x14ac:dyDescent="0.3">
      <c r="A1714" t="s">
        <v>138</v>
      </c>
      <c r="B1714" s="3">
        <v>0.94652091872239552</v>
      </c>
      <c r="C1714" t="s">
        <v>101</v>
      </c>
      <c r="D1714" t="s">
        <v>8</v>
      </c>
    </row>
    <row r="1715" spans="1:4" x14ac:dyDescent="0.3">
      <c r="A1715" t="s">
        <v>138</v>
      </c>
      <c r="B1715" s="3">
        <v>0.9517696447324282</v>
      </c>
      <c r="C1715" t="s">
        <v>101</v>
      </c>
      <c r="D1715" t="s">
        <v>14</v>
      </c>
    </row>
    <row r="1716" spans="1:4" x14ac:dyDescent="0.3">
      <c r="A1716" t="s">
        <v>138</v>
      </c>
      <c r="B1716" s="3">
        <v>0.94352806481303586</v>
      </c>
      <c r="C1716" t="s">
        <v>102</v>
      </c>
      <c r="D1716" t="s">
        <v>8</v>
      </c>
    </row>
    <row r="1717" spans="1:4" x14ac:dyDescent="0.3">
      <c r="A1717" t="s">
        <v>138</v>
      </c>
      <c r="B1717" s="3">
        <v>0.94454753859407048</v>
      </c>
      <c r="C1717" t="s">
        <v>103</v>
      </c>
      <c r="D1717" t="s">
        <v>6</v>
      </c>
    </row>
    <row r="1718" spans="1:4" x14ac:dyDescent="0.3">
      <c r="A1718" t="s">
        <v>138</v>
      </c>
      <c r="B1718" s="3">
        <v>0.85636251648480188</v>
      </c>
      <c r="C1718" t="s">
        <v>103</v>
      </c>
      <c r="D1718" t="s">
        <v>10</v>
      </c>
    </row>
    <row r="1719" spans="1:4" x14ac:dyDescent="0.3">
      <c r="A1719" t="s">
        <v>138</v>
      </c>
      <c r="B1719" s="3">
        <v>0.98936506675562275</v>
      </c>
      <c r="C1719" t="s">
        <v>103</v>
      </c>
      <c r="D1719" t="s">
        <v>14</v>
      </c>
    </row>
    <row r="1720" spans="1:4" x14ac:dyDescent="0.3">
      <c r="A1720" t="s">
        <v>138</v>
      </c>
      <c r="B1720" s="3">
        <v>0.97226941728875549</v>
      </c>
      <c r="C1720" t="s">
        <v>105</v>
      </c>
      <c r="D1720" t="s">
        <v>6</v>
      </c>
    </row>
    <row r="1721" spans="1:4" x14ac:dyDescent="0.3">
      <c r="A1721" t="s">
        <v>138</v>
      </c>
      <c r="B1721" s="3">
        <v>0.95612156526385328</v>
      </c>
      <c r="C1721" t="s">
        <v>105</v>
      </c>
      <c r="D1721" t="s">
        <v>16</v>
      </c>
    </row>
    <row r="1722" spans="1:4" x14ac:dyDescent="0.3">
      <c r="A1722" t="s">
        <v>138</v>
      </c>
      <c r="B1722" s="3">
        <v>0.96709086925115295</v>
      </c>
      <c r="C1722" t="s">
        <v>105</v>
      </c>
      <c r="D1722" t="s">
        <v>10</v>
      </c>
    </row>
    <row r="1723" spans="1:4" x14ac:dyDescent="0.3">
      <c r="A1723" t="s">
        <v>138</v>
      </c>
      <c r="B1723" s="3">
        <v>0.96426305209064322</v>
      </c>
      <c r="C1723" t="s">
        <v>105</v>
      </c>
      <c r="D1723" t="s">
        <v>8</v>
      </c>
    </row>
    <row r="1724" spans="1:4" x14ac:dyDescent="0.3">
      <c r="A1724" t="s">
        <v>138</v>
      </c>
      <c r="B1724" s="3">
        <v>0.94911165211474469</v>
      </c>
      <c r="C1724" t="s">
        <v>105</v>
      </c>
      <c r="D1724" t="s">
        <v>13</v>
      </c>
    </row>
    <row r="1725" spans="1:4" x14ac:dyDescent="0.3">
      <c r="A1725" t="s">
        <v>138</v>
      </c>
      <c r="B1725" s="3">
        <v>0.9702364286580597</v>
      </c>
      <c r="C1725" t="s">
        <v>105</v>
      </c>
      <c r="D1725" t="s">
        <v>14</v>
      </c>
    </row>
    <row r="1726" spans="1:4" x14ac:dyDescent="0.3">
      <c r="A1726" t="s">
        <v>138</v>
      </c>
      <c r="B1726" s="3">
        <v>0.92773798602623991</v>
      </c>
      <c r="C1726" t="s">
        <v>106</v>
      </c>
      <c r="D1726" t="s">
        <v>16</v>
      </c>
    </row>
    <row r="1727" spans="1:4" x14ac:dyDescent="0.3">
      <c r="A1727" t="s">
        <v>138</v>
      </c>
      <c r="B1727" s="3">
        <v>0.92940004152931854</v>
      </c>
      <c r="C1727" t="s">
        <v>107</v>
      </c>
      <c r="D1727" t="s">
        <v>16</v>
      </c>
    </row>
    <row r="1728" spans="1:4" x14ac:dyDescent="0.3">
      <c r="A1728" t="s">
        <v>138</v>
      </c>
      <c r="B1728" s="3">
        <v>0.96627748045956485</v>
      </c>
      <c r="C1728" t="s">
        <v>108</v>
      </c>
      <c r="D1728" t="s">
        <v>16</v>
      </c>
    </row>
    <row r="1729" spans="1:4" x14ac:dyDescent="0.3">
      <c r="A1729" t="s">
        <v>138</v>
      </c>
      <c r="B1729" s="3">
        <v>0.90990092085814256</v>
      </c>
      <c r="C1729" t="s">
        <v>109</v>
      </c>
      <c r="D1729" t="s">
        <v>8</v>
      </c>
    </row>
    <row r="1730" spans="1:4" x14ac:dyDescent="0.3">
      <c r="A1730" t="s">
        <v>138</v>
      </c>
      <c r="B1730" s="3">
        <v>0.9304174153091701</v>
      </c>
      <c r="C1730" t="s">
        <v>110</v>
      </c>
    </row>
    <row r="1731" spans="1:4" x14ac:dyDescent="0.3">
      <c r="A1731" t="s">
        <v>138</v>
      </c>
      <c r="B1731" s="3">
        <v>0.79129939365180069</v>
      </c>
      <c r="C1731" t="s">
        <v>110</v>
      </c>
      <c r="D1731" t="s">
        <v>6</v>
      </c>
    </row>
    <row r="1732" spans="1:4" x14ac:dyDescent="0.3">
      <c r="A1732" t="s">
        <v>138</v>
      </c>
      <c r="B1732" s="3">
        <v>0.86181575682464939</v>
      </c>
      <c r="C1732" t="s">
        <v>111</v>
      </c>
      <c r="D1732" t="s">
        <v>13</v>
      </c>
    </row>
    <row r="1733" spans="1:4" x14ac:dyDescent="0.3">
      <c r="A1733" t="s">
        <v>138</v>
      </c>
      <c r="B1733" s="3">
        <v>0.82782745653167611</v>
      </c>
      <c r="C1733" t="s">
        <v>112</v>
      </c>
      <c r="D1733" t="s">
        <v>6</v>
      </c>
    </row>
    <row r="1734" spans="1:4" x14ac:dyDescent="0.3">
      <c r="A1734" t="s">
        <v>138</v>
      </c>
      <c r="B1734" s="3">
        <v>1</v>
      </c>
      <c r="C1734" t="s">
        <v>113</v>
      </c>
    </row>
    <row r="1735" spans="1:4" x14ac:dyDescent="0.3">
      <c r="A1735" t="s">
        <v>138</v>
      </c>
      <c r="B1735" s="3">
        <v>0.98001782244947311</v>
      </c>
      <c r="C1735" t="s">
        <v>113</v>
      </c>
      <c r="D1735" t="s">
        <v>16</v>
      </c>
    </row>
    <row r="1736" spans="1:4" x14ac:dyDescent="0.3">
      <c r="A1736" t="s">
        <v>138</v>
      </c>
      <c r="B1736" s="3">
        <v>0.83859660347342002</v>
      </c>
      <c r="C1736" t="s">
        <v>114</v>
      </c>
      <c r="D1736" t="s">
        <v>16</v>
      </c>
    </row>
    <row r="1737" spans="1:4" x14ac:dyDescent="0.3">
      <c r="A1737" t="s">
        <v>138</v>
      </c>
      <c r="B1737" s="3">
        <v>0.84857198599997707</v>
      </c>
      <c r="C1737" t="s">
        <v>115</v>
      </c>
      <c r="D1737" t="s">
        <v>6</v>
      </c>
    </row>
    <row r="1738" spans="1:4" x14ac:dyDescent="0.3">
      <c r="A1738" t="s">
        <v>138</v>
      </c>
      <c r="B1738" s="3">
        <v>0.8846656648641823</v>
      </c>
      <c r="C1738" t="s">
        <v>116</v>
      </c>
      <c r="D1738" t="s">
        <v>16</v>
      </c>
    </row>
    <row r="1739" spans="1:4" x14ac:dyDescent="0.3">
      <c r="A1739" t="s">
        <v>138</v>
      </c>
      <c r="B1739" s="3">
        <v>0.22040052356451617</v>
      </c>
      <c r="C1739" t="s">
        <v>117</v>
      </c>
      <c r="D1739" t="s">
        <v>13</v>
      </c>
    </row>
    <row r="1740" spans="1:4" x14ac:dyDescent="0.3">
      <c r="A1740" t="s">
        <v>138</v>
      </c>
      <c r="B1740" s="3">
        <v>0.85898823803962066</v>
      </c>
      <c r="C1740" t="s">
        <v>118</v>
      </c>
    </row>
    <row r="1741" spans="1:4" x14ac:dyDescent="0.3">
      <c r="A1741" t="s">
        <v>138</v>
      </c>
      <c r="B1741" s="3">
        <v>0.89845338651620676</v>
      </c>
      <c r="C1741" t="s">
        <v>118</v>
      </c>
      <c r="D1741" t="s">
        <v>16</v>
      </c>
    </row>
    <row r="1742" spans="1:4" x14ac:dyDescent="0.3">
      <c r="A1742" t="s">
        <v>138</v>
      </c>
      <c r="B1742" s="3">
        <v>0.94507777865287557</v>
      </c>
      <c r="C1742" t="s">
        <v>118</v>
      </c>
      <c r="D1742" t="s">
        <v>13</v>
      </c>
    </row>
    <row r="1743" spans="1:4" x14ac:dyDescent="0.3">
      <c r="A1743" t="s">
        <v>138</v>
      </c>
      <c r="B1743" s="3">
        <v>0.74494277351543847</v>
      </c>
      <c r="C1743" t="s">
        <v>119</v>
      </c>
      <c r="D1743" t="s">
        <v>8</v>
      </c>
    </row>
    <row r="1744" spans="1:4" x14ac:dyDescent="0.3">
      <c r="A1744" t="s">
        <v>138</v>
      </c>
      <c r="B1744" s="3">
        <v>0.52504846790953452</v>
      </c>
      <c r="C1744" t="s">
        <v>120</v>
      </c>
      <c r="D1744" t="s">
        <v>14</v>
      </c>
    </row>
    <row r="1745" spans="1:4" x14ac:dyDescent="0.3">
      <c r="A1745" t="s">
        <v>138</v>
      </c>
      <c r="B1745" s="3">
        <v>0.82156121250386771</v>
      </c>
      <c r="C1745" t="s">
        <v>121</v>
      </c>
      <c r="D1745" t="s">
        <v>16</v>
      </c>
    </row>
    <row r="1746" spans="1:4" x14ac:dyDescent="0.3">
      <c r="A1746" t="s">
        <v>138</v>
      </c>
      <c r="B1746" s="3">
        <v>0.96761154042059749</v>
      </c>
      <c r="C1746" t="s">
        <v>122</v>
      </c>
    </row>
    <row r="1747" spans="1:4" x14ac:dyDescent="0.3">
      <c r="A1747" t="s">
        <v>138</v>
      </c>
      <c r="B1747" s="3">
        <v>0.92550593017914329</v>
      </c>
      <c r="C1747" t="s">
        <v>122</v>
      </c>
      <c r="D1747" t="s">
        <v>16</v>
      </c>
    </row>
    <row r="1748" spans="1:4" x14ac:dyDescent="0.3">
      <c r="A1748" t="s">
        <v>138</v>
      </c>
      <c r="B1748" s="3">
        <v>0.98068748556563634</v>
      </c>
      <c r="C1748" t="s">
        <v>123</v>
      </c>
      <c r="D1748" t="s">
        <v>16</v>
      </c>
    </row>
    <row r="1749" spans="1:4" x14ac:dyDescent="0.3">
      <c r="A1749" t="s">
        <v>138</v>
      </c>
      <c r="B1749" s="3">
        <v>0.95886270513754357</v>
      </c>
      <c r="C1749" t="s">
        <v>124</v>
      </c>
      <c r="D1749" t="s">
        <v>6</v>
      </c>
    </row>
    <row r="1750" spans="1:4" x14ac:dyDescent="0.3">
      <c r="A1750" t="s">
        <v>138</v>
      </c>
      <c r="B1750" s="3">
        <v>0.7240518439633038</v>
      </c>
      <c r="C1750" t="s">
        <v>125</v>
      </c>
      <c r="D1750" t="s">
        <v>14</v>
      </c>
    </row>
    <row r="1751" spans="1:4" x14ac:dyDescent="0.3">
      <c r="A1751" t="s">
        <v>138</v>
      </c>
      <c r="B1751" s="3">
        <v>0.95190221483162918</v>
      </c>
      <c r="C1751" t="s">
        <v>126</v>
      </c>
      <c r="D1751" t="s">
        <v>10</v>
      </c>
    </row>
    <row r="1752" spans="1:4" x14ac:dyDescent="0.3">
      <c r="A1752" t="s">
        <v>138</v>
      </c>
      <c r="B1752" s="3">
        <v>0.97681989063567998</v>
      </c>
      <c r="C1752" t="s">
        <v>126</v>
      </c>
      <c r="D1752" t="s">
        <v>8</v>
      </c>
    </row>
    <row r="1753" spans="1:4" x14ac:dyDescent="0.3">
      <c r="A1753" t="s">
        <v>138</v>
      </c>
      <c r="B1753" s="3">
        <v>0.96278304040345419</v>
      </c>
      <c r="C1753" t="s">
        <v>126</v>
      </c>
      <c r="D1753" t="s">
        <v>13</v>
      </c>
    </row>
    <row r="1754" spans="1:4" x14ac:dyDescent="0.3">
      <c r="A1754" t="s">
        <v>139</v>
      </c>
      <c r="B1754" s="3">
        <v>0.98379153354209981</v>
      </c>
      <c r="C1754" t="s">
        <v>9</v>
      </c>
      <c r="D1754" t="s">
        <v>10</v>
      </c>
    </row>
    <row r="1755" spans="1:4" x14ac:dyDescent="0.3">
      <c r="A1755" t="s">
        <v>139</v>
      </c>
      <c r="B1755" s="3">
        <v>1</v>
      </c>
      <c r="C1755" t="s">
        <v>15</v>
      </c>
      <c r="D1755" t="s">
        <v>16</v>
      </c>
    </row>
    <row r="1756" spans="1:4" x14ac:dyDescent="0.3">
      <c r="A1756" t="s">
        <v>139</v>
      </c>
      <c r="B1756" s="3">
        <v>1</v>
      </c>
      <c r="C1756" t="s">
        <v>17</v>
      </c>
      <c r="D1756" t="s">
        <v>16</v>
      </c>
    </row>
    <row r="1757" spans="1:4" x14ac:dyDescent="0.3">
      <c r="A1757" t="s">
        <v>139</v>
      </c>
      <c r="B1757" s="3">
        <v>0.94546396745877836</v>
      </c>
      <c r="C1757" t="s">
        <v>28</v>
      </c>
      <c r="D1757" t="s">
        <v>14</v>
      </c>
    </row>
    <row r="1758" spans="1:4" x14ac:dyDescent="0.3">
      <c r="A1758" t="s">
        <v>139</v>
      </c>
      <c r="B1758" s="3">
        <v>0.97837721139855272</v>
      </c>
      <c r="C1758" t="s">
        <v>29</v>
      </c>
      <c r="D1758" t="s">
        <v>6</v>
      </c>
    </row>
    <row r="1759" spans="1:4" x14ac:dyDescent="0.3">
      <c r="A1759" t="s">
        <v>139</v>
      </c>
      <c r="B1759" s="3">
        <v>0.99674127144746894</v>
      </c>
      <c r="C1759" t="s">
        <v>29</v>
      </c>
      <c r="D1759" t="s">
        <v>10</v>
      </c>
    </row>
    <row r="1760" spans="1:4" x14ac:dyDescent="0.3">
      <c r="A1760" t="s">
        <v>139</v>
      </c>
      <c r="B1760" s="3">
        <v>0.93909191057955832</v>
      </c>
      <c r="C1760" t="s">
        <v>29</v>
      </c>
      <c r="D1760" t="s">
        <v>14</v>
      </c>
    </row>
    <row r="1761" spans="1:4" x14ac:dyDescent="0.3">
      <c r="A1761" t="s">
        <v>139</v>
      </c>
      <c r="B1761" s="3">
        <v>0.92319726644323408</v>
      </c>
      <c r="C1761" t="s">
        <v>32</v>
      </c>
      <c r="D1761" t="s">
        <v>16</v>
      </c>
    </row>
    <row r="1762" spans="1:4" x14ac:dyDescent="0.3">
      <c r="A1762" t="s">
        <v>139</v>
      </c>
      <c r="B1762" s="3">
        <v>1</v>
      </c>
      <c r="C1762" t="s">
        <v>34</v>
      </c>
      <c r="D1762" t="s">
        <v>16</v>
      </c>
    </row>
    <row r="1763" spans="1:4" x14ac:dyDescent="0.3">
      <c r="A1763" t="s">
        <v>139</v>
      </c>
      <c r="B1763" s="3">
        <v>0.96739267452736777</v>
      </c>
      <c r="C1763" t="s">
        <v>39</v>
      </c>
      <c r="D1763" t="s">
        <v>6</v>
      </c>
    </row>
    <row r="1764" spans="1:4" x14ac:dyDescent="0.3">
      <c r="A1764" t="s">
        <v>139</v>
      </c>
      <c r="B1764" s="3">
        <v>0.97374757664915701</v>
      </c>
      <c r="C1764" t="s">
        <v>39</v>
      </c>
      <c r="D1764" t="s">
        <v>10</v>
      </c>
    </row>
    <row r="1765" spans="1:4" x14ac:dyDescent="0.3">
      <c r="A1765" t="s">
        <v>139</v>
      </c>
      <c r="B1765" s="3">
        <v>0.9356677446794085</v>
      </c>
      <c r="C1765" t="s">
        <v>39</v>
      </c>
      <c r="D1765" t="s">
        <v>8</v>
      </c>
    </row>
    <row r="1766" spans="1:4" x14ac:dyDescent="0.3">
      <c r="A1766" t="s">
        <v>139</v>
      </c>
      <c r="B1766" s="3">
        <v>0.99646697054822686</v>
      </c>
      <c r="C1766" t="s">
        <v>42</v>
      </c>
      <c r="D1766" t="s">
        <v>10</v>
      </c>
    </row>
    <row r="1767" spans="1:4" x14ac:dyDescent="0.3">
      <c r="A1767" t="s">
        <v>139</v>
      </c>
      <c r="B1767" s="3">
        <v>0.99827077392150432</v>
      </c>
      <c r="C1767" t="s">
        <v>42</v>
      </c>
      <c r="D1767" t="s">
        <v>8</v>
      </c>
    </row>
    <row r="1768" spans="1:4" x14ac:dyDescent="0.3">
      <c r="A1768" t="s">
        <v>139</v>
      </c>
      <c r="B1768" s="3">
        <v>0.95981326698688163</v>
      </c>
      <c r="C1768" t="s">
        <v>47</v>
      </c>
      <c r="D1768" t="s">
        <v>10</v>
      </c>
    </row>
    <row r="1769" spans="1:4" x14ac:dyDescent="0.3">
      <c r="A1769" t="s">
        <v>139</v>
      </c>
      <c r="B1769" s="3">
        <v>0.97298856871977901</v>
      </c>
      <c r="C1769" t="s">
        <v>47</v>
      </c>
      <c r="D1769" t="s">
        <v>8</v>
      </c>
    </row>
    <row r="1770" spans="1:4" x14ac:dyDescent="0.3">
      <c r="A1770" t="s">
        <v>139</v>
      </c>
      <c r="B1770" s="3">
        <v>0.99481549455389351</v>
      </c>
      <c r="C1770" t="s">
        <v>47</v>
      </c>
      <c r="D1770" t="s">
        <v>14</v>
      </c>
    </row>
    <row r="1771" spans="1:4" x14ac:dyDescent="0.3">
      <c r="A1771" t="s">
        <v>139</v>
      </c>
      <c r="B1771" s="3">
        <v>0.79538892777700265</v>
      </c>
      <c r="C1771" t="s">
        <v>50</v>
      </c>
      <c r="D1771" t="s">
        <v>14</v>
      </c>
    </row>
    <row r="1772" spans="1:4" x14ac:dyDescent="0.3">
      <c r="A1772" t="s">
        <v>139</v>
      </c>
      <c r="B1772" s="3">
        <v>0.85857148365169778</v>
      </c>
      <c r="C1772" t="s">
        <v>55</v>
      </c>
      <c r="D1772" t="s">
        <v>10</v>
      </c>
    </row>
    <row r="1773" spans="1:4" x14ac:dyDescent="0.3">
      <c r="A1773" t="s">
        <v>139</v>
      </c>
      <c r="B1773" s="3">
        <v>0.97377227150013701</v>
      </c>
      <c r="C1773" t="s">
        <v>63</v>
      </c>
      <c r="D1773" t="s">
        <v>6</v>
      </c>
    </row>
    <row r="1774" spans="1:4" x14ac:dyDescent="0.3">
      <c r="A1774" t="s">
        <v>139</v>
      </c>
      <c r="B1774" s="3">
        <v>0.95039152710412422</v>
      </c>
      <c r="C1774" t="s">
        <v>64</v>
      </c>
      <c r="D1774" t="s">
        <v>16</v>
      </c>
    </row>
    <row r="1775" spans="1:4" x14ac:dyDescent="0.3">
      <c r="A1775" t="s">
        <v>139</v>
      </c>
      <c r="B1775" s="3">
        <v>0.98103095365118065</v>
      </c>
      <c r="C1775" t="s">
        <v>69</v>
      </c>
      <c r="D1775" t="s">
        <v>6</v>
      </c>
    </row>
    <row r="1776" spans="1:4" x14ac:dyDescent="0.3">
      <c r="A1776" t="s">
        <v>139</v>
      </c>
      <c r="B1776" s="3">
        <v>0.98420048342295008</v>
      </c>
      <c r="C1776" t="s">
        <v>69</v>
      </c>
      <c r="D1776" t="s">
        <v>16</v>
      </c>
    </row>
    <row r="1777" spans="1:4" x14ac:dyDescent="0.3">
      <c r="A1777" t="s">
        <v>139</v>
      </c>
      <c r="B1777" s="3">
        <v>0.95990724300181596</v>
      </c>
      <c r="C1777" t="s">
        <v>69</v>
      </c>
      <c r="D1777" t="s">
        <v>10</v>
      </c>
    </row>
    <row r="1778" spans="1:4" x14ac:dyDescent="0.3">
      <c r="A1778" t="s">
        <v>139</v>
      </c>
      <c r="B1778" s="3">
        <v>0.95824527896130562</v>
      </c>
      <c r="C1778" t="s">
        <v>69</v>
      </c>
      <c r="D1778" t="s">
        <v>8</v>
      </c>
    </row>
    <row r="1779" spans="1:4" x14ac:dyDescent="0.3">
      <c r="A1779" t="s">
        <v>139</v>
      </c>
      <c r="B1779" s="3">
        <v>0.980743518465645</v>
      </c>
      <c r="C1779" t="s">
        <v>69</v>
      </c>
      <c r="D1779" t="s">
        <v>13</v>
      </c>
    </row>
    <row r="1780" spans="1:4" x14ac:dyDescent="0.3">
      <c r="A1780" t="s">
        <v>139</v>
      </c>
      <c r="B1780" s="3">
        <v>0.95815674511950832</v>
      </c>
      <c r="C1780" t="s">
        <v>69</v>
      </c>
      <c r="D1780" t="s">
        <v>14</v>
      </c>
    </row>
    <row r="1781" spans="1:4" x14ac:dyDescent="0.3">
      <c r="A1781" t="s">
        <v>139</v>
      </c>
      <c r="B1781" s="3">
        <v>0.93116353865039392</v>
      </c>
      <c r="C1781" t="s">
        <v>70</v>
      </c>
      <c r="D1781" t="s">
        <v>10</v>
      </c>
    </row>
    <row r="1782" spans="1:4" x14ac:dyDescent="0.3">
      <c r="A1782" t="s">
        <v>139</v>
      </c>
      <c r="B1782" s="3">
        <v>0.89103923742184821</v>
      </c>
      <c r="C1782" t="s">
        <v>70</v>
      </c>
      <c r="D1782" t="s">
        <v>8</v>
      </c>
    </row>
    <row r="1783" spans="1:4" x14ac:dyDescent="0.3">
      <c r="A1783" t="s">
        <v>139</v>
      </c>
      <c r="B1783" s="3">
        <v>0.98590948834015391</v>
      </c>
      <c r="C1783" t="s">
        <v>72</v>
      </c>
      <c r="D1783" t="s">
        <v>14</v>
      </c>
    </row>
    <row r="1784" spans="1:4" x14ac:dyDescent="0.3">
      <c r="A1784" t="s">
        <v>139</v>
      </c>
      <c r="B1784" s="3">
        <v>0.99852509866245287</v>
      </c>
      <c r="C1784" t="s">
        <v>75</v>
      </c>
      <c r="D1784" t="s">
        <v>8</v>
      </c>
    </row>
    <row r="1785" spans="1:4" x14ac:dyDescent="0.3">
      <c r="A1785" t="s">
        <v>139</v>
      </c>
      <c r="B1785" s="3">
        <v>0.73519584815515793</v>
      </c>
      <c r="C1785" t="s">
        <v>76</v>
      </c>
      <c r="D1785" t="s">
        <v>10</v>
      </c>
    </row>
    <row r="1786" spans="1:4" x14ac:dyDescent="0.3">
      <c r="A1786" t="s">
        <v>139</v>
      </c>
      <c r="B1786" s="3">
        <v>0.93902212308918209</v>
      </c>
      <c r="C1786" t="s">
        <v>78</v>
      </c>
      <c r="D1786" t="s">
        <v>6</v>
      </c>
    </row>
    <row r="1787" spans="1:4" x14ac:dyDescent="0.3">
      <c r="A1787" t="s">
        <v>139</v>
      </c>
      <c r="B1787" s="3">
        <v>0.97321691508487695</v>
      </c>
      <c r="C1787" t="s">
        <v>78</v>
      </c>
      <c r="D1787" t="s">
        <v>10</v>
      </c>
    </row>
    <row r="1788" spans="1:4" x14ac:dyDescent="0.3">
      <c r="A1788" t="s">
        <v>139</v>
      </c>
      <c r="B1788" s="3">
        <v>0.90760912162134888</v>
      </c>
      <c r="C1788" t="s">
        <v>78</v>
      </c>
      <c r="D1788" t="s">
        <v>8</v>
      </c>
    </row>
    <row r="1789" spans="1:4" x14ac:dyDescent="0.3">
      <c r="A1789" t="s">
        <v>139</v>
      </c>
      <c r="B1789" s="3">
        <v>0.96308185266767832</v>
      </c>
      <c r="C1789" t="s">
        <v>78</v>
      </c>
      <c r="D1789" t="s">
        <v>14</v>
      </c>
    </row>
    <row r="1790" spans="1:4" x14ac:dyDescent="0.3">
      <c r="A1790" t="s">
        <v>139</v>
      </c>
      <c r="B1790" s="3">
        <v>0.94356169547750912</v>
      </c>
      <c r="C1790" t="s">
        <v>80</v>
      </c>
      <c r="D1790" t="s">
        <v>6</v>
      </c>
    </row>
    <row r="1791" spans="1:4" x14ac:dyDescent="0.3">
      <c r="A1791" t="s">
        <v>139</v>
      </c>
      <c r="B1791" s="3">
        <v>0.95161773215003165</v>
      </c>
      <c r="C1791" t="s">
        <v>80</v>
      </c>
      <c r="D1791" t="s">
        <v>16</v>
      </c>
    </row>
    <row r="1792" spans="1:4" x14ac:dyDescent="0.3">
      <c r="A1792" t="s">
        <v>139</v>
      </c>
      <c r="B1792" s="3">
        <v>0.94348145817865325</v>
      </c>
      <c r="C1792" t="s">
        <v>80</v>
      </c>
      <c r="D1792" t="s">
        <v>10</v>
      </c>
    </row>
    <row r="1793" spans="1:4" x14ac:dyDescent="0.3">
      <c r="A1793" t="s">
        <v>139</v>
      </c>
      <c r="B1793" s="3">
        <v>0.93060248043304572</v>
      </c>
      <c r="C1793" t="s">
        <v>80</v>
      </c>
      <c r="D1793" t="s">
        <v>8</v>
      </c>
    </row>
    <row r="1794" spans="1:4" x14ac:dyDescent="0.3">
      <c r="A1794" t="s">
        <v>139</v>
      </c>
      <c r="B1794" s="3">
        <v>0.9372715153815705</v>
      </c>
      <c r="C1794" t="s">
        <v>80</v>
      </c>
      <c r="D1794" t="s">
        <v>13</v>
      </c>
    </row>
    <row r="1795" spans="1:4" x14ac:dyDescent="0.3">
      <c r="A1795" t="s">
        <v>139</v>
      </c>
      <c r="B1795" s="3">
        <v>0.92515146522837222</v>
      </c>
      <c r="C1795" t="s">
        <v>80</v>
      </c>
      <c r="D1795" t="s">
        <v>14</v>
      </c>
    </row>
    <row r="1796" spans="1:4" x14ac:dyDescent="0.3">
      <c r="A1796" t="s">
        <v>139</v>
      </c>
      <c r="B1796" s="3">
        <v>0.98218558626060271</v>
      </c>
      <c r="C1796" t="s">
        <v>81</v>
      </c>
      <c r="D1796" t="s">
        <v>6</v>
      </c>
    </row>
    <row r="1797" spans="1:4" x14ac:dyDescent="0.3">
      <c r="A1797" t="s">
        <v>139</v>
      </c>
      <c r="B1797" s="3">
        <v>0.98357919728155274</v>
      </c>
      <c r="C1797" t="s">
        <v>81</v>
      </c>
      <c r="D1797" t="s">
        <v>10</v>
      </c>
    </row>
    <row r="1798" spans="1:4" x14ac:dyDescent="0.3">
      <c r="A1798" t="s">
        <v>139</v>
      </c>
      <c r="B1798" s="3">
        <v>0.93718360221126051</v>
      </c>
      <c r="C1798" t="s">
        <v>81</v>
      </c>
      <c r="D1798" t="s">
        <v>8</v>
      </c>
    </row>
    <row r="1799" spans="1:4" x14ac:dyDescent="0.3">
      <c r="A1799" t="s">
        <v>139</v>
      </c>
      <c r="B1799" s="3">
        <v>0.96457948229872148</v>
      </c>
      <c r="C1799" t="s">
        <v>81</v>
      </c>
      <c r="D1799" t="s">
        <v>14</v>
      </c>
    </row>
    <row r="1800" spans="1:4" x14ac:dyDescent="0.3">
      <c r="A1800" t="s">
        <v>139</v>
      </c>
      <c r="B1800" s="3">
        <v>0.95525357517181597</v>
      </c>
      <c r="C1800" t="s">
        <v>83</v>
      </c>
      <c r="D1800" t="s">
        <v>8</v>
      </c>
    </row>
    <row r="1801" spans="1:4" x14ac:dyDescent="0.3">
      <c r="A1801" t="s">
        <v>139</v>
      </c>
      <c r="B1801" s="3">
        <v>0.92398684898403693</v>
      </c>
      <c r="C1801" t="s">
        <v>85</v>
      </c>
      <c r="D1801" t="s">
        <v>13</v>
      </c>
    </row>
    <row r="1802" spans="1:4" x14ac:dyDescent="0.3">
      <c r="A1802" t="s">
        <v>139</v>
      </c>
      <c r="B1802" s="3">
        <v>0.9943371377518786</v>
      </c>
      <c r="C1802" t="s">
        <v>86</v>
      </c>
      <c r="D1802" t="s">
        <v>6</v>
      </c>
    </row>
    <row r="1803" spans="1:4" x14ac:dyDescent="0.3">
      <c r="A1803" t="s">
        <v>139</v>
      </c>
      <c r="B1803" s="3">
        <v>0.99885907687849873</v>
      </c>
      <c r="C1803" t="s">
        <v>86</v>
      </c>
      <c r="D1803" t="s">
        <v>16</v>
      </c>
    </row>
    <row r="1804" spans="1:4" x14ac:dyDescent="0.3">
      <c r="A1804" t="s">
        <v>139</v>
      </c>
      <c r="B1804" s="3">
        <v>0.9874369706571049</v>
      </c>
      <c r="C1804" t="s">
        <v>86</v>
      </c>
      <c r="D1804" t="s">
        <v>10</v>
      </c>
    </row>
    <row r="1805" spans="1:4" x14ac:dyDescent="0.3">
      <c r="A1805" t="s">
        <v>139</v>
      </c>
      <c r="B1805" s="3">
        <v>0.99702159369722132</v>
      </c>
      <c r="C1805" t="s">
        <v>86</v>
      </c>
      <c r="D1805" t="s">
        <v>8</v>
      </c>
    </row>
    <row r="1806" spans="1:4" x14ac:dyDescent="0.3">
      <c r="A1806" t="s">
        <v>139</v>
      </c>
      <c r="B1806" s="3">
        <v>0.98511572538644498</v>
      </c>
      <c r="C1806" t="s">
        <v>86</v>
      </c>
      <c r="D1806" t="s">
        <v>13</v>
      </c>
    </row>
    <row r="1807" spans="1:4" x14ac:dyDescent="0.3">
      <c r="A1807" t="s">
        <v>139</v>
      </c>
      <c r="B1807" s="3">
        <v>0.93842084684306959</v>
      </c>
      <c r="C1807" t="s">
        <v>86</v>
      </c>
      <c r="D1807" t="s">
        <v>14</v>
      </c>
    </row>
    <row r="1808" spans="1:4" x14ac:dyDescent="0.3">
      <c r="A1808" t="s">
        <v>139</v>
      </c>
      <c r="B1808" s="3">
        <v>0.93450835316182745</v>
      </c>
      <c r="C1808" t="s">
        <v>87</v>
      </c>
      <c r="D1808" t="s">
        <v>6</v>
      </c>
    </row>
    <row r="1809" spans="1:4" x14ac:dyDescent="0.3">
      <c r="A1809" t="s">
        <v>139</v>
      </c>
      <c r="B1809" s="3">
        <v>0.9579083967087616</v>
      </c>
      <c r="C1809" t="s">
        <v>90</v>
      </c>
      <c r="D1809" t="s">
        <v>6</v>
      </c>
    </row>
    <row r="1810" spans="1:4" x14ac:dyDescent="0.3">
      <c r="A1810" t="s">
        <v>139</v>
      </c>
      <c r="B1810" s="3">
        <v>0.95940343707275466</v>
      </c>
      <c r="C1810" t="s">
        <v>90</v>
      </c>
      <c r="D1810" t="s">
        <v>13</v>
      </c>
    </row>
    <row r="1811" spans="1:4" x14ac:dyDescent="0.3">
      <c r="A1811" t="s">
        <v>139</v>
      </c>
      <c r="B1811" s="3">
        <v>0.75860138249969034</v>
      </c>
      <c r="C1811" t="s">
        <v>92</v>
      </c>
      <c r="D1811" t="s">
        <v>16</v>
      </c>
    </row>
    <row r="1812" spans="1:4" x14ac:dyDescent="0.3">
      <c r="A1812" t="s">
        <v>139</v>
      </c>
      <c r="B1812" s="3">
        <v>0.92854885285163902</v>
      </c>
      <c r="C1812" t="s">
        <v>97</v>
      </c>
      <c r="D1812" t="s">
        <v>10</v>
      </c>
    </row>
    <row r="1813" spans="1:4" x14ac:dyDescent="0.3">
      <c r="A1813" t="s">
        <v>139</v>
      </c>
      <c r="B1813" s="3">
        <v>0.93765407372383514</v>
      </c>
      <c r="C1813" t="s">
        <v>97</v>
      </c>
      <c r="D1813" t="s">
        <v>8</v>
      </c>
    </row>
    <row r="1814" spans="1:4" x14ac:dyDescent="0.3">
      <c r="A1814" t="s">
        <v>139</v>
      </c>
      <c r="B1814" s="3">
        <v>0.9905583230270042</v>
      </c>
      <c r="C1814" t="s">
        <v>97</v>
      </c>
      <c r="D1814" t="s">
        <v>14</v>
      </c>
    </row>
    <row r="1815" spans="1:4" x14ac:dyDescent="0.3">
      <c r="A1815" t="s">
        <v>139</v>
      </c>
      <c r="B1815" s="3">
        <v>0.97257910549302817</v>
      </c>
      <c r="C1815" t="s">
        <v>101</v>
      </c>
      <c r="D1815" t="s">
        <v>6</v>
      </c>
    </row>
    <row r="1816" spans="1:4" x14ac:dyDescent="0.3">
      <c r="A1816" t="s">
        <v>139</v>
      </c>
      <c r="B1816" s="3">
        <v>0.96596497158642958</v>
      </c>
      <c r="C1816" t="s">
        <v>101</v>
      </c>
      <c r="D1816" t="s">
        <v>10</v>
      </c>
    </row>
    <row r="1817" spans="1:4" x14ac:dyDescent="0.3">
      <c r="A1817" t="s">
        <v>139</v>
      </c>
      <c r="B1817" s="3">
        <v>0.97004900409486261</v>
      </c>
      <c r="C1817" t="s">
        <v>101</v>
      </c>
      <c r="D1817" t="s">
        <v>8</v>
      </c>
    </row>
    <row r="1818" spans="1:4" x14ac:dyDescent="0.3">
      <c r="A1818" t="s">
        <v>139</v>
      </c>
      <c r="B1818" s="3">
        <v>0.97986193199385252</v>
      </c>
      <c r="C1818" t="s">
        <v>101</v>
      </c>
      <c r="D1818" t="s">
        <v>14</v>
      </c>
    </row>
    <row r="1819" spans="1:4" x14ac:dyDescent="0.3">
      <c r="A1819" t="s">
        <v>139</v>
      </c>
      <c r="B1819" s="3">
        <v>0.97493474973127747</v>
      </c>
      <c r="C1819" t="s">
        <v>105</v>
      </c>
      <c r="D1819" t="s">
        <v>6</v>
      </c>
    </row>
    <row r="1820" spans="1:4" x14ac:dyDescent="0.3">
      <c r="A1820" t="s">
        <v>139</v>
      </c>
      <c r="B1820" s="3">
        <v>0.94086967630005902</v>
      </c>
      <c r="C1820" t="s">
        <v>105</v>
      </c>
      <c r="D1820" t="s">
        <v>16</v>
      </c>
    </row>
    <row r="1821" spans="1:4" x14ac:dyDescent="0.3">
      <c r="A1821" t="s">
        <v>139</v>
      </c>
      <c r="B1821" s="3">
        <v>0.96421958298883559</v>
      </c>
      <c r="C1821" t="s">
        <v>105</v>
      </c>
      <c r="D1821" t="s">
        <v>10</v>
      </c>
    </row>
    <row r="1822" spans="1:4" x14ac:dyDescent="0.3">
      <c r="A1822" t="s">
        <v>139</v>
      </c>
      <c r="B1822" s="3">
        <v>0.96900435842611921</v>
      </c>
      <c r="C1822" t="s">
        <v>105</v>
      </c>
      <c r="D1822" t="s">
        <v>8</v>
      </c>
    </row>
    <row r="1823" spans="1:4" x14ac:dyDescent="0.3">
      <c r="A1823" t="s">
        <v>139</v>
      </c>
      <c r="B1823" s="3">
        <v>0.954719075893114</v>
      </c>
      <c r="C1823" t="s">
        <v>105</v>
      </c>
      <c r="D1823" t="s">
        <v>13</v>
      </c>
    </row>
    <row r="1824" spans="1:4" x14ac:dyDescent="0.3">
      <c r="A1824" t="s">
        <v>139</v>
      </c>
      <c r="B1824" s="3">
        <v>0.97920410464674745</v>
      </c>
      <c r="C1824" t="s">
        <v>105</v>
      </c>
      <c r="D1824" t="s">
        <v>14</v>
      </c>
    </row>
    <row r="1825" spans="1:4" x14ac:dyDescent="0.3">
      <c r="A1825" t="s">
        <v>139</v>
      </c>
      <c r="B1825" s="3">
        <v>0.98703675238074329</v>
      </c>
      <c r="C1825" t="s">
        <v>108</v>
      </c>
      <c r="D1825" t="s">
        <v>16</v>
      </c>
    </row>
    <row r="1826" spans="1:4" x14ac:dyDescent="0.3">
      <c r="A1826" t="s">
        <v>139</v>
      </c>
      <c r="B1826" s="3">
        <v>0.96600008662487291</v>
      </c>
      <c r="C1826" t="s">
        <v>122</v>
      </c>
      <c r="D1826" t="s">
        <v>16</v>
      </c>
    </row>
    <row r="1827" spans="1:4" x14ac:dyDescent="0.3">
      <c r="A1827" t="s">
        <v>139</v>
      </c>
      <c r="B1827" s="3">
        <v>0.98239163421544984</v>
      </c>
      <c r="C1827" t="s">
        <v>126</v>
      </c>
      <c r="D1827" t="s">
        <v>10</v>
      </c>
    </row>
    <row r="1828" spans="1:4" x14ac:dyDescent="0.3">
      <c r="A1828" t="s">
        <v>139</v>
      </c>
      <c r="B1828" s="3">
        <v>0.98584873231551939</v>
      </c>
      <c r="C1828" t="s">
        <v>126</v>
      </c>
      <c r="D1828" t="s">
        <v>13</v>
      </c>
    </row>
    <row r="1829" spans="1:4" x14ac:dyDescent="0.3">
      <c r="A1829" s="1" t="s">
        <v>140</v>
      </c>
      <c r="B1829" s="4">
        <v>0.93203509538742213</v>
      </c>
      <c r="C1829" s="1"/>
      <c r="D1829" s="1"/>
    </row>
    <row r="1831" spans="1:4" x14ac:dyDescent="0.3">
      <c r="A183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29AD-36D5-4A4E-A2C1-6A3446FA488C}">
  <dimension ref="A1:AG40"/>
  <sheetViews>
    <sheetView tabSelected="1" zoomScale="47" zoomScaleNormal="55" workbookViewId="0">
      <selection activeCell="J48" sqref="J48"/>
    </sheetView>
  </sheetViews>
  <sheetFormatPr defaultRowHeight="14.4" x14ac:dyDescent="0.3"/>
  <cols>
    <col min="1" max="1" width="8.109375" bestFit="1" customWidth="1"/>
    <col min="5" max="6" width="14.33203125" bestFit="1" customWidth="1"/>
    <col min="7" max="7" width="14.33203125" customWidth="1"/>
    <col min="8" max="17" width="14.33203125" bestFit="1" customWidth="1"/>
    <col min="18" max="18" width="15.44140625" bestFit="1" customWidth="1"/>
    <col min="19" max="31" width="14.33203125" bestFit="1" customWidth="1"/>
    <col min="32" max="32" width="15.44140625" bestFit="1" customWidth="1"/>
    <col min="33" max="33" width="9" bestFit="1" customWidth="1"/>
  </cols>
  <sheetData>
    <row r="1" spans="1:33" x14ac:dyDescent="0.3">
      <c r="E1" s="5">
        <f t="shared" ref="E1:AF1" si="0">SUBTOTAL(9,E5:E37)</f>
        <v>1089201980.7997079</v>
      </c>
      <c r="F1" s="5">
        <f t="shared" si="0"/>
        <v>1304855788.6901312</v>
      </c>
      <c r="G1" s="5">
        <f t="shared" si="0"/>
        <v>1166216927.0200682</v>
      </c>
      <c r="H1" s="5">
        <f t="shared" si="0"/>
        <v>1015016422.8007499</v>
      </c>
      <c r="I1" s="5">
        <f t="shared" si="0"/>
        <v>1078755596.7035329</v>
      </c>
      <c r="J1" s="5">
        <f t="shared" si="0"/>
        <v>1164802582.0218134</v>
      </c>
      <c r="K1" s="5">
        <f t="shared" si="0"/>
        <v>1116000301.8855636</v>
      </c>
      <c r="L1" s="5">
        <f t="shared" si="0"/>
        <v>1202552526.1830859</v>
      </c>
      <c r="M1" s="5">
        <f t="shared" si="0"/>
        <v>1226156912.7038641</v>
      </c>
      <c r="N1" s="5">
        <f t="shared" si="0"/>
        <v>1265889913.4352746</v>
      </c>
      <c r="O1" s="5">
        <f t="shared" si="0"/>
        <v>1254053017.9970224</v>
      </c>
      <c r="P1" s="5">
        <f t="shared" si="0"/>
        <v>1282855204.8345537</v>
      </c>
      <c r="Q1" s="5">
        <f t="shared" si="0"/>
        <v>1374936109.7044082</v>
      </c>
      <c r="R1" s="5">
        <f t="shared" si="0"/>
        <v>15541293284.779778</v>
      </c>
      <c r="S1" s="5">
        <f t="shared" si="0"/>
        <v>1227675640.106859</v>
      </c>
      <c r="T1" s="5">
        <f t="shared" si="0"/>
        <v>1264326944.8922958</v>
      </c>
      <c r="U1" s="5">
        <f t="shared" si="0"/>
        <v>1246943181.8103735</v>
      </c>
      <c r="V1" s="5">
        <f t="shared" si="0"/>
        <v>1239222767.0779946</v>
      </c>
      <c r="W1" s="5">
        <f t="shared" si="0"/>
        <v>1275459879.7825954</v>
      </c>
      <c r="X1" s="5">
        <f t="shared" si="0"/>
        <v>1288183339.1643572</v>
      </c>
      <c r="Y1" s="5">
        <f t="shared" si="0"/>
        <v>1311332144.9796903</v>
      </c>
      <c r="Z1" s="5">
        <f t="shared" si="0"/>
        <v>1268547181.0359552</v>
      </c>
      <c r="AA1" s="5">
        <f t="shared" si="0"/>
        <v>1267068979.5836196</v>
      </c>
      <c r="AB1" s="5">
        <f t="shared" si="0"/>
        <v>1269798753.2931476</v>
      </c>
      <c r="AC1" s="5">
        <f t="shared" si="0"/>
        <v>1283658400.6770627</v>
      </c>
      <c r="AD1" s="5">
        <f t="shared" si="0"/>
        <v>1372460187.0968535</v>
      </c>
      <c r="AE1" s="5">
        <f t="shared" si="0"/>
        <v>1848969616.2905302</v>
      </c>
      <c r="AF1" s="5">
        <f t="shared" si="0"/>
        <v>17163647015.79134</v>
      </c>
    </row>
    <row r="2" spans="1:33" x14ac:dyDescent="0.3">
      <c r="E2" s="6" t="s">
        <v>142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9" t="s">
        <v>143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1"/>
    </row>
    <row r="3" spans="1:33" x14ac:dyDescent="0.3">
      <c r="A3" s="12" t="s">
        <v>144</v>
      </c>
      <c r="B3" s="12" t="s">
        <v>145</v>
      </c>
      <c r="C3" s="13" t="s">
        <v>146</v>
      </c>
      <c r="D3" s="14" t="s">
        <v>147</v>
      </c>
      <c r="E3" s="15" t="s">
        <v>148</v>
      </c>
      <c r="F3" s="15" t="s">
        <v>149</v>
      </c>
      <c r="G3" s="15" t="s">
        <v>150</v>
      </c>
      <c r="H3" s="15" t="s">
        <v>151</v>
      </c>
      <c r="I3" s="15" t="s">
        <v>152</v>
      </c>
      <c r="J3" s="15" t="s">
        <v>153</v>
      </c>
      <c r="K3" s="15" t="s">
        <v>154</v>
      </c>
      <c r="L3" s="15" t="s">
        <v>155</v>
      </c>
      <c r="M3" s="15" t="s">
        <v>156</v>
      </c>
      <c r="N3" s="15" t="s">
        <v>157</v>
      </c>
      <c r="O3" s="15" t="s">
        <v>158</v>
      </c>
      <c r="P3" s="15" t="s">
        <v>159</v>
      </c>
      <c r="Q3" s="15" t="s">
        <v>160</v>
      </c>
      <c r="R3" s="15" t="s">
        <v>161</v>
      </c>
      <c r="S3" s="15" t="s">
        <v>148</v>
      </c>
      <c r="T3" s="15" t="s">
        <v>149</v>
      </c>
      <c r="U3" s="15" t="s">
        <v>150</v>
      </c>
      <c r="V3" s="15" t="s">
        <v>151</v>
      </c>
      <c r="W3" s="15" t="s">
        <v>152</v>
      </c>
      <c r="X3" s="15" t="s">
        <v>153</v>
      </c>
      <c r="Y3" s="15" t="s">
        <v>154</v>
      </c>
      <c r="Z3" s="15" t="s">
        <v>155</v>
      </c>
      <c r="AA3" s="15" t="s">
        <v>156</v>
      </c>
      <c r="AB3" s="15" t="s">
        <v>157</v>
      </c>
      <c r="AC3" s="15" t="s">
        <v>158</v>
      </c>
      <c r="AD3" s="15" t="s">
        <v>159</v>
      </c>
      <c r="AE3" s="15" t="s">
        <v>160</v>
      </c>
      <c r="AF3" s="15" t="s">
        <v>161</v>
      </c>
    </row>
    <row r="4" spans="1:33" x14ac:dyDescent="0.3">
      <c r="A4" s="16" t="s">
        <v>162</v>
      </c>
      <c r="B4" s="16" t="s">
        <v>32</v>
      </c>
      <c r="C4" s="16" t="s">
        <v>6</v>
      </c>
      <c r="D4" s="17" t="s">
        <v>163</v>
      </c>
      <c r="E4" s="5">
        <v>84137.589999999967</v>
      </c>
      <c r="F4" s="5">
        <v>25263.64</v>
      </c>
      <c r="G4" s="5">
        <v>65494.800239999997</v>
      </c>
      <c r="H4" s="5">
        <v>6177.74</v>
      </c>
      <c r="I4" s="5">
        <v>98099.139999999985</v>
      </c>
      <c r="J4" s="5">
        <v>1546.83</v>
      </c>
      <c r="K4" s="5">
        <v>21040.29</v>
      </c>
      <c r="L4" s="5">
        <v>78129.63</v>
      </c>
      <c r="M4" s="5">
        <v>50000</v>
      </c>
      <c r="N4" s="5">
        <v>50000</v>
      </c>
      <c r="O4" s="5">
        <v>50000</v>
      </c>
      <c r="P4" s="5">
        <v>50000</v>
      </c>
      <c r="Q4" s="5">
        <v>50000</v>
      </c>
      <c r="R4" s="18">
        <f t="shared" ref="R4:R35" si="1">SUM(E4:Q4)</f>
        <v>629889.66023999988</v>
      </c>
      <c r="S4" s="5">
        <v>84137.589999999967</v>
      </c>
      <c r="T4" s="5">
        <v>25263.64</v>
      </c>
      <c r="U4" s="5">
        <v>65494.800239999997</v>
      </c>
      <c r="V4" s="5">
        <v>6177.74</v>
      </c>
      <c r="W4" s="5">
        <v>98099.139999999985</v>
      </c>
      <c r="X4" s="5">
        <v>1546.83</v>
      </c>
      <c r="Y4" s="5">
        <v>21040.29</v>
      </c>
      <c r="Z4" s="5">
        <v>78129.63</v>
      </c>
      <c r="AA4" s="5">
        <v>50000</v>
      </c>
      <c r="AB4" s="5">
        <v>50000</v>
      </c>
      <c r="AC4" s="5">
        <v>50000</v>
      </c>
      <c r="AD4" s="5">
        <v>50000</v>
      </c>
      <c r="AE4" s="5">
        <v>50000</v>
      </c>
      <c r="AF4" s="19">
        <f t="shared" ref="AF4:AF35" si="2">SUM(S4:AE4)</f>
        <v>629889.66023999988</v>
      </c>
      <c r="AG4" s="20">
        <f t="shared" ref="AG4:AG40" si="3">AF4/R4</f>
        <v>1</v>
      </c>
    </row>
    <row r="5" spans="1:33" x14ac:dyDescent="0.3">
      <c r="A5" s="16" t="s">
        <v>162</v>
      </c>
      <c r="B5" s="16" t="s">
        <v>44</v>
      </c>
      <c r="C5" s="16" t="s">
        <v>6</v>
      </c>
      <c r="D5" s="17" t="s">
        <v>164</v>
      </c>
      <c r="E5" s="5">
        <v>8973831.5999999512</v>
      </c>
      <c r="F5" s="5">
        <v>15368581.189999845</v>
      </c>
      <c r="G5" s="5">
        <v>16097503.609999731</v>
      </c>
      <c r="H5" s="5">
        <v>13880184.479999978</v>
      </c>
      <c r="I5" s="5">
        <v>12898649.949999658</v>
      </c>
      <c r="J5" s="5">
        <v>12791521.259999942</v>
      </c>
      <c r="K5" s="5">
        <v>16568832.640000153</v>
      </c>
      <c r="L5" s="5">
        <v>14970103.02999996</v>
      </c>
      <c r="M5" s="5">
        <v>15278089.730000004</v>
      </c>
      <c r="N5" s="5">
        <v>14500000</v>
      </c>
      <c r="O5" s="5">
        <v>14500000</v>
      </c>
      <c r="P5" s="5">
        <v>14407964.438202683</v>
      </c>
      <c r="Q5" s="5">
        <v>14282027.949998705</v>
      </c>
      <c r="R5" s="18">
        <f t="shared" si="1"/>
        <v>184517289.87820062</v>
      </c>
      <c r="S5" s="5">
        <v>12300000</v>
      </c>
      <c r="T5" s="5">
        <v>14299999.999999998</v>
      </c>
      <c r="U5" s="5">
        <v>14970000</v>
      </c>
      <c r="V5" s="5">
        <v>15749999.999999998</v>
      </c>
      <c r="W5" s="5">
        <v>16000000</v>
      </c>
      <c r="X5" s="5">
        <v>16890000</v>
      </c>
      <c r="Y5" s="5">
        <v>16340000</v>
      </c>
      <c r="Z5" s="5">
        <v>15000000</v>
      </c>
      <c r="AA5" s="5">
        <v>16000000</v>
      </c>
      <c r="AB5" s="5">
        <v>16000000</v>
      </c>
      <c r="AC5" s="5">
        <v>16000000</v>
      </c>
      <c r="AD5" s="5">
        <v>16000000</v>
      </c>
      <c r="AE5" s="5">
        <v>16000000</v>
      </c>
      <c r="AF5" s="19">
        <f t="shared" si="2"/>
        <v>201550000</v>
      </c>
      <c r="AG5" s="20">
        <f t="shared" si="3"/>
        <v>1.0923095615215388</v>
      </c>
    </row>
    <row r="6" spans="1:33" x14ac:dyDescent="0.3">
      <c r="A6" s="16" t="s">
        <v>162</v>
      </c>
      <c r="B6" s="16" t="s">
        <v>63</v>
      </c>
      <c r="C6" s="16" t="s">
        <v>6</v>
      </c>
      <c r="D6" s="17" t="s">
        <v>163</v>
      </c>
      <c r="E6" s="5">
        <v>14956639.609999616</v>
      </c>
      <c r="F6" s="5">
        <v>29623860.940001614</v>
      </c>
      <c r="G6" s="5">
        <v>28267602.689999957</v>
      </c>
      <c r="H6" s="5">
        <v>8272433.3599998252</v>
      </c>
      <c r="I6" s="5">
        <v>22256183.78999842</v>
      </c>
      <c r="J6" s="5">
        <v>14732181.070001308</v>
      </c>
      <c r="K6" s="5">
        <v>11541359.450000379</v>
      </c>
      <c r="L6" s="5">
        <v>17925593.050001662</v>
      </c>
      <c r="M6" s="5">
        <v>19500000</v>
      </c>
      <c r="N6" s="5">
        <v>20000000</v>
      </c>
      <c r="O6" s="5">
        <v>21000000</v>
      </c>
      <c r="P6" s="5">
        <v>21000000</v>
      </c>
      <c r="Q6" s="5">
        <v>22560000</v>
      </c>
      <c r="R6" s="18">
        <f t="shared" si="1"/>
        <v>251635853.96000275</v>
      </c>
      <c r="S6" s="5">
        <v>15851060.072482036</v>
      </c>
      <c r="T6" s="5">
        <v>20000000</v>
      </c>
      <c r="U6" s="5">
        <v>21000000</v>
      </c>
      <c r="V6" s="5">
        <v>19952402.716272671</v>
      </c>
      <c r="W6" s="5">
        <v>20000000</v>
      </c>
      <c r="X6" s="5">
        <v>20300000</v>
      </c>
      <c r="Y6" s="5">
        <v>20300000</v>
      </c>
      <c r="Z6" s="5">
        <v>18997559.590890627</v>
      </c>
      <c r="AA6" s="5">
        <v>20666117.488499656</v>
      </c>
      <c r="AB6" s="5">
        <v>21196017.936922722</v>
      </c>
      <c r="AC6" s="5">
        <v>22255818.83376886</v>
      </c>
      <c r="AD6" s="5">
        <v>22255818.83376886</v>
      </c>
      <c r="AE6" s="5">
        <v>23909108.232848827</v>
      </c>
      <c r="AF6" s="19">
        <f t="shared" si="2"/>
        <v>266683903.70545423</v>
      </c>
      <c r="AG6" s="20">
        <f t="shared" si="3"/>
        <v>1.0598008968461361</v>
      </c>
    </row>
    <row r="7" spans="1:33" x14ac:dyDescent="0.3">
      <c r="A7" s="16" t="s">
        <v>162</v>
      </c>
      <c r="B7" s="16" t="s">
        <v>76</v>
      </c>
      <c r="C7" s="16" t="s">
        <v>6</v>
      </c>
      <c r="D7" s="17" t="s">
        <v>163</v>
      </c>
      <c r="E7" s="5">
        <v>1090944.0600000033</v>
      </c>
      <c r="F7" s="5">
        <v>1425480.1300000036</v>
      </c>
      <c r="G7" s="5">
        <v>1195008.7400000016</v>
      </c>
      <c r="H7" s="5">
        <v>1240038.8200000026</v>
      </c>
      <c r="I7" s="5">
        <v>1227862.7400000005</v>
      </c>
      <c r="J7" s="5">
        <v>1363635.8200000017</v>
      </c>
      <c r="K7" s="5">
        <v>1251847.3200000024</v>
      </c>
      <c r="L7" s="5">
        <v>1163834.0600000024</v>
      </c>
      <c r="M7" s="5">
        <v>1244831.4612500023</v>
      </c>
      <c r="N7" s="5">
        <v>1244831.4612500023</v>
      </c>
      <c r="O7" s="5">
        <v>1244831.4612500023</v>
      </c>
      <c r="P7" s="5">
        <v>1244831.4612500023</v>
      </c>
      <c r="Q7" s="5">
        <v>1244831.4612500023</v>
      </c>
      <c r="R7" s="18">
        <f t="shared" si="1"/>
        <v>16182808.996250026</v>
      </c>
      <c r="S7" s="5">
        <v>1200038.4660000037</v>
      </c>
      <c r="T7" s="5">
        <v>1568028.1430000041</v>
      </c>
      <c r="U7" s="5">
        <v>1314509.6140000019</v>
      </c>
      <c r="V7" s="5">
        <v>1364042.7020000031</v>
      </c>
      <c r="W7" s="5">
        <v>1350649.0140000007</v>
      </c>
      <c r="X7" s="5">
        <v>1499999.4020000021</v>
      </c>
      <c r="Y7" s="5">
        <v>1377032.0520000027</v>
      </c>
      <c r="Z7" s="5">
        <v>1280217.4660000028</v>
      </c>
      <c r="AA7" s="5">
        <v>1369314.6073750027</v>
      </c>
      <c r="AB7" s="5">
        <v>1369314.6073750027</v>
      </c>
      <c r="AC7" s="5">
        <v>1369314.6073750027</v>
      </c>
      <c r="AD7" s="5">
        <v>1369314.6073750027</v>
      </c>
      <c r="AE7" s="5">
        <v>1369314.6073750027</v>
      </c>
      <c r="AF7" s="19">
        <f t="shared" si="2"/>
        <v>17801089.895875037</v>
      </c>
      <c r="AG7" s="20">
        <f t="shared" si="3"/>
        <v>1.1000000000000005</v>
      </c>
    </row>
    <row r="8" spans="1:33" x14ac:dyDescent="0.3">
      <c r="A8" s="16" t="s">
        <v>162</v>
      </c>
      <c r="B8" s="16" t="s">
        <v>87</v>
      </c>
      <c r="C8" s="16" t="s">
        <v>6</v>
      </c>
      <c r="D8" s="17" t="s">
        <v>163</v>
      </c>
      <c r="E8" s="5">
        <v>17247368.410000205</v>
      </c>
      <c r="F8" s="5">
        <v>23791600.140000165</v>
      </c>
      <c r="G8" s="5">
        <v>23036241.920000307</v>
      </c>
      <c r="H8" s="5">
        <v>19615132.01000002</v>
      </c>
      <c r="I8" s="5">
        <v>17318898.830000073</v>
      </c>
      <c r="J8" s="5">
        <v>20395540.110000137</v>
      </c>
      <c r="K8" s="5">
        <v>23210415.680000164</v>
      </c>
      <c r="L8" s="5">
        <v>23374423.810000047</v>
      </c>
      <c r="M8" s="5">
        <v>25800000</v>
      </c>
      <c r="N8" s="5">
        <v>24151589.5604182</v>
      </c>
      <c r="O8" s="5">
        <v>22142142.429877743</v>
      </c>
      <c r="P8" s="5">
        <v>22159351.010309137</v>
      </c>
      <c r="Q8" s="5">
        <v>27980000</v>
      </c>
      <c r="R8" s="18">
        <f t="shared" si="1"/>
        <v>290222703.91060615</v>
      </c>
      <c r="S8" s="5">
        <v>18468766.268957909</v>
      </c>
      <c r="T8" s="5">
        <v>25476437.431196731</v>
      </c>
      <c r="U8" s="5">
        <v>24667587.403593406</v>
      </c>
      <c r="V8" s="5">
        <v>21004206.54419364</v>
      </c>
      <c r="W8" s="5">
        <v>18545362.221261684</v>
      </c>
      <c r="X8" s="5">
        <v>21839880.396034528</v>
      </c>
      <c r="Y8" s="5">
        <v>24854095.535567779</v>
      </c>
      <c r="Z8" s="5">
        <v>25029718.143444605</v>
      </c>
      <c r="AA8" s="5">
        <v>27627065.092599157</v>
      </c>
      <c r="AB8" s="5">
        <v>25861920.033930693</v>
      </c>
      <c r="AC8" s="5">
        <v>23710170.937978063</v>
      </c>
      <c r="AD8" s="5">
        <v>23728598.169440441</v>
      </c>
      <c r="AE8" s="5">
        <v>29961445.011276141</v>
      </c>
      <c r="AF8" s="19">
        <f t="shared" si="2"/>
        <v>310775253.18947476</v>
      </c>
      <c r="AG8" s="20">
        <f t="shared" si="3"/>
        <v>1.0708164764573318</v>
      </c>
    </row>
    <row r="9" spans="1:33" x14ac:dyDescent="0.3">
      <c r="A9" s="16" t="s">
        <v>162</v>
      </c>
      <c r="B9" s="16" t="s">
        <v>90</v>
      </c>
      <c r="C9" s="16" t="s">
        <v>6</v>
      </c>
      <c r="D9" s="17" t="s">
        <v>163</v>
      </c>
      <c r="E9" s="5">
        <v>248180056.64780754</v>
      </c>
      <c r="F9" s="5">
        <v>218240409.05383182</v>
      </c>
      <c r="G9" s="5">
        <v>164275704.55504507</v>
      </c>
      <c r="H9" s="5">
        <v>115597483.27998741</v>
      </c>
      <c r="I9" s="5">
        <v>147291690.88999414</v>
      </c>
      <c r="J9" s="5">
        <v>190412045.97001606</v>
      </c>
      <c r="K9" s="5">
        <v>198983281.27992874</v>
      </c>
      <c r="L9" s="5">
        <v>238169107.34014076</v>
      </c>
      <c r="M9" s="5">
        <v>220000000</v>
      </c>
      <c r="N9" s="5">
        <v>247489172.62140298</v>
      </c>
      <c r="O9" s="5">
        <v>270326275.91987199</v>
      </c>
      <c r="P9" s="5">
        <v>278225849.52657098</v>
      </c>
      <c r="Q9" s="5">
        <v>284870000</v>
      </c>
      <c r="R9" s="18">
        <f t="shared" si="1"/>
        <v>2822061077.0845971</v>
      </c>
      <c r="S9" s="5">
        <v>213077186.33986354</v>
      </c>
      <c r="T9" s="5">
        <v>235272726.58359933</v>
      </c>
      <c r="U9" s="5">
        <v>230833618.53485218</v>
      </c>
      <c r="V9" s="5">
        <v>235272726.58359933</v>
      </c>
      <c r="W9" s="5">
        <v>235272726.58359933</v>
      </c>
      <c r="X9" s="5">
        <v>235272726.58359933</v>
      </c>
      <c r="Y9" s="5">
        <v>235272726.58359933</v>
      </c>
      <c r="Z9" s="5">
        <v>235368346.73232841</v>
      </c>
      <c r="AA9" s="5">
        <v>217412899.84834707</v>
      </c>
      <c r="AB9" s="5">
        <v>244578812.27585167</v>
      </c>
      <c r="AC9" s="5">
        <v>267147361.6042898</v>
      </c>
      <c r="AD9" s="5">
        <v>274954039.81064391</v>
      </c>
      <c r="AE9" s="5">
        <v>281520058.08999383</v>
      </c>
      <c r="AF9" s="19">
        <f t="shared" si="2"/>
        <v>3141255956.1541677</v>
      </c>
      <c r="AG9" s="20">
        <f t="shared" si="3"/>
        <v>1.1131070059615162</v>
      </c>
    </row>
    <row r="10" spans="1:33" x14ac:dyDescent="0.3">
      <c r="A10" s="16" t="s">
        <v>162</v>
      </c>
      <c r="B10" s="16" t="s">
        <v>103</v>
      </c>
      <c r="C10" s="16" t="s">
        <v>6</v>
      </c>
      <c r="D10" s="17" t="s">
        <v>163</v>
      </c>
      <c r="E10" s="5">
        <v>78018183.600000054</v>
      </c>
      <c r="F10" s="5">
        <v>126299764.68000011</v>
      </c>
      <c r="G10" s="5">
        <v>99982433.760001391</v>
      </c>
      <c r="H10" s="5">
        <v>86964806.180001169</v>
      </c>
      <c r="I10" s="5">
        <v>98130582.259999961</v>
      </c>
      <c r="J10" s="5">
        <v>95377128.350000337</v>
      </c>
      <c r="K10" s="5">
        <v>93900456.860000715</v>
      </c>
      <c r="L10" s="5">
        <v>93216499.67999956</v>
      </c>
      <c r="M10" s="5">
        <v>97830092.399999991</v>
      </c>
      <c r="N10" s="5">
        <v>95383922.495843351</v>
      </c>
      <c r="O10" s="5">
        <v>96293804.91349709</v>
      </c>
      <c r="P10" s="5">
        <v>96315129.525178328</v>
      </c>
      <c r="Q10" s="5">
        <v>96434507.794200107</v>
      </c>
      <c r="R10" s="18">
        <f t="shared" si="1"/>
        <v>1254147312.4987223</v>
      </c>
      <c r="S10" s="5">
        <v>85766666.666666672</v>
      </c>
      <c r="T10" s="5">
        <v>98166666.666666672</v>
      </c>
      <c r="U10" s="5">
        <v>101266666.66666669</v>
      </c>
      <c r="V10" s="5">
        <v>108500000</v>
      </c>
      <c r="W10" s="5">
        <v>110566666.66666667</v>
      </c>
      <c r="X10" s="5">
        <v>106433333.33333333</v>
      </c>
      <c r="Y10" s="5">
        <v>110566666.66666667</v>
      </c>
      <c r="Z10" s="5">
        <v>107466666.66666667</v>
      </c>
      <c r="AA10" s="5">
        <v>111600000.00000001</v>
      </c>
      <c r="AB10" s="5">
        <v>115733333.33333333</v>
      </c>
      <c r="AC10" s="5">
        <v>111600000.00000001</v>
      </c>
      <c r="AD10" s="5">
        <v>113666666.66666667</v>
      </c>
      <c r="AE10" s="5">
        <v>113666666.66666667</v>
      </c>
      <c r="AF10" s="19">
        <f t="shared" si="2"/>
        <v>1395000000.0000002</v>
      </c>
      <c r="AG10" s="20">
        <f t="shared" si="3"/>
        <v>1.1123095238474399</v>
      </c>
    </row>
    <row r="11" spans="1:33" x14ac:dyDescent="0.3">
      <c r="A11" s="16" t="s">
        <v>162</v>
      </c>
      <c r="B11" s="16" t="s">
        <v>165</v>
      </c>
      <c r="C11" s="16" t="s">
        <v>10</v>
      </c>
      <c r="D11" s="17" t="s">
        <v>163</v>
      </c>
      <c r="E11" s="5">
        <v>6705891.7648538547</v>
      </c>
      <c r="F11" s="5">
        <v>6181416.2364185052</v>
      </c>
      <c r="G11" s="5">
        <v>0</v>
      </c>
      <c r="H11" s="5">
        <v>6003327.8074056767</v>
      </c>
      <c r="I11" s="5">
        <v>5500000</v>
      </c>
      <c r="J11" s="5">
        <v>5200000</v>
      </c>
      <c r="K11" s="5">
        <v>5200000</v>
      </c>
      <c r="L11" s="5">
        <v>5200000</v>
      </c>
      <c r="M11" s="5">
        <v>5884000</v>
      </c>
      <c r="N11" s="5">
        <v>2184172.9394378229</v>
      </c>
      <c r="O11" s="5">
        <v>3606468.5398954088</v>
      </c>
      <c r="P11" s="5">
        <v>1354681.2054492014</v>
      </c>
      <c r="Q11" s="5">
        <v>1944886.5738727506</v>
      </c>
      <c r="R11" s="18">
        <f t="shared" si="1"/>
        <v>54964845.067333221</v>
      </c>
      <c r="S11" s="5">
        <v>6907068.5177994696</v>
      </c>
      <c r="T11" s="5">
        <v>6366858.7235110607</v>
      </c>
      <c r="U11" s="5">
        <v>0</v>
      </c>
      <c r="V11" s="5">
        <v>6183427.6416278481</v>
      </c>
      <c r="W11" s="5">
        <v>5665000</v>
      </c>
      <c r="X11" s="5">
        <v>5356000.0000000009</v>
      </c>
      <c r="Y11" s="5">
        <v>5356000.0000000009</v>
      </c>
      <c r="Z11" s="5">
        <v>5356000.0000000009</v>
      </c>
      <c r="AA11" s="5">
        <v>6060520</v>
      </c>
      <c r="AB11" s="5">
        <v>2249698.1276209578</v>
      </c>
      <c r="AC11" s="5">
        <v>3714662.5960922712</v>
      </c>
      <c r="AD11" s="5">
        <v>1395321.6416126774</v>
      </c>
      <c r="AE11" s="5">
        <v>2003233.171088933</v>
      </c>
      <c r="AF11" s="19">
        <f t="shared" si="2"/>
        <v>56613790.419353217</v>
      </c>
      <c r="AG11" s="20">
        <f t="shared" si="3"/>
        <v>1.03</v>
      </c>
    </row>
    <row r="12" spans="1:33" x14ac:dyDescent="0.3">
      <c r="A12" s="16" t="s">
        <v>162</v>
      </c>
      <c r="B12" s="16" t="s">
        <v>166</v>
      </c>
      <c r="C12" s="16" t="s">
        <v>10</v>
      </c>
      <c r="D12" s="17" t="s">
        <v>163</v>
      </c>
      <c r="E12" s="5">
        <v>38976774.430000037</v>
      </c>
      <c r="F12" s="5">
        <v>20341778.259999976</v>
      </c>
      <c r="G12" s="5">
        <v>21866734.790000033</v>
      </c>
      <c r="H12" s="5">
        <v>29554336.330000006</v>
      </c>
      <c r="I12" s="5">
        <v>23649548.45000001</v>
      </c>
      <c r="J12" s="5">
        <v>31110584.650000006</v>
      </c>
      <c r="K12" s="5">
        <v>30240364.639999997</v>
      </c>
      <c r="L12" s="5">
        <v>32299999.999999996</v>
      </c>
      <c r="M12" s="5">
        <v>33057039.408047993</v>
      </c>
      <c r="N12" s="5">
        <v>34376926.468570232</v>
      </c>
      <c r="O12" s="5">
        <v>32012384.800894268</v>
      </c>
      <c r="P12" s="5">
        <v>32673847.213466205</v>
      </c>
      <c r="Q12" s="5">
        <v>30883555.6201609</v>
      </c>
      <c r="R12" s="18">
        <f t="shared" si="1"/>
        <v>391043875.0611397</v>
      </c>
      <c r="S12" s="5">
        <v>41315380.895800039</v>
      </c>
      <c r="T12" s="5">
        <v>21562284.955599979</v>
      </c>
      <c r="U12" s="5">
        <v>23178738.877400037</v>
      </c>
      <c r="V12" s="5">
        <v>31327596.509800006</v>
      </c>
      <c r="W12" s="5">
        <v>25068521.357000012</v>
      </c>
      <c r="X12" s="5">
        <v>32977219.729000013</v>
      </c>
      <c r="Y12" s="5">
        <v>32054786.518399999</v>
      </c>
      <c r="Z12" s="5">
        <v>34238000</v>
      </c>
      <c r="AA12" s="5">
        <v>35040461.772530876</v>
      </c>
      <c r="AB12" s="5">
        <v>36439542.056684442</v>
      </c>
      <c r="AC12" s="5">
        <v>33933127.888947919</v>
      </c>
      <c r="AD12" s="5">
        <v>34634278.046274178</v>
      </c>
      <c r="AE12" s="5">
        <v>32736568.957370557</v>
      </c>
      <c r="AF12" s="19">
        <f t="shared" si="2"/>
        <v>414506507.56480801</v>
      </c>
      <c r="AG12" s="20">
        <f t="shared" si="3"/>
        <v>1.0599999999999998</v>
      </c>
    </row>
    <row r="13" spans="1:33" x14ac:dyDescent="0.3">
      <c r="A13" s="16" t="s">
        <v>162</v>
      </c>
      <c r="B13" s="16" t="s">
        <v>18</v>
      </c>
      <c r="C13" s="16" t="s">
        <v>10</v>
      </c>
      <c r="D13" s="17" t="s">
        <v>163</v>
      </c>
      <c r="E13" s="5">
        <v>59099505.989999987</v>
      </c>
      <c r="F13" s="5">
        <v>59719425.979999974</v>
      </c>
      <c r="G13" s="5">
        <v>58254078.079999991</v>
      </c>
      <c r="H13" s="5">
        <v>56409517.553165972</v>
      </c>
      <c r="I13" s="5">
        <v>54978213.949999988</v>
      </c>
      <c r="J13" s="5">
        <v>57525917.609999992</v>
      </c>
      <c r="K13" s="5">
        <v>58668022.530000001</v>
      </c>
      <c r="L13" s="5">
        <v>59446955.18999999</v>
      </c>
      <c r="M13" s="5">
        <v>59500000.002632052</v>
      </c>
      <c r="N13" s="5">
        <v>47771626.73563876</v>
      </c>
      <c r="O13" s="5">
        <v>47161676.317513615</v>
      </c>
      <c r="P13" s="5">
        <v>45404361.105597749</v>
      </c>
      <c r="Q13" s="5">
        <v>46905267.93282789</v>
      </c>
      <c r="R13" s="18">
        <f t="shared" si="1"/>
        <v>710844568.97737598</v>
      </c>
      <c r="S13" s="5">
        <v>63827466.469199993</v>
      </c>
      <c r="T13" s="5">
        <v>64496980.058399983</v>
      </c>
      <c r="U13" s="5">
        <v>62914404.326399997</v>
      </c>
      <c r="V13" s="5">
        <v>60922278.957419254</v>
      </c>
      <c r="W13" s="5">
        <v>59376471.065999992</v>
      </c>
      <c r="X13" s="5">
        <v>62127991.018799998</v>
      </c>
      <c r="Y13" s="5">
        <v>63361464.332400002</v>
      </c>
      <c r="Z13" s="5">
        <v>64202711.605199993</v>
      </c>
      <c r="AA13" s="5">
        <v>64260000.00284262</v>
      </c>
      <c r="AB13" s="5">
        <v>51593356.874489866</v>
      </c>
      <c r="AC13" s="5">
        <v>50934610.422914706</v>
      </c>
      <c r="AD13" s="5">
        <v>49036709.99404557</v>
      </c>
      <c r="AE13" s="5">
        <v>50657689.367454126</v>
      </c>
      <c r="AF13" s="19">
        <f t="shared" si="2"/>
        <v>767712134.49556637</v>
      </c>
      <c r="AG13" s="20">
        <f t="shared" si="3"/>
        <v>1.0800000000000005</v>
      </c>
    </row>
    <row r="14" spans="1:33" x14ac:dyDescent="0.3">
      <c r="A14" s="16" t="s">
        <v>162</v>
      </c>
      <c r="B14" s="16" t="s">
        <v>19</v>
      </c>
      <c r="C14" s="16" t="s">
        <v>10</v>
      </c>
      <c r="D14" s="17" t="s">
        <v>163</v>
      </c>
      <c r="E14" s="5">
        <v>29005005.659999978</v>
      </c>
      <c r="F14" s="5">
        <v>26812692.099999961</v>
      </c>
      <c r="G14" s="5">
        <v>29068573.72999993</v>
      </c>
      <c r="H14" s="5">
        <v>28738730.468871251</v>
      </c>
      <c r="I14" s="5">
        <v>30057169.449999936</v>
      </c>
      <c r="J14" s="5">
        <v>34492516.619999953</v>
      </c>
      <c r="K14" s="5">
        <v>30203096.609999951</v>
      </c>
      <c r="L14" s="5">
        <v>30909099.40999997</v>
      </c>
      <c r="M14" s="5">
        <v>31699999.999505829</v>
      </c>
      <c r="N14" s="5">
        <v>35130065.706616662</v>
      </c>
      <c r="O14" s="5">
        <v>33454224.796222817</v>
      </c>
      <c r="P14" s="5">
        <v>30184370.272094756</v>
      </c>
      <c r="Q14" s="5">
        <v>34801177.637302026</v>
      </c>
      <c r="R14" s="18">
        <f t="shared" si="1"/>
        <v>404556722.46061301</v>
      </c>
      <c r="S14" s="5">
        <v>29585105.773199979</v>
      </c>
      <c r="T14" s="5">
        <v>27348945.941999961</v>
      </c>
      <c r="U14" s="5">
        <v>29649945.204599928</v>
      </c>
      <c r="V14" s="5">
        <v>29313505.078248676</v>
      </c>
      <c r="W14" s="5">
        <v>30658312.838999938</v>
      </c>
      <c r="X14" s="5">
        <v>35182366.952399954</v>
      </c>
      <c r="Y14" s="5">
        <v>30807158.542199951</v>
      </c>
      <c r="Z14" s="5">
        <v>31527281.398199972</v>
      </c>
      <c r="AA14" s="5">
        <v>32333999.999495946</v>
      </c>
      <c r="AB14" s="5">
        <v>35832667.020748995</v>
      </c>
      <c r="AC14" s="5">
        <v>34123309.292147279</v>
      </c>
      <c r="AD14" s="5">
        <v>30788057.677536651</v>
      </c>
      <c r="AE14" s="5">
        <v>35497201.190048069</v>
      </c>
      <c r="AF14" s="19">
        <f t="shared" si="2"/>
        <v>412647856.90982533</v>
      </c>
      <c r="AG14" s="20">
        <f t="shared" si="3"/>
        <v>1.0200000000000002</v>
      </c>
    </row>
    <row r="15" spans="1:33" x14ac:dyDescent="0.3">
      <c r="A15" s="16" t="s">
        <v>162</v>
      </c>
      <c r="B15" s="16" t="s">
        <v>76</v>
      </c>
      <c r="C15" s="16" t="s">
        <v>10</v>
      </c>
      <c r="D15" s="17" t="s">
        <v>163</v>
      </c>
      <c r="E15" s="5">
        <v>80625885.809999764</v>
      </c>
      <c r="F15" s="5">
        <v>122505493.9500009</v>
      </c>
      <c r="G15" s="5">
        <v>92664056.410000607</v>
      </c>
      <c r="H15" s="5">
        <v>102301751.86000121</v>
      </c>
      <c r="I15" s="5">
        <v>129300173.14000028</v>
      </c>
      <c r="J15" s="5">
        <v>117967773.61000162</v>
      </c>
      <c r="K15" s="5">
        <v>120552083.01000045</v>
      </c>
      <c r="L15" s="5">
        <v>103904012.11908083</v>
      </c>
      <c r="M15" s="5">
        <v>122700000</v>
      </c>
      <c r="N15" s="5">
        <v>106821210.3122181</v>
      </c>
      <c r="O15" s="5">
        <v>106821210.3122181</v>
      </c>
      <c r="P15" s="5">
        <v>153415704.06362781</v>
      </c>
      <c r="Q15" s="5">
        <v>106912894.14077345</v>
      </c>
      <c r="R15" s="18">
        <f t="shared" si="1"/>
        <v>1466492248.7379231</v>
      </c>
      <c r="S15" s="5">
        <v>88688474.390999749</v>
      </c>
      <c r="T15" s="5">
        <v>134756043.34500098</v>
      </c>
      <c r="U15" s="5">
        <v>101930462.05100067</v>
      </c>
      <c r="V15" s="5">
        <v>112531927.04600133</v>
      </c>
      <c r="W15" s="5">
        <v>142230190.45400032</v>
      </c>
      <c r="X15" s="5">
        <v>129764550.97100179</v>
      </c>
      <c r="Y15" s="5">
        <v>132607291.31100053</v>
      </c>
      <c r="Z15" s="5">
        <v>114294413.33098893</v>
      </c>
      <c r="AA15" s="5">
        <v>134970000.00000003</v>
      </c>
      <c r="AB15" s="5">
        <v>117503331.34343992</v>
      </c>
      <c r="AC15" s="5">
        <v>117503331.34343992</v>
      </c>
      <c r="AD15" s="5">
        <v>168757274.46999058</v>
      </c>
      <c r="AE15" s="5">
        <v>117604183.5548508</v>
      </c>
      <c r="AF15" s="19">
        <f t="shared" si="2"/>
        <v>1613141473.6117151</v>
      </c>
      <c r="AG15" s="20">
        <f t="shared" si="3"/>
        <v>1.0999999999999996</v>
      </c>
    </row>
    <row r="16" spans="1:33" x14ac:dyDescent="0.3">
      <c r="A16" s="16" t="s">
        <v>162</v>
      </c>
      <c r="B16" s="16" t="s">
        <v>82</v>
      </c>
      <c r="C16" s="16" t="s">
        <v>10</v>
      </c>
      <c r="D16" s="17" t="s">
        <v>163</v>
      </c>
      <c r="E16" s="5">
        <v>0</v>
      </c>
      <c r="F16" s="5">
        <v>7325478.9400000013</v>
      </c>
      <c r="G16" s="5">
        <v>9348179.8000000026</v>
      </c>
      <c r="H16" s="5">
        <v>1361567.32</v>
      </c>
      <c r="I16" s="5">
        <v>5336143.1399999997</v>
      </c>
      <c r="J16" s="5">
        <v>10331810.299999997</v>
      </c>
      <c r="K16" s="5">
        <v>2241642.7199999997</v>
      </c>
      <c r="L16" s="5">
        <v>6056373.9003196927</v>
      </c>
      <c r="M16" s="5">
        <v>5908885.408515281</v>
      </c>
      <c r="N16" s="5">
        <v>5911832.3210296286</v>
      </c>
      <c r="O16" s="5">
        <v>5788510.5128065413</v>
      </c>
      <c r="P16" s="5">
        <v>5344582.7302193707</v>
      </c>
      <c r="Q16" s="5">
        <v>5178657.8778199507</v>
      </c>
      <c r="R16" s="18">
        <f t="shared" si="1"/>
        <v>70133664.970710471</v>
      </c>
      <c r="S16" s="5">
        <v>5826489.0898744082</v>
      </c>
      <c r="T16" s="5">
        <v>5826489.0898744082</v>
      </c>
      <c r="U16" s="5">
        <v>5826489.0898744082</v>
      </c>
      <c r="V16" s="5">
        <v>5826489.0898744082</v>
      </c>
      <c r="W16" s="5">
        <v>5826489.0898744082</v>
      </c>
      <c r="X16" s="5">
        <v>5826489.0898744082</v>
      </c>
      <c r="Y16" s="5">
        <v>5826489.0898744082</v>
      </c>
      <c r="Z16" s="5">
        <v>5826489.0898744082</v>
      </c>
      <c r="AA16" s="5">
        <v>5826489.0898744082</v>
      </c>
      <c r="AB16" s="5">
        <v>5826489.0898744082</v>
      </c>
      <c r="AC16" s="5">
        <v>5826489.0898744082</v>
      </c>
      <c r="AD16" s="5">
        <v>5826489.0898744082</v>
      </c>
      <c r="AE16" s="5">
        <v>5826489.0898744082</v>
      </c>
      <c r="AF16" s="19">
        <f t="shared" si="2"/>
        <v>75744358.168367296</v>
      </c>
      <c r="AG16" s="20">
        <f t="shared" si="3"/>
        <v>1.0799999999999998</v>
      </c>
    </row>
    <row r="17" spans="1:33" x14ac:dyDescent="0.3">
      <c r="A17" s="16" t="s">
        <v>162</v>
      </c>
      <c r="B17" s="16" t="s">
        <v>83</v>
      </c>
      <c r="C17" s="16" t="s">
        <v>8</v>
      </c>
      <c r="D17" s="17" t="s">
        <v>163</v>
      </c>
      <c r="E17" s="5">
        <v>23426958.659346268</v>
      </c>
      <c r="F17" s="5">
        <v>24174476.554652922</v>
      </c>
      <c r="G17" s="5">
        <v>24846471.794297215</v>
      </c>
      <c r="H17" s="5">
        <v>24752957.740850296</v>
      </c>
      <c r="I17" s="5">
        <v>24702974.811413147</v>
      </c>
      <c r="J17" s="5">
        <v>25877827.134325601</v>
      </c>
      <c r="K17" s="5">
        <v>24795449.690965224</v>
      </c>
      <c r="L17" s="5">
        <v>26112063.17784927</v>
      </c>
      <c r="M17" s="5">
        <v>27402310.181449808</v>
      </c>
      <c r="N17" s="5">
        <v>25591800.401604015</v>
      </c>
      <c r="O17" s="5">
        <v>24799090.714212079</v>
      </c>
      <c r="P17" s="5">
        <v>25582013.862253502</v>
      </c>
      <c r="Q17" s="5">
        <v>27020635.146779612</v>
      </c>
      <c r="R17" s="18">
        <f t="shared" si="1"/>
        <v>329085029.86999893</v>
      </c>
      <c r="S17" s="5">
        <v>25763416.883099042</v>
      </c>
      <c r="T17" s="5">
        <v>26585487.534454323</v>
      </c>
      <c r="U17" s="5">
        <v>27324503.37317938</v>
      </c>
      <c r="V17" s="5">
        <v>27221662.813360479</v>
      </c>
      <c r="W17" s="5">
        <v>27166694.899392094</v>
      </c>
      <c r="X17" s="5">
        <v>28458719.639410801</v>
      </c>
      <c r="Y17" s="5">
        <v>27268392.644616231</v>
      </c>
      <c r="Z17" s="5">
        <v>28716316.919796173</v>
      </c>
      <c r="AA17" s="5">
        <v>30135245.08368177</v>
      </c>
      <c r="AB17" s="5">
        <v>28144166.390652791</v>
      </c>
      <c r="AC17" s="5">
        <v>27272396.800732002</v>
      </c>
      <c r="AD17" s="5">
        <v>28133403.803122912</v>
      </c>
      <c r="AE17" s="5">
        <v>29715504.170016199</v>
      </c>
      <c r="AF17" s="19">
        <f t="shared" si="2"/>
        <v>361905910.95551419</v>
      </c>
      <c r="AG17" s="20">
        <f t="shared" si="3"/>
        <v>1.0997337408464942</v>
      </c>
    </row>
    <row r="18" spans="1:33" x14ac:dyDescent="0.3">
      <c r="A18" s="16" t="s">
        <v>162</v>
      </c>
      <c r="B18" s="16" t="s">
        <v>167</v>
      </c>
      <c r="C18" s="16" t="s">
        <v>8</v>
      </c>
      <c r="D18" s="17" t="s">
        <v>163</v>
      </c>
      <c r="E18" s="5">
        <v>33678142.323298998</v>
      </c>
      <c r="F18" s="5">
        <v>38816506.463930286</v>
      </c>
      <c r="G18" s="5">
        <v>38260569.052491695</v>
      </c>
      <c r="H18" s="5">
        <v>44169327.31922254</v>
      </c>
      <c r="I18" s="5">
        <v>43462151.999649674</v>
      </c>
      <c r="J18" s="5">
        <v>40398788.752237059</v>
      </c>
      <c r="K18" s="5">
        <v>41642122.412669569</v>
      </c>
      <c r="L18" s="5">
        <v>41874645.465699993</v>
      </c>
      <c r="M18" s="5">
        <v>38678060.570108198</v>
      </c>
      <c r="N18" s="5">
        <v>34181736.028833121</v>
      </c>
      <c r="O18" s="5">
        <v>29907810.335836165</v>
      </c>
      <c r="P18" s="5">
        <v>32122129.303474858</v>
      </c>
      <c r="Q18" s="5">
        <v>34094710.392550379</v>
      </c>
      <c r="R18" s="18">
        <f t="shared" si="1"/>
        <v>491286700.42000246</v>
      </c>
      <c r="S18" s="5">
        <v>35646464.667461731</v>
      </c>
      <c r="T18" s="5">
        <v>41085141.006235018</v>
      </c>
      <c r="U18" s="5">
        <v>40496711.7780452</v>
      </c>
      <c r="V18" s="5">
        <v>46750808.003473848</v>
      </c>
      <c r="W18" s="5">
        <v>46002301.752717391</v>
      </c>
      <c r="X18" s="5">
        <v>42759899.938679397</v>
      </c>
      <c r="Y18" s="5">
        <v>44075900.357319236</v>
      </c>
      <c r="Z18" s="5">
        <v>44322013.243079111</v>
      </c>
      <c r="AA18" s="5">
        <v>40938603.628516592</v>
      </c>
      <c r="AB18" s="5">
        <v>36179490.956701539</v>
      </c>
      <c r="AC18" s="5">
        <v>31655775.255750451</v>
      </c>
      <c r="AD18" s="5">
        <v>33999510.31348303</v>
      </c>
      <c r="AE18" s="5">
        <v>36087379.098537378</v>
      </c>
      <c r="AF18" s="19">
        <f t="shared" si="2"/>
        <v>519999999.99999994</v>
      </c>
      <c r="AG18" s="20">
        <f t="shared" si="3"/>
        <v>1.0584450984637899</v>
      </c>
    </row>
    <row r="19" spans="1:33" x14ac:dyDescent="0.3">
      <c r="A19" s="16" t="s">
        <v>162</v>
      </c>
      <c r="B19" s="16" t="s">
        <v>15</v>
      </c>
      <c r="C19" s="16" t="s">
        <v>168</v>
      </c>
      <c r="D19" s="17" t="s">
        <v>163</v>
      </c>
      <c r="E19" s="5">
        <v>28152116.20999993</v>
      </c>
      <c r="F19" s="5">
        <v>40593275.259998195</v>
      </c>
      <c r="G19" s="5">
        <v>35553420.209999457</v>
      </c>
      <c r="H19" s="5">
        <v>38485339.869999915</v>
      </c>
      <c r="I19" s="5">
        <v>35576696.390000962</v>
      </c>
      <c r="J19" s="5">
        <v>40099241.929997534</v>
      </c>
      <c r="K19" s="5">
        <v>34664287.420000702</v>
      </c>
      <c r="L19" s="5">
        <v>43674807.939997733</v>
      </c>
      <c r="M19" s="5">
        <v>37504592.85316366</v>
      </c>
      <c r="N19" s="5">
        <v>40369103.624009535</v>
      </c>
      <c r="O19" s="5">
        <v>40625632.888274133</v>
      </c>
      <c r="P19" s="5">
        <v>39761950.089382492</v>
      </c>
      <c r="Q19" s="5">
        <v>45396405.530444689</v>
      </c>
      <c r="R19" s="18">
        <f t="shared" si="1"/>
        <v>500456870.21526891</v>
      </c>
      <c r="S19" s="5">
        <v>40999208.012598179</v>
      </c>
      <c r="T19" s="5">
        <v>35908954.412099451</v>
      </c>
      <c r="U19" s="5">
        <v>38870193.268699914</v>
      </c>
      <c r="V19" s="5">
        <v>35932463.353900969</v>
      </c>
      <c r="W19" s="5">
        <v>40500234.349297509</v>
      </c>
      <c r="X19" s="5">
        <v>35010930.294200711</v>
      </c>
      <c r="Y19" s="5">
        <v>44111556.019397713</v>
      </c>
      <c r="Z19" s="5">
        <v>37879638.781695299</v>
      </c>
      <c r="AA19" s="5">
        <v>40772794.660249628</v>
      </c>
      <c r="AB19" s="5">
        <v>41031889.217156872</v>
      </c>
      <c r="AC19" s="5">
        <v>40159569.590276316</v>
      </c>
      <c r="AD19" s="5">
        <v>45850369.585749134</v>
      </c>
      <c r="AE19" s="5">
        <v>505461438.91742158</v>
      </c>
      <c r="AF19" s="19">
        <f t="shared" si="2"/>
        <v>982489240.46274328</v>
      </c>
      <c r="AG19" s="20">
        <f t="shared" si="3"/>
        <v>1.9631846397475383</v>
      </c>
    </row>
    <row r="20" spans="1:33" x14ac:dyDescent="0.3">
      <c r="A20" s="16" t="s">
        <v>162</v>
      </c>
      <c r="B20" s="16" t="s">
        <v>17</v>
      </c>
      <c r="C20" s="16" t="s">
        <v>168</v>
      </c>
      <c r="D20" s="17" t="s">
        <v>163</v>
      </c>
      <c r="E20" s="5">
        <v>3067186.8599999752</v>
      </c>
      <c r="F20" s="5">
        <v>6688216.5499999207</v>
      </c>
      <c r="G20" s="5">
        <v>5943183.4599999133</v>
      </c>
      <c r="H20" s="5">
        <v>6468769.3800000297</v>
      </c>
      <c r="I20" s="5">
        <v>6681003.0899999794</v>
      </c>
      <c r="J20" s="5">
        <v>5846234.6000000481</v>
      </c>
      <c r="K20" s="5">
        <v>6595319.9699999075</v>
      </c>
      <c r="L20" s="5">
        <v>6201306.3799998993</v>
      </c>
      <c r="M20" s="5">
        <v>6637372.5977097899</v>
      </c>
      <c r="N20" s="5">
        <v>6641636.7765519386</v>
      </c>
      <c r="O20" s="5">
        <v>6710463.9843906965</v>
      </c>
      <c r="P20" s="5">
        <v>6718440.2804130819</v>
      </c>
      <c r="Q20" s="5">
        <v>7512461.4304868346</v>
      </c>
      <c r="R20" s="18">
        <f t="shared" si="1"/>
        <v>81711595.359551996</v>
      </c>
      <c r="S20" s="5">
        <v>2300390.1449999814</v>
      </c>
      <c r="T20" s="5">
        <v>5016162.41249994</v>
      </c>
      <c r="U20" s="5">
        <v>4457387.5949999355</v>
      </c>
      <c r="V20" s="5">
        <v>3234384.6900000148</v>
      </c>
      <c r="W20" s="5">
        <v>3340501.5449999897</v>
      </c>
      <c r="X20" s="5">
        <v>2923117.300000024</v>
      </c>
      <c r="Y20" s="5">
        <v>3297659.9849999538</v>
      </c>
      <c r="Z20" s="5">
        <v>3100653.1899999497</v>
      </c>
      <c r="AA20" s="5">
        <v>3318686.2988548949</v>
      </c>
      <c r="AB20" s="5">
        <v>3320818.3882759693</v>
      </c>
      <c r="AC20" s="5">
        <v>3355231.9921953483</v>
      </c>
      <c r="AD20" s="5">
        <v>3359220.1402065409</v>
      </c>
      <c r="AE20" s="5">
        <v>3756230.7152434173</v>
      </c>
      <c r="AF20" s="19">
        <f t="shared" si="2"/>
        <v>44780444.397275947</v>
      </c>
      <c r="AG20" s="20">
        <f t="shared" si="3"/>
        <v>0.54803047474756184</v>
      </c>
    </row>
    <row r="21" spans="1:33" x14ac:dyDescent="0.3">
      <c r="A21" s="16" t="s">
        <v>162</v>
      </c>
      <c r="B21" s="16" t="s">
        <v>32</v>
      </c>
      <c r="C21" s="16" t="s">
        <v>168</v>
      </c>
      <c r="D21" s="17" t="s">
        <v>163</v>
      </c>
      <c r="E21" s="5">
        <v>45843986.360500887</v>
      </c>
      <c r="F21" s="5">
        <v>54875811.212996982</v>
      </c>
      <c r="G21" s="5">
        <v>74070721.220754579</v>
      </c>
      <c r="H21" s="5">
        <v>68764767.172747135</v>
      </c>
      <c r="I21" s="5">
        <v>61227818.559998699</v>
      </c>
      <c r="J21" s="5">
        <v>64464147.419997133</v>
      </c>
      <c r="K21" s="5">
        <v>68839554.549998656</v>
      </c>
      <c r="L21" s="5">
        <v>64209509.409997709</v>
      </c>
      <c r="M21" s="5">
        <v>67388104.039038748</v>
      </c>
      <c r="N21" s="5">
        <v>66570696.476115838</v>
      </c>
      <c r="O21" s="5">
        <v>67449600.266741663</v>
      </c>
      <c r="P21" s="5">
        <v>68374746.005773619</v>
      </c>
      <c r="Q21" s="5">
        <v>72930408.862263069</v>
      </c>
      <c r="R21" s="18">
        <f t="shared" si="1"/>
        <v>845009871.5569247</v>
      </c>
      <c r="S21" s="5">
        <v>46302425.859999999</v>
      </c>
      <c r="T21" s="5">
        <v>55424569.109999999</v>
      </c>
      <c r="U21" s="5">
        <v>74811428.209999993</v>
      </c>
      <c r="V21" s="5">
        <v>69452414.670000002</v>
      </c>
      <c r="W21" s="5">
        <v>61840097.189999998</v>
      </c>
      <c r="X21" s="5">
        <v>65108788.469999999</v>
      </c>
      <c r="Y21" s="5">
        <v>69527950.549999997</v>
      </c>
      <c r="Z21" s="5">
        <v>64851604.090000004</v>
      </c>
      <c r="AA21" s="5">
        <v>68061985.040000007</v>
      </c>
      <c r="AB21" s="5">
        <v>67236402.959999993</v>
      </c>
      <c r="AC21" s="5">
        <v>68124096</v>
      </c>
      <c r="AD21" s="5">
        <v>69058493.459999993</v>
      </c>
      <c r="AE21" s="5">
        <v>73659713.090000004</v>
      </c>
      <c r="AF21" s="19">
        <f t="shared" si="2"/>
        <v>853459968.70000005</v>
      </c>
      <c r="AG21" s="20">
        <f t="shared" si="3"/>
        <v>1.0099999981390821</v>
      </c>
    </row>
    <row r="22" spans="1:33" x14ac:dyDescent="0.3">
      <c r="A22" s="16" t="s">
        <v>162</v>
      </c>
      <c r="B22" s="16" t="s">
        <v>34</v>
      </c>
      <c r="C22" s="16" t="s">
        <v>168</v>
      </c>
      <c r="D22" s="17" t="s">
        <v>169</v>
      </c>
      <c r="E22" s="5">
        <v>29569196.190001041</v>
      </c>
      <c r="F22" s="5">
        <v>32681295.579999194</v>
      </c>
      <c r="G22" s="5">
        <v>35179164.919996679</v>
      </c>
      <c r="H22" s="5">
        <v>40469003.149997801</v>
      </c>
      <c r="I22" s="5">
        <v>39017390.349997088</v>
      </c>
      <c r="J22" s="5">
        <v>37292937.299995869</v>
      </c>
      <c r="K22" s="5">
        <v>40595467.749999449</v>
      </c>
      <c r="L22" s="5">
        <v>38683537.049999259</v>
      </c>
      <c r="M22" s="5">
        <v>36266505.530526526</v>
      </c>
      <c r="N22" s="5">
        <v>35861785.795535065</v>
      </c>
      <c r="O22" s="5">
        <v>35582112.67861975</v>
      </c>
      <c r="P22" s="5">
        <v>35464023.257206924</v>
      </c>
      <c r="Q22" s="5">
        <v>38571892.205067128</v>
      </c>
      <c r="R22" s="18">
        <f t="shared" si="1"/>
        <v>475234311.7569418</v>
      </c>
      <c r="S22" s="5">
        <v>32821807.770901158</v>
      </c>
      <c r="T22" s="5">
        <v>36276238.093799107</v>
      </c>
      <c r="U22" s="5">
        <v>39048873.06119632</v>
      </c>
      <c r="V22" s="5">
        <v>44920593.496497564</v>
      </c>
      <c r="W22" s="5">
        <v>43309303.28849677</v>
      </c>
      <c r="X22" s="5">
        <v>41395160.402995415</v>
      </c>
      <c r="Y22" s="5">
        <v>45060969.20249939</v>
      </c>
      <c r="Z22" s="5">
        <v>42938726.125499181</v>
      </c>
      <c r="AA22" s="5">
        <v>40255821.138884448</v>
      </c>
      <c r="AB22" s="5">
        <v>39806582.233043924</v>
      </c>
      <c r="AC22" s="5">
        <v>39496145.073267929</v>
      </c>
      <c r="AD22" s="5">
        <v>39365065.815499686</v>
      </c>
      <c r="AE22" s="5">
        <v>42814800.347624518</v>
      </c>
      <c r="AF22" s="19">
        <f t="shared" si="2"/>
        <v>527510086.05020541</v>
      </c>
      <c r="AG22" s="20">
        <f t="shared" si="3"/>
        <v>1.1100000000000001</v>
      </c>
    </row>
    <row r="23" spans="1:33" x14ac:dyDescent="0.3">
      <c r="A23" s="16" t="s">
        <v>162</v>
      </c>
      <c r="B23" s="16" t="s">
        <v>64</v>
      </c>
      <c r="C23" s="16" t="s">
        <v>168</v>
      </c>
      <c r="D23" s="17" t="s">
        <v>163</v>
      </c>
      <c r="E23" s="5">
        <v>1381404.8800000022</v>
      </c>
      <c r="F23" s="5">
        <v>1786629.2399999993</v>
      </c>
      <c r="G23" s="5">
        <v>1575386.9800000025</v>
      </c>
      <c r="H23" s="5">
        <v>1776725.6200000062</v>
      </c>
      <c r="I23" s="5">
        <v>3568454.8999999869</v>
      </c>
      <c r="J23" s="5">
        <v>2618076.0899999752</v>
      </c>
      <c r="K23" s="5">
        <v>1850777.009999997</v>
      </c>
      <c r="L23" s="5">
        <v>2382842.1199999927</v>
      </c>
      <c r="M23" s="5">
        <v>2257242.8949661725</v>
      </c>
      <c r="N23" s="5">
        <v>1895711.1355691697</v>
      </c>
      <c r="O23" s="5">
        <v>1952813.8583904058</v>
      </c>
      <c r="P23" s="5">
        <v>1959338.1731746322</v>
      </c>
      <c r="Q23" s="5">
        <v>2187355.4428222412</v>
      </c>
      <c r="R23" s="18">
        <f t="shared" si="1"/>
        <v>27192758.344922584</v>
      </c>
      <c r="S23" s="5">
        <v>1381404.8800000022</v>
      </c>
      <c r="T23" s="5">
        <v>1786629.2399999993</v>
      </c>
      <c r="U23" s="5">
        <v>1575386.9800000025</v>
      </c>
      <c r="V23" s="5">
        <v>1776725.6200000062</v>
      </c>
      <c r="W23" s="5">
        <v>2083284</v>
      </c>
      <c r="X23" s="5">
        <v>2618076.0899999752</v>
      </c>
      <c r="Y23" s="5">
        <v>1850777.009999997</v>
      </c>
      <c r="Z23" s="5">
        <v>2382842.1199999927</v>
      </c>
      <c r="AA23" s="5">
        <v>2257242.8949661725</v>
      </c>
      <c r="AB23" s="5">
        <v>1895711.1355691697</v>
      </c>
      <c r="AC23" s="5">
        <v>1952813.8583904058</v>
      </c>
      <c r="AD23" s="5">
        <v>1959338.1731746322</v>
      </c>
      <c r="AE23" s="5">
        <v>2187355.4428222412</v>
      </c>
      <c r="AF23" s="19">
        <f t="shared" si="2"/>
        <v>25707587.444922596</v>
      </c>
      <c r="AG23" s="20">
        <f t="shared" si="3"/>
        <v>0.94538358774929876</v>
      </c>
    </row>
    <row r="24" spans="1:33" x14ac:dyDescent="0.3">
      <c r="A24" s="16" t="s">
        <v>162</v>
      </c>
      <c r="B24" s="16" t="s">
        <v>76</v>
      </c>
      <c r="C24" s="16" t="s">
        <v>168</v>
      </c>
      <c r="D24" s="17" t="s">
        <v>163</v>
      </c>
      <c r="E24" s="5">
        <v>5192136.3652499598</v>
      </c>
      <c r="F24" s="5">
        <v>7022497.3562499378</v>
      </c>
      <c r="G24" s="5">
        <v>8581406.3207498062</v>
      </c>
      <c r="H24" s="5">
        <v>7033870.0969999377</v>
      </c>
      <c r="I24" s="5">
        <v>7369273.2599998228</v>
      </c>
      <c r="J24" s="5">
        <v>7599304.1099998234</v>
      </c>
      <c r="K24" s="5">
        <v>6676908.3499998972</v>
      </c>
      <c r="L24" s="5">
        <v>6558684.9499998484</v>
      </c>
      <c r="M24" s="5">
        <v>7023065.3494586889</v>
      </c>
      <c r="N24" s="5">
        <v>7624215.3049290804</v>
      </c>
      <c r="O24" s="5">
        <v>7780728.9090429833</v>
      </c>
      <c r="P24" s="5">
        <v>7927269.9827899644</v>
      </c>
      <c r="Q24" s="5">
        <v>8556615.4290861543</v>
      </c>
      <c r="R24" s="18">
        <f t="shared" si="1"/>
        <v>94945975.784555897</v>
      </c>
      <c r="S24" s="5">
        <v>5711350.0017749565</v>
      </c>
      <c r="T24" s="5">
        <v>7724747.0918749319</v>
      </c>
      <c r="U24" s="5">
        <v>9439546.9528247882</v>
      </c>
      <c r="V24" s="5">
        <v>7737257.1066999324</v>
      </c>
      <c r="W24" s="5">
        <v>8106200.5859998055</v>
      </c>
      <c r="X24" s="5">
        <v>8359234.520999806</v>
      </c>
      <c r="Y24" s="5">
        <v>7344599.1849998878</v>
      </c>
      <c r="Z24" s="5">
        <v>7214553.4449998336</v>
      </c>
      <c r="AA24" s="5">
        <v>7725371.8844045587</v>
      </c>
      <c r="AB24" s="5">
        <v>8386636.8354219887</v>
      </c>
      <c r="AC24" s="5">
        <v>8558801.7999472823</v>
      </c>
      <c r="AD24" s="5">
        <v>8719996.9810689613</v>
      </c>
      <c r="AE24" s="5">
        <v>9412276.9719947707</v>
      </c>
      <c r="AF24" s="19">
        <f t="shared" si="2"/>
        <v>104440573.36301149</v>
      </c>
      <c r="AG24" s="20">
        <f t="shared" si="3"/>
        <v>1.1000000000000001</v>
      </c>
    </row>
    <row r="25" spans="1:33" x14ac:dyDescent="0.3">
      <c r="A25" s="16" t="s">
        <v>162</v>
      </c>
      <c r="B25" s="16" t="s">
        <v>106</v>
      </c>
      <c r="C25" s="16" t="s">
        <v>168</v>
      </c>
      <c r="D25" s="17" t="s">
        <v>169</v>
      </c>
      <c r="E25" s="5">
        <v>1254532.740000006</v>
      </c>
      <c r="F25" s="5">
        <v>1955178.4300000139</v>
      </c>
      <c r="G25" s="5">
        <v>2362885.2899999274</v>
      </c>
      <c r="H25" s="5">
        <v>1975322.7700000077</v>
      </c>
      <c r="I25" s="5">
        <v>1921331.4700000132</v>
      </c>
      <c r="J25" s="5">
        <v>1886941.7400000205</v>
      </c>
      <c r="K25" s="5">
        <v>2414926.0700000338</v>
      </c>
      <c r="L25" s="5">
        <v>2695639.7699998664</v>
      </c>
      <c r="M25" s="5">
        <v>1931133.7806955671</v>
      </c>
      <c r="N25" s="5">
        <v>1993036.8347752015</v>
      </c>
      <c r="O25" s="5">
        <v>2110638.471856216</v>
      </c>
      <c r="P25" s="5">
        <v>2049939.5444053498</v>
      </c>
      <c r="Q25" s="5">
        <v>2379437.9894491108</v>
      </c>
      <c r="R25" s="18">
        <f t="shared" si="1"/>
        <v>26930944.901181336</v>
      </c>
      <c r="S25" s="5">
        <v>1279623.3948000062</v>
      </c>
      <c r="T25" s="5">
        <v>1994281.9986000143</v>
      </c>
      <c r="U25" s="5">
        <v>2410142.9957999261</v>
      </c>
      <c r="V25" s="5">
        <v>2014829.2254000078</v>
      </c>
      <c r="W25" s="5">
        <v>1959758.0994000135</v>
      </c>
      <c r="X25" s="5">
        <v>1924680.574800021</v>
      </c>
      <c r="Y25" s="5">
        <v>2463224.5914000347</v>
      </c>
      <c r="Z25" s="5">
        <v>2749552.5653998638</v>
      </c>
      <c r="AA25" s="5">
        <v>1969756.4563094785</v>
      </c>
      <c r="AB25" s="5">
        <v>2032897.5714707056</v>
      </c>
      <c r="AC25" s="5">
        <v>2152851.2412933405</v>
      </c>
      <c r="AD25" s="5">
        <v>2090938.3352934567</v>
      </c>
      <c r="AE25" s="5">
        <v>2427026.7492380929</v>
      </c>
      <c r="AF25" s="19">
        <f t="shared" si="2"/>
        <v>27469563.79920496</v>
      </c>
      <c r="AG25" s="20">
        <f t="shared" si="3"/>
        <v>1.0199999999999998</v>
      </c>
    </row>
    <row r="26" spans="1:33" x14ac:dyDescent="0.3">
      <c r="A26" s="16" t="s">
        <v>162</v>
      </c>
      <c r="B26" s="16" t="s">
        <v>107</v>
      </c>
      <c r="C26" s="16" t="s">
        <v>168</v>
      </c>
      <c r="D26" s="17" t="s">
        <v>163</v>
      </c>
      <c r="E26" s="5">
        <v>18449905.730000198</v>
      </c>
      <c r="F26" s="5">
        <v>18766805.375000138</v>
      </c>
      <c r="G26" s="5">
        <v>21880158.482001029</v>
      </c>
      <c r="H26" s="5">
        <v>23178460.306500193</v>
      </c>
      <c r="I26" s="5">
        <v>20566080.590000503</v>
      </c>
      <c r="J26" s="5">
        <v>24107938.970000956</v>
      </c>
      <c r="K26" s="5">
        <v>23593345.439999986</v>
      </c>
      <c r="L26" s="5">
        <v>20460461.720000744</v>
      </c>
      <c r="M26" s="5">
        <v>21718041.042191211</v>
      </c>
      <c r="N26" s="5">
        <v>22147469.250480827</v>
      </c>
      <c r="O26" s="5">
        <v>22294873.605519228</v>
      </c>
      <c r="P26" s="5">
        <v>23047085.740084231</v>
      </c>
      <c r="Q26" s="5">
        <v>24238092.719342783</v>
      </c>
      <c r="R26" s="18">
        <f t="shared" si="1"/>
        <v>284448718.97112203</v>
      </c>
      <c r="S26" s="5">
        <v>19003402.901900206</v>
      </c>
      <c r="T26" s="5">
        <v>19329809.536250144</v>
      </c>
      <c r="U26" s="5">
        <v>22536563.236461062</v>
      </c>
      <c r="V26" s="5">
        <v>23873814.115695201</v>
      </c>
      <c r="W26" s="5">
        <v>21183063.007700518</v>
      </c>
      <c r="X26" s="5">
        <v>24831177.139100984</v>
      </c>
      <c r="Y26" s="5">
        <v>24301145.803199988</v>
      </c>
      <c r="Z26" s="5">
        <v>21074275.571600765</v>
      </c>
      <c r="AA26" s="5">
        <v>22369582.27345695</v>
      </c>
      <c r="AB26" s="5">
        <v>22811893.327995252</v>
      </c>
      <c r="AC26" s="5">
        <v>22963719.813684806</v>
      </c>
      <c r="AD26" s="5">
        <v>23738498.312286757</v>
      </c>
      <c r="AE26" s="5">
        <v>24965235.500923067</v>
      </c>
      <c r="AF26" s="19">
        <f t="shared" si="2"/>
        <v>292982180.54025567</v>
      </c>
      <c r="AG26" s="20">
        <f t="shared" si="3"/>
        <v>1.03</v>
      </c>
    </row>
    <row r="27" spans="1:33" x14ac:dyDescent="0.3">
      <c r="A27" s="16" t="s">
        <v>162</v>
      </c>
      <c r="B27" s="16" t="s">
        <v>108</v>
      </c>
      <c r="C27" s="16" t="s">
        <v>168</v>
      </c>
      <c r="D27" s="17" t="s">
        <v>163</v>
      </c>
      <c r="E27" s="5">
        <v>18138832.54999993</v>
      </c>
      <c r="F27" s="5">
        <v>22874277.28000018</v>
      </c>
      <c r="G27" s="5">
        <v>20861621.980000503</v>
      </c>
      <c r="H27" s="5">
        <v>18858655.849999908</v>
      </c>
      <c r="I27" s="5">
        <v>20035393.830000486</v>
      </c>
      <c r="J27" s="5">
        <v>22238039.109999992</v>
      </c>
      <c r="K27" s="5">
        <v>20152442.549999982</v>
      </c>
      <c r="L27" s="5">
        <v>28571901.549999226</v>
      </c>
      <c r="M27" s="5">
        <v>22020816.459045269</v>
      </c>
      <c r="N27" s="5">
        <v>23728548.259518646</v>
      </c>
      <c r="O27" s="5">
        <v>23571426.545521099</v>
      </c>
      <c r="P27" s="5">
        <v>23475779.872360982</v>
      </c>
      <c r="Q27" s="5">
        <v>26290501.593275808</v>
      </c>
      <c r="R27" s="18">
        <f t="shared" si="1"/>
        <v>290818237.42972201</v>
      </c>
      <c r="S27" s="5">
        <v>16687725.945999937</v>
      </c>
      <c r="T27" s="5">
        <v>21044335.097600166</v>
      </c>
      <c r="U27" s="5">
        <v>19192692.221600465</v>
      </c>
      <c r="V27" s="5">
        <v>17349963.381999917</v>
      </c>
      <c r="W27" s="5">
        <v>18432562.323600449</v>
      </c>
      <c r="X27" s="5">
        <v>20458995.981199995</v>
      </c>
      <c r="Y27" s="5">
        <v>18540247.145999983</v>
      </c>
      <c r="Z27" s="5">
        <v>26286149.425999288</v>
      </c>
      <c r="AA27" s="5">
        <v>20259151.142321646</v>
      </c>
      <c r="AB27" s="5">
        <v>21830264.398757156</v>
      </c>
      <c r="AC27" s="5">
        <v>21685712.421879411</v>
      </c>
      <c r="AD27" s="5">
        <v>21597717.482572105</v>
      </c>
      <c r="AE27" s="5">
        <v>24187261.465813745</v>
      </c>
      <c r="AF27" s="19">
        <f t="shared" si="2"/>
        <v>267552778.43534428</v>
      </c>
      <c r="AG27" s="20">
        <f t="shared" si="3"/>
        <v>0.92000000000000015</v>
      </c>
    </row>
    <row r="28" spans="1:33" x14ac:dyDescent="0.3">
      <c r="A28" s="16" t="s">
        <v>162</v>
      </c>
      <c r="B28" s="16" t="s">
        <v>123</v>
      </c>
      <c r="C28" s="16" t="s">
        <v>168</v>
      </c>
      <c r="D28" s="17" t="s">
        <v>163</v>
      </c>
      <c r="E28" s="5">
        <v>9640321.3399999663</v>
      </c>
      <c r="F28" s="5">
        <v>9971215.872500021</v>
      </c>
      <c r="G28" s="5">
        <v>11529239.993250007</v>
      </c>
      <c r="H28" s="5">
        <v>11463741.774999939</v>
      </c>
      <c r="I28" s="5">
        <v>10749662.000000045</v>
      </c>
      <c r="J28" s="5">
        <v>13578330.990000004</v>
      </c>
      <c r="K28" s="5">
        <v>12187297.870000049</v>
      </c>
      <c r="L28" s="5">
        <v>9987179.959999999</v>
      </c>
      <c r="M28" s="5">
        <v>11718116.946054514</v>
      </c>
      <c r="N28" s="5">
        <v>11957102.980923181</v>
      </c>
      <c r="O28" s="5">
        <v>12294133.417063575</v>
      </c>
      <c r="P28" s="5">
        <v>12420278.101542465</v>
      </c>
      <c r="Q28" s="5">
        <v>13226868.573962137</v>
      </c>
      <c r="R28" s="18">
        <f t="shared" si="1"/>
        <v>150723489.82029593</v>
      </c>
      <c r="S28" s="5">
        <v>9736724.5533999652</v>
      </c>
      <c r="T28" s="5">
        <v>10070928.031225022</v>
      </c>
      <c r="U28" s="5">
        <v>11644532.393182507</v>
      </c>
      <c r="V28" s="5">
        <v>11578379.192749938</v>
      </c>
      <c r="W28" s="5">
        <v>10857158.620000046</v>
      </c>
      <c r="X28" s="5">
        <v>13714114.299900005</v>
      </c>
      <c r="Y28" s="5">
        <v>12309170.84870005</v>
      </c>
      <c r="Z28" s="5">
        <v>10087051.759599999</v>
      </c>
      <c r="AA28" s="5">
        <v>11835298.115515059</v>
      </c>
      <c r="AB28" s="5">
        <v>12076674.010732414</v>
      </c>
      <c r="AC28" s="5">
        <v>12417074.751234211</v>
      </c>
      <c r="AD28" s="5">
        <v>12544480.882557889</v>
      </c>
      <c r="AE28" s="5">
        <v>13359137.259701759</v>
      </c>
      <c r="AF28" s="19">
        <f t="shared" si="2"/>
        <v>152230724.71849886</v>
      </c>
      <c r="AG28" s="20">
        <f t="shared" si="3"/>
        <v>1.0099999999999998</v>
      </c>
    </row>
    <row r="29" spans="1:33" x14ac:dyDescent="0.3">
      <c r="A29" s="16" t="s">
        <v>162</v>
      </c>
      <c r="B29" s="16" t="s">
        <v>170</v>
      </c>
      <c r="C29" s="16" t="s">
        <v>168</v>
      </c>
      <c r="D29" s="17" t="s">
        <v>163</v>
      </c>
      <c r="E29" s="5">
        <v>138830.85999999943</v>
      </c>
      <c r="F29" s="5">
        <v>200557.94000000076</v>
      </c>
      <c r="G29" s="5">
        <v>112061.48999999953</v>
      </c>
      <c r="H29" s="5">
        <v>149983.25000000041</v>
      </c>
      <c r="I29" s="5">
        <v>141656.90999999963</v>
      </c>
      <c r="J29" s="5">
        <v>144450.37000000026</v>
      </c>
      <c r="K29" s="5">
        <v>119448.96999999949</v>
      </c>
      <c r="L29" s="5">
        <v>105326.32999999965</v>
      </c>
      <c r="M29" s="5">
        <v>173385.20144287648</v>
      </c>
      <c r="N29" s="5">
        <v>178417.30962974275</v>
      </c>
      <c r="O29" s="5">
        <v>180294.49487507707</v>
      </c>
      <c r="P29" s="5">
        <v>180854.43455424867</v>
      </c>
      <c r="Q29" s="5">
        <v>201617.26587306897</v>
      </c>
      <c r="R29" s="18">
        <f t="shared" si="1"/>
        <v>2026884.826375013</v>
      </c>
      <c r="S29" s="5">
        <v>146188.8955799994</v>
      </c>
      <c r="T29" s="5">
        <v>153770.84415333412</v>
      </c>
      <c r="U29" s="5">
        <v>155584.08230333283</v>
      </c>
      <c r="V29" s="5">
        <v>156515.69558333376</v>
      </c>
      <c r="W29" s="5">
        <v>159748.05956333294</v>
      </c>
      <c r="X29" s="5">
        <v>159689.57294333359</v>
      </c>
      <c r="Y29" s="5">
        <v>163363.09874333278</v>
      </c>
      <c r="Z29" s="5">
        <v>163491.95882333297</v>
      </c>
      <c r="AA29" s="5">
        <v>165157.95045268227</v>
      </c>
      <c r="AB29" s="5">
        <v>170456.76037345245</v>
      </c>
      <c r="AC29" s="5">
        <v>172433.43643678949</v>
      </c>
      <c r="AD29" s="5">
        <v>173023.05291895717</v>
      </c>
      <c r="AE29" s="5">
        <v>194886.31429767495</v>
      </c>
      <c r="AF29" s="19">
        <f t="shared" si="2"/>
        <v>2134309.7221728889</v>
      </c>
      <c r="AG29" s="20">
        <f t="shared" si="3"/>
        <v>1.0530000000000002</v>
      </c>
    </row>
    <row r="30" spans="1:33" x14ac:dyDescent="0.3">
      <c r="A30" s="16" t="s">
        <v>162</v>
      </c>
      <c r="B30" s="16" t="s">
        <v>15</v>
      </c>
      <c r="C30" s="16" t="s">
        <v>13</v>
      </c>
      <c r="D30" s="17" t="s">
        <v>163</v>
      </c>
      <c r="E30" s="5">
        <v>11146662.519999992</v>
      </c>
      <c r="F30" s="5">
        <v>11426868.19999999</v>
      </c>
      <c r="G30" s="5">
        <v>11099237.690000003</v>
      </c>
      <c r="H30" s="5">
        <v>10628286.150000006</v>
      </c>
      <c r="I30" s="5">
        <v>10010725.460000001</v>
      </c>
      <c r="J30" s="5">
        <v>12133546.470000003</v>
      </c>
      <c r="K30" s="5">
        <v>9765723.3100000005</v>
      </c>
      <c r="L30" s="5">
        <v>15712112.120000008</v>
      </c>
      <c r="M30" s="5">
        <v>11426868.19999999</v>
      </c>
      <c r="N30" s="5">
        <v>11099237.690000003</v>
      </c>
      <c r="O30" s="5">
        <v>10628286.150000006</v>
      </c>
      <c r="P30" s="5">
        <v>10010725.460000001</v>
      </c>
      <c r="Q30" s="5">
        <v>12133546.470000003</v>
      </c>
      <c r="R30" s="18">
        <f t="shared" si="1"/>
        <v>147221825.88999999</v>
      </c>
      <c r="S30" s="5">
        <v>11598536.073489344</v>
      </c>
      <c r="T30" s="5">
        <v>13806079.306831682</v>
      </c>
      <c r="U30" s="5">
        <v>10913319.889801305</v>
      </c>
      <c r="V30" s="5">
        <v>9368743.9439646453</v>
      </c>
      <c r="W30" s="5">
        <v>12661290.620017774</v>
      </c>
      <c r="X30" s="5">
        <v>14260243.942188093</v>
      </c>
      <c r="Y30" s="5">
        <v>13125048.272086587</v>
      </c>
      <c r="Z30" s="5">
        <v>11291948.446682116</v>
      </c>
      <c r="AA30" s="5">
        <v>10843412.107111875</v>
      </c>
      <c r="AB30" s="5">
        <v>10974055.626474667</v>
      </c>
      <c r="AC30" s="5">
        <v>12977256.25670417</v>
      </c>
      <c r="AD30" s="5">
        <v>11975655.941589421</v>
      </c>
      <c r="AE30" s="5">
        <v>11322438.344775449</v>
      </c>
      <c r="AF30" s="19">
        <f t="shared" si="2"/>
        <v>155118028.7717171</v>
      </c>
      <c r="AG30" s="20">
        <f t="shared" si="3"/>
        <v>1.0536347299999997</v>
      </c>
    </row>
    <row r="31" spans="1:33" x14ac:dyDescent="0.3">
      <c r="A31" s="16" t="s">
        <v>162</v>
      </c>
      <c r="B31" s="16" t="s">
        <v>17</v>
      </c>
      <c r="C31" s="16" t="s">
        <v>13</v>
      </c>
      <c r="D31" s="17" t="s">
        <v>163</v>
      </c>
      <c r="E31" s="5">
        <v>11455190.249999978</v>
      </c>
      <c r="F31" s="5">
        <v>16794977.539999984</v>
      </c>
      <c r="G31" s="5">
        <v>22628371.790000077</v>
      </c>
      <c r="H31" s="5">
        <v>14216102.359999999</v>
      </c>
      <c r="I31" s="5">
        <v>9001228.0400000066</v>
      </c>
      <c r="J31" s="5">
        <v>32777864.310000077</v>
      </c>
      <c r="K31" s="5">
        <v>2434307.94</v>
      </c>
      <c r="L31" s="5">
        <v>2831100.5100000002</v>
      </c>
      <c r="M31" s="5">
        <v>12455190.25</v>
      </c>
      <c r="N31" s="5">
        <v>16394977.539999999</v>
      </c>
      <c r="O31" s="5">
        <v>14216102.359999999</v>
      </c>
      <c r="P31" s="5">
        <v>10001228.039999999</v>
      </c>
      <c r="Q31" s="5">
        <v>16794977.539999984</v>
      </c>
      <c r="R31" s="18">
        <f t="shared" si="1"/>
        <v>182001618.47000009</v>
      </c>
      <c r="S31" s="5">
        <v>14216254.515839877</v>
      </c>
      <c r="T31" s="5">
        <v>16922026.715113074</v>
      </c>
      <c r="U31" s="5">
        <v>13376389.242846759</v>
      </c>
      <c r="V31" s="5">
        <v>11483211.980998393</v>
      </c>
      <c r="W31" s="5">
        <v>15518866.244215431</v>
      </c>
      <c r="X31" s="5">
        <v>17478693.522666309</v>
      </c>
      <c r="Y31" s="5">
        <v>16087291.153506171</v>
      </c>
      <c r="Z31" s="5">
        <v>13840471.94237691</v>
      </c>
      <c r="AA31" s="5">
        <v>13290703.702442866</v>
      </c>
      <c r="AB31" s="5">
        <v>13450832.662713263</v>
      </c>
      <c r="AC31" s="5">
        <v>15906143.386859335</v>
      </c>
      <c r="AD31" s="5">
        <v>14678488.024786299</v>
      </c>
      <c r="AE31" s="5">
        <v>13877843.223434318</v>
      </c>
      <c r="AF31" s="19">
        <f t="shared" si="2"/>
        <v>190127216.317799</v>
      </c>
      <c r="AG31" s="20">
        <f t="shared" si="3"/>
        <v>1.044645745</v>
      </c>
    </row>
    <row r="32" spans="1:33" x14ac:dyDescent="0.3">
      <c r="A32" s="16" t="s">
        <v>162</v>
      </c>
      <c r="B32" s="16" t="s">
        <v>32</v>
      </c>
      <c r="C32" s="16" t="s">
        <v>13</v>
      </c>
      <c r="D32" s="17" t="s">
        <v>163</v>
      </c>
      <c r="E32" s="5">
        <v>1325353.99999999</v>
      </c>
      <c r="F32" s="5">
        <v>1578542.22999999</v>
      </c>
      <c r="G32" s="5">
        <v>1970023.22999999</v>
      </c>
      <c r="H32" s="5">
        <v>1437012.8699999901</v>
      </c>
      <c r="I32" s="5">
        <v>1960736.96</v>
      </c>
      <c r="J32" s="5">
        <v>2062970.9699999902</v>
      </c>
      <c r="K32" s="5">
        <v>1785244.7520000001</v>
      </c>
      <c r="L32" s="5">
        <v>2217927.7699999898</v>
      </c>
      <c r="M32" s="5">
        <v>1779404.4509999999</v>
      </c>
      <c r="N32" s="5">
        <v>2045098.2949999999</v>
      </c>
      <c r="O32" s="5">
        <v>1694944.7349999999</v>
      </c>
      <c r="P32" s="5">
        <v>2095925.8209999998</v>
      </c>
      <c r="Q32" s="5">
        <v>2140832.409</v>
      </c>
      <c r="R32" s="18">
        <f t="shared" si="1"/>
        <v>24094018.492999934</v>
      </c>
      <c r="S32" s="5">
        <v>1320234.8783051397</v>
      </c>
      <c r="T32" s="5">
        <v>1580337.269483523</v>
      </c>
      <c r="U32" s="5">
        <v>2133120.5651578587</v>
      </c>
      <c r="V32" s="5">
        <v>1980317.4137590544</v>
      </c>
      <c r="W32" s="5">
        <v>1763265.1350681882</v>
      </c>
      <c r="X32" s="5">
        <v>1856466.3044262694</v>
      </c>
      <c r="Y32" s="5">
        <v>1982471.190834169</v>
      </c>
      <c r="Z32" s="5">
        <v>1849133.1294937527</v>
      </c>
      <c r="AA32" s="5">
        <v>1940671.6790214123</v>
      </c>
      <c r="AB32" s="5">
        <v>1917131.6109434387</v>
      </c>
      <c r="AC32" s="5">
        <v>1942442.6673485669</v>
      </c>
      <c r="AD32" s="5">
        <v>1969085.4208108091</v>
      </c>
      <c r="AE32" s="5">
        <v>2100281.3684407608</v>
      </c>
      <c r="AF32" s="19">
        <f t="shared" si="2"/>
        <v>24334958.633092944</v>
      </c>
      <c r="AG32" s="20">
        <f t="shared" si="3"/>
        <v>1.0099999981390821</v>
      </c>
    </row>
    <row r="33" spans="1:33" x14ac:dyDescent="0.3">
      <c r="A33" s="16" t="s">
        <v>162</v>
      </c>
      <c r="B33" s="16" t="s">
        <v>64</v>
      </c>
      <c r="C33" s="16" t="s">
        <v>13</v>
      </c>
      <c r="D33" s="17" t="s">
        <v>163</v>
      </c>
      <c r="E33" s="5">
        <v>14422302.580959901</v>
      </c>
      <c r="F33" s="5">
        <v>16100614.520000001</v>
      </c>
      <c r="G33" s="5">
        <v>11435649.5257199</v>
      </c>
      <c r="H33" s="5">
        <v>15110665.199999999</v>
      </c>
      <c r="I33" s="5">
        <v>21787710.18248</v>
      </c>
      <c r="J33" s="5">
        <v>13939242.815239901</v>
      </c>
      <c r="K33" s="5">
        <v>8500494.3899999894</v>
      </c>
      <c r="L33" s="5">
        <v>13489431.499999901</v>
      </c>
      <c r="M33" s="5">
        <v>15000000</v>
      </c>
      <c r="N33" s="5">
        <v>18000000</v>
      </c>
      <c r="O33" s="5">
        <v>18800000</v>
      </c>
      <c r="P33" s="5">
        <v>13700000</v>
      </c>
      <c r="Q33" s="5">
        <v>14800000</v>
      </c>
      <c r="R33" s="18">
        <f t="shared" si="1"/>
        <v>195086110.71439958</v>
      </c>
      <c r="S33" s="5">
        <v>14278079.555150302</v>
      </c>
      <c r="T33" s="5">
        <v>15939608.3748</v>
      </c>
      <c r="U33" s="5">
        <v>11321293.030462701</v>
      </c>
      <c r="V33" s="5">
        <v>14959558.547999999</v>
      </c>
      <c r="W33" s="5">
        <v>21569833.080655199</v>
      </c>
      <c r="X33" s="5">
        <v>13799850.387087502</v>
      </c>
      <c r="Y33" s="5">
        <v>8415489.4460999891</v>
      </c>
      <c r="Z33" s="5">
        <v>13354537.184999902</v>
      </c>
      <c r="AA33" s="5">
        <v>14849567</v>
      </c>
      <c r="AB33" s="5">
        <v>17819721</v>
      </c>
      <c r="AC33" s="5">
        <v>18612123</v>
      </c>
      <c r="AD33" s="5">
        <v>13562968</v>
      </c>
      <c r="AE33" s="5">
        <v>14652135</v>
      </c>
      <c r="AF33" s="19">
        <f t="shared" si="2"/>
        <v>193134763.60725558</v>
      </c>
      <c r="AG33" s="20">
        <f t="shared" si="3"/>
        <v>0.98999750879240855</v>
      </c>
    </row>
    <row r="34" spans="1:33" x14ac:dyDescent="0.3">
      <c r="A34" s="16" t="s">
        <v>162</v>
      </c>
      <c r="B34" s="16" t="s">
        <v>85</v>
      </c>
      <c r="C34" s="16" t="s">
        <v>13</v>
      </c>
      <c r="D34" s="17" t="s">
        <v>163</v>
      </c>
      <c r="E34" s="5">
        <v>103028902.31999999</v>
      </c>
      <c r="F34" s="5">
        <v>148451076.88000003</v>
      </c>
      <c r="G34" s="5">
        <v>158951904.19999999</v>
      </c>
      <c r="H34" s="5">
        <v>92986567.579999894</v>
      </c>
      <c r="I34" s="5">
        <v>69876400.820000008</v>
      </c>
      <c r="J34" s="5">
        <v>107348388.44</v>
      </c>
      <c r="K34" s="5">
        <v>115965317.14</v>
      </c>
      <c r="L34" s="5">
        <v>115832782.26000001</v>
      </c>
      <c r="M34" s="5">
        <v>115173763.947062</v>
      </c>
      <c r="N34" s="5">
        <v>151555984.12743455</v>
      </c>
      <c r="O34" s="5">
        <v>108831495.9154526</v>
      </c>
      <c r="P34" s="5">
        <v>115606354.60537341</v>
      </c>
      <c r="Q34" s="5">
        <v>140804026.85698199</v>
      </c>
      <c r="R34" s="18">
        <f t="shared" si="1"/>
        <v>1544412965.0923045</v>
      </c>
      <c r="S34" s="5">
        <v>199026349.930738</v>
      </c>
      <c r="T34" s="5">
        <v>101180599.70048101</v>
      </c>
      <c r="U34" s="5">
        <v>129964996.20226699</v>
      </c>
      <c r="V34" s="5">
        <v>131064942.84237599</v>
      </c>
      <c r="W34" s="5">
        <v>101127576.812967</v>
      </c>
      <c r="X34" s="5">
        <v>131550657.24192801</v>
      </c>
      <c r="Y34" s="5">
        <v>128568523.44245499</v>
      </c>
      <c r="Z34" s="5">
        <v>102008787.086961</v>
      </c>
      <c r="AA34" s="5">
        <v>125815720.63821599</v>
      </c>
      <c r="AB34" s="5">
        <v>130832471.37142301</v>
      </c>
      <c r="AC34" s="5">
        <v>105861658.97789</v>
      </c>
      <c r="AD34" s="5">
        <v>132645433.65853201</v>
      </c>
      <c r="AE34" s="5">
        <v>161612799.98274401</v>
      </c>
      <c r="AF34" s="19">
        <f t="shared" si="2"/>
        <v>1681260517.888978</v>
      </c>
      <c r="AG34" s="20">
        <f t="shared" si="3"/>
        <v>1.0886081351877894</v>
      </c>
    </row>
    <row r="35" spans="1:33" x14ac:dyDescent="0.3">
      <c r="A35" s="16" t="s">
        <v>162</v>
      </c>
      <c r="B35" s="16" t="s">
        <v>118</v>
      </c>
      <c r="C35" s="16" t="s">
        <v>13</v>
      </c>
      <c r="D35" s="17" t="s">
        <v>163</v>
      </c>
      <c r="E35" s="5">
        <v>26634010.16</v>
      </c>
      <c r="F35" s="5">
        <v>31703247.220000003</v>
      </c>
      <c r="G35" s="5">
        <v>25060531</v>
      </c>
      <c r="H35" s="5">
        <v>21513682.400000002</v>
      </c>
      <c r="I35" s="5">
        <v>29074440.1599999</v>
      </c>
      <c r="J35" s="5">
        <v>39870185.530000001</v>
      </c>
      <c r="K35" s="5">
        <v>23015349.8899999</v>
      </c>
      <c r="L35" s="5">
        <v>25929985.280000001</v>
      </c>
      <c r="M35" s="5">
        <v>24900000</v>
      </c>
      <c r="N35" s="5">
        <v>25200000</v>
      </c>
      <c r="O35" s="5">
        <v>29800000</v>
      </c>
      <c r="P35" s="5">
        <v>27500000</v>
      </c>
      <c r="Q35" s="5">
        <v>26000000</v>
      </c>
      <c r="R35" s="18">
        <f t="shared" si="1"/>
        <v>356201431.63999981</v>
      </c>
      <c r="S35" s="5">
        <v>27287031.498463389</v>
      </c>
      <c r="T35" s="5">
        <v>32480557.764257904</v>
      </c>
      <c r="U35" s="5">
        <v>25674973.263778999</v>
      </c>
      <c r="V35" s="5">
        <v>22041161.874240927</v>
      </c>
      <c r="W35" s="5">
        <v>29787296.756295379</v>
      </c>
      <c r="X35" s="5">
        <v>40847735.728530981</v>
      </c>
      <c r="Y35" s="5">
        <v>23579647.737003911</v>
      </c>
      <c r="Z35" s="5">
        <v>26565745.107084241</v>
      </c>
      <c r="AA35" s="5">
        <v>25510506.312419999</v>
      </c>
      <c r="AB35" s="5">
        <v>25817861.810159996</v>
      </c>
      <c r="AC35" s="5">
        <v>30530646.108839996</v>
      </c>
      <c r="AD35" s="5">
        <v>28174253.9595</v>
      </c>
      <c r="AE35" s="5">
        <v>26637476.470799997</v>
      </c>
      <c r="AF35" s="19">
        <f t="shared" si="2"/>
        <v>364934894.39137572</v>
      </c>
      <c r="AG35" s="20">
        <f t="shared" si="3"/>
        <v>1.0245183257999999</v>
      </c>
    </row>
    <row r="36" spans="1:33" x14ac:dyDescent="0.3">
      <c r="A36" s="16" t="s">
        <v>162</v>
      </c>
      <c r="B36" s="16" t="s">
        <v>126</v>
      </c>
      <c r="C36" s="16" t="s">
        <v>13</v>
      </c>
      <c r="D36" s="17" t="s">
        <v>163</v>
      </c>
      <c r="E36" s="5">
        <v>117593788.12</v>
      </c>
      <c r="F36" s="5">
        <v>158122618.47999999</v>
      </c>
      <c r="G36" s="5">
        <v>106749574.16000001</v>
      </c>
      <c r="H36" s="5">
        <v>99247148.560000002</v>
      </c>
      <c r="I36" s="5">
        <v>109516322.16</v>
      </c>
      <c r="J36" s="5">
        <v>75874622.999999896</v>
      </c>
      <c r="K36" s="5">
        <v>75335077.159999996</v>
      </c>
      <c r="L36" s="5">
        <v>105560472.12</v>
      </c>
      <c r="M36" s="5">
        <v>124300000</v>
      </c>
      <c r="N36" s="5">
        <v>125318582.40193899</v>
      </c>
      <c r="O36" s="5">
        <v>137901616.08217931</v>
      </c>
      <c r="P36" s="5">
        <v>120557027.12879789</v>
      </c>
      <c r="Q36" s="5">
        <v>183088494.2788175</v>
      </c>
      <c r="R36" s="18">
        <f>SUM(E36:Q36)</f>
        <v>1539165343.6517336</v>
      </c>
      <c r="S36" s="5">
        <v>136294971.374055</v>
      </c>
      <c r="T36" s="5">
        <v>161976589.61868301</v>
      </c>
      <c r="U36" s="5">
        <v>140182972.93904299</v>
      </c>
      <c r="V36" s="5">
        <v>105746619.939257</v>
      </c>
      <c r="W36" s="5">
        <v>132511123.13380599</v>
      </c>
      <c r="X36" s="5">
        <v>103959419.07725599</v>
      </c>
      <c r="Y36" s="5">
        <v>137773966.50312001</v>
      </c>
      <c r="Z36" s="5">
        <v>146174996.98727101</v>
      </c>
      <c r="AA36" s="5">
        <v>109386833.675229</v>
      </c>
      <c r="AB36" s="5">
        <v>107051947.48701</v>
      </c>
      <c r="AC36" s="5">
        <v>126916946.78950401</v>
      </c>
      <c r="AD36" s="5">
        <v>133625311.90847202</v>
      </c>
      <c r="AE36" s="5">
        <v>136960073.07985398</v>
      </c>
      <c r="AF36" s="19">
        <f>SUM(S36:AE36)</f>
        <v>1678561772.5125601</v>
      </c>
      <c r="AG36" s="20">
        <f t="shared" si="3"/>
        <v>1.0905662471129338</v>
      </c>
    </row>
    <row r="37" spans="1:33" x14ac:dyDescent="0.3">
      <c r="A37" s="16" t="s">
        <v>162</v>
      </c>
      <c r="B37" s="16" t="s">
        <v>76</v>
      </c>
      <c r="C37" s="16" t="s">
        <v>14</v>
      </c>
      <c r="D37" s="17" t="s">
        <v>163</v>
      </c>
      <c r="E37" s="5">
        <v>2782132.1976899998</v>
      </c>
      <c r="F37" s="5">
        <v>2635118.904550001</v>
      </c>
      <c r="G37" s="5">
        <v>3509226.1457599998</v>
      </c>
      <c r="H37" s="5">
        <v>2390723.9099999997</v>
      </c>
      <c r="I37" s="5">
        <v>4563028.1699999981</v>
      </c>
      <c r="J37" s="5">
        <v>2942846.5999999987</v>
      </c>
      <c r="K37" s="5">
        <v>2510036.5100000007</v>
      </c>
      <c r="L37" s="5">
        <v>2824807.21</v>
      </c>
      <c r="M37" s="5">
        <v>2000000</v>
      </c>
      <c r="N37" s="5">
        <v>2569422.58</v>
      </c>
      <c r="O37" s="5">
        <v>2569422.58</v>
      </c>
      <c r="P37" s="5">
        <v>2569422.58</v>
      </c>
      <c r="Q37" s="5">
        <v>2569422.58</v>
      </c>
      <c r="R37" s="18">
        <f>SUM(E37:Q37)</f>
        <v>36435609.967999995</v>
      </c>
      <c r="S37" s="5">
        <f t="shared" ref="S37:AE37" si="4">E37*1.1</f>
        <v>3060345.4174589999</v>
      </c>
      <c r="T37" s="5">
        <f t="shared" si="4"/>
        <v>2898630.7950050016</v>
      </c>
      <c r="U37" s="5">
        <f t="shared" si="4"/>
        <v>3860148.760336</v>
      </c>
      <c r="V37" s="5">
        <f t="shared" si="4"/>
        <v>2629796.301</v>
      </c>
      <c r="W37" s="5">
        <f t="shared" si="4"/>
        <v>5019330.9869999979</v>
      </c>
      <c r="X37" s="5">
        <f t="shared" si="4"/>
        <v>3237131.2599999988</v>
      </c>
      <c r="Y37" s="5">
        <f t="shared" si="4"/>
        <v>2761040.1610000008</v>
      </c>
      <c r="Z37" s="5">
        <f t="shared" si="4"/>
        <v>3107287.9310000003</v>
      </c>
      <c r="AA37" s="5">
        <f t="shared" si="4"/>
        <v>2200000</v>
      </c>
      <c r="AB37" s="5">
        <f t="shared" si="4"/>
        <v>2826364.8380000005</v>
      </c>
      <c r="AC37" s="5">
        <f t="shared" si="4"/>
        <v>2826364.8380000005</v>
      </c>
      <c r="AD37" s="5">
        <f t="shared" si="4"/>
        <v>2826364.8380000005</v>
      </c>
      <c r="AE37" s="5">
        <f t="shared" si="4"/>
        <v>2826364.8380000005</v>
      </c>
      <c r="AF37" s="19">
        <f>SUM(S37:AE37)</f>
        <v>40079170.9648</v>
      </c>
      <c r="AG37" s="20">
        <f>AF37/R37</f>
        <v>1.1000000000000001</v>
      </c>
    </row>
    <row r="38" spans="1:33" x14ac:dyDescent="0.3">
      <c r="A38" s="16" t="s">
        <v>162</v>
      </c>
      <c r="B38" s="16" t="s">
        <v>103</v>
      </c>
      <c r="C38" s="16" t="s">
        <v>14</v>
      </c>
      <c r="D38" s="17" t="s">
        <v>163</v>
      </c>
      <c r="E38" s="5">
        <v>134530839.84000257</v>
      </c>
      <c r="F38" s="5">
        <v>241934645.04000765</v>
      </c>
      <c r="G38" s="5">
        <v>200384171.25000781</v>
      </c>
      <c r="H38" s="5">
        <v>137277833.30999535</v>
      </c>
      <c r="I38" s="5">
        <v>174489210.47000477</v>
      </c>
      <c r="J38" s="5">
        <v>181935033.23999727</v>
      </c>
      <c r="K38" s="5">
        <v>186710479.00999689</v>
      </c>
      <c r="L38" s="5">
        <v>184332104.44000778</v>
      </c>
      <c r="M38" s="5">
        <v>173777691.72800002</v>
      </c>
      <c r="N38" s="5">
        <v>185713425.99400002</v>
      </c>
      <c r="O38" s="5">
        <v>186705634.68400002</v>
      </c>
      <c r="P38" s="5">
        <v>187885609.64000002</v>
      </c>
      <c r="Q38" s="5">
        <v>187885609.64000002</v>
      </c>
      <c r="R38" s="18">
        <f>SUM(E38:Q38)</f>
        <v>2363562288.2860198</v>
      </c>
      <c r="S38" s="5">
        <v>183190045.24886876</v>
      </c>
      <c r="T38" s="5">
        <v>194384992.45852184</v>
      </c>
      <c r="U38" s="5">
        <v>198455882.35294119</v>
      </c>
      <c r="V38" s="5">
        <v>193367269.98491704</v>
      </c>
      <c r="W38" s="5">
        <v>201509049.77375567</v>
      </c>
      <c r="X38" s="5">
        <v>210668552.03619909</v>
      </c>
      <c r="Y38" s="5">
        <v>213721719.45701358</v>
      </c>
      <c r="Z38" s="5">
        <v>216774886.87782806</v>
      </c>
      <c r="AA38" s="5">
        <v>219828054.29864255</v>
      </c>
      <c r="AB38" s="5">
        <v>209650829.56259429</v>
      </c>
      <c r="AC38" s="5">
        <v>219828054.29864255</v>
      </c>
      <c r="AD38" s="5">
        <v>213721719.45701358</v>
      </c>
      <c r="AE38" s="5">
        <v>223898944.19306183</v>
      </c>
      <c r="AF38" s="19">
        <f>SUM(S38:AE38)</f>
        <v>2699000000.0000005</v>
      </c>
      <c r="AG38" s="20">
        <f t="shared" si="3"/>
        <v>1.1419204026804934</v>
      </c>
    </row>
    <row r="39" spans="1:33" x14ac:dyDescent="0.3">
      <c r="A39" s="16" t="s">
        <v>162</v>
      </c>
      <c r="B39" s="16" t="s">
        <v>171</v>
      </c>
      <c r="C39" s="16" t="s">
        <v>172</v>
      </c>
      <c r="D39" s="17"/>
      <c r="E39" s="5">
        <v>10869320.835072</v>
      </c>
      <c r="F39" s="5">
        <v>0</v>
      </c>
      <c r="G39" s="5">
        <v>101803029.28722399</v>
      </c>
      <c r="H39" s="5">
        <v>59107405.833038002</v>
      </c>
      <c r="I39" s="5">
        <v>83872607.460631907</v>
      </c>
      <c r="J39" s="5">
        <v>123283389.60677101</v>
      </c>
      <c r="K39" s="5">
        <v>125256973.469791</v>
      </c>
      <c r="L39" s="5">
        <v>123164751.16456001</v>
      </c>
      <c r="M39" s="5">
        <v>120665932.809811</v>
      </c>
      <c r="N39" s="5">
        <v>134361061.16143501</v>
      </c>
      <c r="O39" s="5">
        <v>124514068.82932399</v>
      </c>
      <c r="P39" s="5">
        <v>131337907.385639</v>
      </c>
      <c r="Q39" s="5">
        <v>131434331.343842</v>
      </c>
      <c r="R39" s="18">
        <f t="shared" ref="R39:R40" si="5">SUM(E39:Q39)</f>
        <v>1269670779.187139</v>
      </c>
      <c r="S39" s="5">
        <v>95696257.044499204</v>
      </c>
      <c r="T39" s="5">
        <v>95696257.044499204</v>
      </c>
      <c r="U39" s="5">
        <v>104076745.10392399</v>
      </c>
      <c r="V39" s="5">
        <v>104076745.10392399</v>
      </c>
      <c r="W39" s="5">
        <v>104076745.10392399</v>
      </c>
      <c r="X39" s="5">
        <v>104076745.10392399</v>
      </c>
      <c r="Y39" s="5">
        <v>104076745.10392399</v>
      </c>
      <c r="Z39" s="5">
        <v>104076745.10392399</v>
      </c>
      <c r="AA39" s="5">
        <v>104076745.10392399</v>
      </c>
      <c r="AB39" s="5">
        <v>104148702.992651</v>
      </c>
      <c r="AC39" s="5">
        <v>104148702.992651</v>
      </c>
      <c r="AD39" s="5">
        <v>104148702.992651</v>
      </c>
      <c r="AE39" s="5">
        <v>129720221.806133</v>
      </c>
      <c r="AF39" s="19">
        <f t="shared" ref="AF39:AF40" si="6">SUM(S39:AE39)</f>
        <v>1362096060.6005526</v>
      </c>
      <c r="AG39" s="20">
        <f t="shared" si="3"/>
        <v>1.0727946826283468</v>
      </c>
    </row>
    <row r="40" spans="1:33" x14ac:dyDescent="0.3">
      <c r="A40" s="16" t="s">
        <v>162</v>
      </c>
      <c r="B40" s="16" t="s">
        <v>173</v>
      </c>
      <c r="C40" s="16" t="s">
        <v>172</v>
      </c>
      <c r="D40" s="17"/>
      <c r="E40" s="5">
        <v>61320325.753764004</v>
      </c>
      <c r="F40" s="5">
        <v>50408245.731086001</v>
      </c>
      <c r="G40" s="5">
        <v>79083224.689162001</v>
      </c>
      <c r="H40" s="5">
        <v>46667132.846387997</v>
      </c>
      <c r="I40" s="5">
        <v>12478461.557827901</v>
      </c>
      <c r="J40" s="5">
        <v>101374049.111307</v>
      </c>
      <c r="K40" s="5">
        <v>102204401.39882199</v>
      </c>
      <c r="L40" s="5">
        <v>83226337.722667903</v>
      </c>
      <c r="M40" s="5">
        <v>108092349.49496</v>
      </c>
      <c r="N40" s="5">
        <v>92694225.014891297</v>
      </c>
      <c r="O40" s="5">
        <v>98590295.570887908</v>
      </c>
      <c r="P40" s="5">
        <v>98693921.629420698</v>
      </c>
      <c r="Q40" s="5">
        <v>98699708.273761109</v>
      </c>
      <c r="R40" s="18">
        <f t="shared" si="5"/>
        <v>1033532678.7949458</v>
      </c>
      <c r="S40" s="5">
        <v>79098962.288548991</v>
      </c>
      <c r="T40" s="5">
        <v>79098962.288548991</v>
      </c>
      <c r="U40" s="5">
        <v>85744754.27966021</v>
      </c>
      <c r="V40" s="5">
        <v>85744754.27966021</v>
      </c>
      <c r="W40" s="5">
        <v>85744754.27966021</v>
      </c>
      <c r="X40" s="5">
        <v>85744754.27966021</v>
      </c>
      <c r="Y40" s="5">
        <v>85744754.27966021</v>
      </c>
      <c r="Z40" s="5">
        <v>85744754.27966021</v>
      </c>
      <c r="AA40" s="5">
        <v>85744754.27966021</v>
      </c>
      <c r="AB40" s="5">
        <v>85744754.27966021</v>
      </c>
      <c r="AC40" s="5">
        <v>85744754.27966021</v>
      </c>
      <c r="AD40" s="5">
        <v>85744754.27966021</v>
      </c>
      <c r="AE40" s="5">
        <v>100811514.28563699</v>
      </c>
      <c r="AF40" s="19">
        <f t="shared" si="6"/>
        <v>1116456981.659337</v>
      </c>
      <c r="AG40" s="20">
        <f t="shared" si="3"/>
        <v>1.0802338470430151</v>
      </c>
    </row>
  </sheetData>
  <mergeCells count="2">
    <mergeCell ref="E2:R2"/>
    <mergeCell ref="S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DMR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Kuvshinnikov, Nikita</cp:lastModifiedBy>
  <dcterms:modified xsi:type="dcterms:W3CDTF">2026-08-10T09:30:41Z</dcterms:modified>
</cp:coreProperties>
</file>